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8379" documentId="1_{94EE5439-A970-484B-BF37-FAEC4E6D4083}" xr6:coauthVersionLast="47" xr6:coauthVersionMax="47" xr10:uidLastSave="{93185538-01C0-4270-95D4-461C5C72C927}"/>
  <bookViews>
    <workbookView xWindow="-110" yWindow="-110" windowWidth="29020" windowHeight="17500" tabRatio="648" firstSheet="2" activeTab="6" xr2:uid="{00000000-000D-0000-FFFF-FFFF00000000}"/>
  </bookViews>
  <sheets>
    <sheet name="트래블마트 통합" sheetId="27" r:id="rId1"/>
    <sheet name="일정 체크리스트" sheetId="28" r:id="rId2"/>
    <sheet name="Dev Tracker" sheetId="29" r:id="rId3"/>
    <sheet name="마진변동 트래킹" sheetId="11" r:id="rId4"/>
    <sheet name="계약변경" sheetId="21" r:id="rId5"/>
    <sheet name="Mapping Schedule" sheetId="23" r:id="rId6"/>
    <sheet name="Jane" sheetId="19" r:id="rId7"/>
    <sheet name="Grace" sheetId="18" r:id="rId8"/>
    <sheet name="Award" sheetId="22" r:id="rId9"/>
    <sheet name="CRM" sheetId="9" r:id="rId10"/>
    <sheet name="Jasmine" sheetId="20" r:id="rId11"/>
    <sheet name="Ben" sheetId="13" r:id="rId12"/>
    <sheet name="Bryant" sheetId="24" r:id="rId13"/>
  </sheets>
  <definedNames>
    <definedName name="_xlnm._FilterDatabase" localSheetId="9" hidden="1">CRM!$A$2:$AJ$384</definedName>
    <definedName name="_xlnm._FilterDatabase" localSheetId="2" hidden="1">'Dev Tracker'!$A$3:$AO$98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29" l="1"/>
  <c r="B9" i="29"/>
  <c r="L9" i="29" a="1"/>
  <c r="L9" i="29"/>
  <c r="O9" i="29"/>
  <c r="L99" i="29" a="1"/>
  <c r="L99" i="29"/>
  <c r="M99" i="29"/>
  <c r="N99" i="29"/>
  <c r="O99" i="29"/>
  <c r="B99" i="29"/>
  <c r="L75" i="29" a="1"/>
  <c r="L75" i="29"/>
  <c r="A99" i="29"/>
  <c r="M14" i="29"/>
  <c r="L14" i="29" a="1"/>
  <c r="L14" i="29"/>
  <c r="L15" i="29" a="1"/>
  <c r="L15" i="29"/>
  <c r="B14" i="29"/>
  <c r="O14" i="29"/>
  <c r="M53" i="29"/>
  <c r="L53" i="29" a="1"/>
  <c r="L53" i="29" s="1"/>
  <c r="B53" i="29"/>
  <c r="A53" i="29"/>
  <c r="M52" i="29"/>
  <c r="L52" i="29" a="1"/>
  <c r="L52" i="29" s="1"/>
  <c r="B52" i="29"/>
  <c r="A52" i="29"/>
  <c r="M51" i="29"/>
  <c r="L51" i="29" a="1"/>
  <c r="L51" i="29" s="1"/>
  <c r="B51" i="29"/>
  <c r="A51" i="29"/>
  <c r="M50" i="29"/>
  <c r="L50" i="29" a="1"/>
  <c r="L50" i="29" s="1"/>
  <c r="B50" i="29"/>
  <c r="A50" i="29"/>
  <c r="M49" i="29"/>
  <c r="L49" i="29" a="1"/>
  <c r="L49" i="29" s="1"/>
  <c r="B49" i="29"/>
  <c r="A49" i="29"/>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A5" i="29"/>
  <c r="A6" i="29"/>
  <c r="A7" i="29"/>
  <c r="A8" i="29"/>
  <c r="A10" i="29"/>
  <c r="A11" i="29"/>
  <c r="A12" i="29"/>
  <c r="A13"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M98" i="29"/>
  <c r="L98" i="29" a="1"/>
  <c r="L98" i="29" s="1"/>
  <c r="B98" i="29" s="1"/>
  <c r="M97" i="29"/>
  <c r="L97" i="29" a="1"/>
  <c r="L97" i="29" s="1"/>
  <c r="B97" i="29" s="1"/>
  <c r="M96" i="29"/>
  <c r="L96" i="29" a="1"/>
  <c r="L96" i="29" s="1"/>
  <c r="B96" i="29" s="1"/>
  <c r="M95" i="29"/>
  <c r="L95" i="29" a="1"/>
  <c r="L95" i="29" s="1"/>
  <c r="B95" i="29" s="1"/>
  <c r="M94" i="29"/>
  <c r="L94" i="29" a="1"/>
  <c r="L94" i="29" s="1"/>
  <c r="B94" i="29" s="1"/>
  <c r="M93" i="29"/>
  <c r="L93" i="29" a="1"/>
  <c r="L93" i="29" s="1"/>
  <c r="B93" i="29" s="1"/>
  <c r="M92" i="29"/>
  <c r="L92" i="29" a="1"/>
  <c r="L92" i="29" s="1"/>
  <c r="B92" i="29" s="1"/>
  <c r="M91" i="29"/>
  <c r="L91" i="29" a="1"/>
  <c r="L91" i="29" s="1"/>
  <c r="B91" i="29" s="1"/>
  <c r="M90" i="29"/>
  <c r="L90" i="29" a="1"/>
  <c r="L90" i="29" s="1"/>
  <c r="B90" i="29" s="1"/>
  <c r="M89" i="29"/>
  <c r="L89" i="29" a="1"/>
  <c r="L89" i="29" s="1"/>
  <c r="B89" i="29" s="1"/>
  <c r="M88" i="29"/>
  <c r="L88" i="29" a="1"/>
  <c r="L88" i="29" s="1"/>
  <c r="B88" i="29" s="1"/>
  <c r="M87" i="29"/>
  <c r="L87" i="29" a="1"/>
  <c r="L87" i="29" s="1"/>
  <c r="B87" i="29" s="1"/>
  <c r="M86" i="29"/>
  <c r="L86" i="29" a="1"/>
  <c r="L86" i="29" s="1"/>
  <c r="B86" i="29" s="1"/>
  <c r="M85" i="29"/>
  <c r="L85" i="29" a="1"/>
  <c r="L85" i="29" s="1"/>
  <c r="B85" i="29" s="1"/>
  <c r="M84" i="29"/>
  <c r="L84" i="29" a="1"/>
  <c r="L84" i="29" s="1"/>
  <c r="B84" i="29" s="1"/>
  <c r="M83" i="29"/>
  <c r="L83" i="29" a="1"/>
  <c r="L83" i="29" s="1"/>
  <c r="B83" i="29" s="1"/>
  <c r="M82" i="29"/>
  <c r="L82" i="29" a="1"/>
  <c r="L82" i="29" s="1"/>
  <c r="B82" i="29" s="1"/>
  <c r="M81" i="29"/>
  <c r="L81" i="29" a="1"/>
  <c r="L81" i="29" s="1"/>
  <c r="B81" i="29" s="1"/>
  <c r="M80" i="29"/>
  <c r="L80" i="29" a="1"/>
  <c r="L80" i="29" s="1"/>
  <c r="B80" i="29" s="1"/>
  <c r="M79" i="29"/>
  <c r="L79" i="29" a="1"/>
  <c r="L79" i="29" s="1"/>
  <c r="B79" i="29" s="1"/>
  <c r="M78" i="29"/>
  <c r="L78" i="29" a="1"/>
  <c r="L78" i="29" s="1"/>
  <c r="B78" i="29" s="1"/>
  <c r="M77" i="29"/>
  <c r="L77" i="29" a="1"/>
  <c r="L77" i="29" s="1"/>
  <c r="M76" i="29"/>
  <c r="L76" i="29" a="1"/>
  <c r="L76" i="29" s="1"/>
  <c r="M75" i="29"/>
  <c r="M74" i="29"/>
  <c r="L74" i="29" a="1"/>
  <c r="L74" i="29" s="1"/>
  <c r="B74" i="29" s="1"/>
  <c r="M73" i="29"/>
  <c r="L73" i="29" a="1"/>
  <c r="L73" i="29" s="1"/>
  <c r="M72" i="29"/>
  <c r="L72" i="29" a="1"/>
  <c r="L72" i="29" s="1"/>
  <c r="M71" i="29"/>
  <c r="L71" i="29" a="1"/>
  <c r="L71" i="29" s="1"/>
  <c r="M70" i="29"/>
  <c r="L70" i="29" a="1"/>
  <c r="L70" i="29" s="1"/>
  <c r="M69" i="29"/>
  <c r="L69" i="29" a="1"/>
  <c r="L69" i="29" s="1"/>
  <c r="M68" i="29"/>
  <c r="B68" i="29" s="1"/>
  <c r="L68" i="29" a="1"/>
  <c r="L68" i="29" s="1"/>
  <c r="M67" i="29"/>
  <c r="B67" i="29" s="1"/>
  <c r="L67" i="29" a="1"/>
  <c r="L67" i="29" s="1"/>
  <c r="M66" i="29"/>
  <c r="B66" i="29" s="1"/>
  <c r="L66" i="29" a="1"/>
  <c r="L66" i="29" s="1"/>
  <c r="M65" i="29"/>
  <c r="L65" i="29" a="1"/>
  <c r="L65" i="29" s="1"/>
  <c r="M64" i="29"/>
  <c r="B64" i="29" s="1"/>
  <c r="L64" i="29" a="1"/>
  <c r="L64" i="29" s="1"/>
  <c r="M63" i="29"/>
  <c r="B63" i="29" s="1"/>
  <c r="L63" i="29" a="1"/>
  <c r="L63" i="29" s="1"/>
  <c r="M62" i="29"/>
  <c r="B62" i="29" s="1"/>
  <c r="L62" i="29" a="1"/>
  <c r="L62" i="29" s="1"/>
  <c r="M61" i="29"/>
  <c r="B61" i="29" s="1"/>
  <c r="L61" i="29" a="1"/>
  <c r="L61" i="29" s="1"/>
  <c r="M60" i="29"/>
  <c r="L60" i="29" a="1"/>
  <c r="L60" i="29" s="1"/>
  <c r="M59" i="29"/>
  <c r="B59" i="29" s="1"/>
  <c r="L59" i="29" a="1"/>
  <c r="L59" i="29" s="1"/>
  <c r="M58" i="29"/>
  <c r="B58" i="29" s="1"/>
  <c r="L58" i="29" a="1"/>
  <c r="L58" i="29" s="1"/>
  <c r="M57" i="29"/>
  <c r="B57" i="29" s="1"/>
  <c r="L57" i="29" a="1"/>
  <c r="L57" i="29" s="1"/>
  <c r="M56" i="29"/>
  <c r="B56" i="29" s="1"/>
  <c r="L56" i="29" a="1"/>
  <c r="L56" i="29" s="1"/>
  <c r="M55" i="29"/>
  <c r="B55" i="29" s="1"/>
  <c r="L55" i="29" a="1"/>
  <c r="L55" i="29" s="1"/>
  <c r="M54" i="29"/>
  <c r="B54" i="29" s="1"/>
  <c r="L54" i="29" a="1"/>
  <c r="L54" i="29" s="1"/>
  <c r="M48" i="29"/>
  <c r="B48" i="29" s="1"/>
  <c r="L48" i="29" a="1"/>
  <c r="L48" i="29" s="1"/>
  <c r="M47" i="29"/>
  <c r="L47" i="29" a="1"/>
  <c r="L47" i="29" s="1"/>
  <c r="M46" i="29"/>
  <c r="L46" i="29" a="1"/>
  <c r="L46" i="29" s="1"/>
  <c r="M45" i="29"/>
  <c r="B45" i="29" s="1"/>
  <c r="L45" i="29" a="1"/>
  <c r="L45" i="29" s="1"/>
  <c r="M44" i="29"/>
  <c r="L44" i="29" a="1"/>
  <c r="L44" i="29" s="1"/>
  <c r="M43" i="29"/>
  <c r="B43" i="29" s="1"/>
  <c r="L43" i="29" a="1"/>
  <c r="L43" i="29" s="1"/>
  <c r="M42" i="29"/>
  <c r="L42" i="29" a="1"/>
  <c r="L42" i="29" s="1"/>
  <c r="M41" i="29"/>
  <c r="L41" i="29" a="1"/>
  <c r="L41" i="29" s="1"/>
  <c r="M40" i="29"/>
  <c r="B40" i="29" s="1"/>
  <c r="L40" i="29" a="1"/>
  <c r="L40" i="29" s="1"/>
  <c r="M39" i="29"/>
  <c r="B39" i="29" s="1"/>
  <c r="L39" i="29" a="1"/>
  <c r="L39" i="29" s="1"/>
  <c r="M38" i="29"/>
  <c r="B38" i="29" s="1"/>
  <c r="L38" i="29" a="1"/>
  <c r="L38" i="29" s="1"/>
  <c r="M37" i="29"/>
  <c r="B37" i="29" s="1"/>
  <c r="L37" i="29" a="1"/>
  <c r="L37" i="29" s="1"/>
  <c r="M36" i="29"/>
  <c r="B36" i="29" s="1"/>
  <c r="L36" i="29" a="1"/>
  <c r="L36" i="29" s="1"/>
  <c r="M35" i="29"/>
  <c r="B35" i="29" s="1"/>
  <c r="L35" i="29" a="1"/>
  <c r="L35" i="29" s="1"/>
  <c r="M34" i="29"/>
  <c r="L34" i="29" a="1"/>
  <c r="L34" i="29" s="1"/>
  <c r="M33" i="29"/>
  <c r="B33" i="29" s="1"/>
  <c r="L33" i="29" a="1"/>
  <c r="L33" i="29" s="1"/>
  <c r="M32" i="29"/>
  <c r="L32" i="29" a="1"/>
  <c r="L32" i="29" s="1"/>
  <c r="M31" i="29"/>
  <c r="L31" i="29" a="1"/>
  <c r="L31" i="29" s="1"/>
  <c r="M30" i="29"/>
  <c r="L30" i="29" a="1"/>
  <c r="L30" i="29" s="1"/>
  <c r="M29" i="29"/>
  <c r="L29" i="29" a="1"/>
  <c r="L29" i="29" s="1"/>
  <c r="M28" i="29"/>
  <c r="L28" i="29" a="1"/>
  <c r="L28" i="29" s="1"/>
  <c r="M27" i="29"/>
  <c r="L27" i="29" a="1"/>
  <c r="L27" i="29" s="1"/>
  <c r="M26" i="29"/>
  <c r="L26" i="29" a="1"/>
  <c r="L26" i="29" s="1"/>
  <c r="M25" i="29"/>
  <c r="B25" i="29" s="1"/>
  <c r="L25" i="29" a="1"/>
  <c r="L25" i="29" s="1"/>
  <c r="M24" i="29"/>
  <c r="B24" i="29" s="1"/>
  <c r="L24" i="29" a="1"/>
  <c r="L24" i="29" s="1"/>
  <c r="M23" i="29"/>
  <c r="L23" i="29" a="1"/>
  <c r="L23" i="29" s="1"/>
  <c r="M22" i="29"/>
  <c r="B22" i="29" s="1"/>
  <c r="L22" i="29" a="1"/>
  <c r="L22" i="29" s="1"/>
  <c r="M21" i="29"/>
  <c r="B21" i="29" s="1"/>
  <c r="L21" i="29" a="1"/>
  <c r="L21" i="29" s="1"/>
  <c r="M20" i="29"/>
  <c r="L20" i="29" a="1"/>
  <c r="L20" i="29" s="1"/>
  <c r="M19" i="29"/>
  <c r="L19" i="29" a="1"/>
  <c r="L19" i="29" s="1"/>
  <c r="M18" i="29"/>
  <c r="B18" i="29" s="1"/>
  <c r="L18" i="29" a="1"/>
  <c r="L18" i="29" s="1"/>
  <c r="M17" i="29"/>
  <c r="B17" i="29" s="1"/>
  <c r="L17" i="29" a="1"/>
  <c r="L17" i="29" s="1"/>
  <c r="M16" i="29"/>
  <c r="B16" i="29" s="1"/>
  <c r="L16" i="29" a="1"/>
  <c r="L16" i="29" s="1"/>
  <c r="M15" i="29"/>
  <c r="B15" i="29" s="1"/>
  <c r="M13" i="29"/>
  <c r="L13" i="29" a="1"/>
  <c r="L13" i="29" s="1"/>
  <c r="M12" i="29"/>
  <c r="B12" i="29" s="1"/>
  <c r="L12" i="29" a="1"/>
  <c r="L12" i="29" s="1"/>
  <c r="M11" i="29"/>
  <c r="B11" i="29" s="1"/>
  <c r="L11" i="29" a="1"/>
  <c r="L11" i="29" s="1"/>
  <c r="M10" i="29"/>
  <c r="B10" i="29" s="1"/>
  <c r="L10" i="29" a="1"/>
  <c r="L10" i="29" s="1"/>
  <c r="M8" i="29"/>
  <c r="B8" i="29" s="1"/>
  <c r="L8" i="29" a="1"/>
  <c r="L8" i="29" s="1"/>
  <c r="M7" i="29"/>
  <c r="B7" i="29" s="1"/>
  <c r="L7" i="29" a="1"/>
  <c r="L7" i="29" s="1"/>
  <c r="M6" i="29"/>
  <c r="B6" i="29" s="1"/>
  <c r="L6" i="29" a="1"/>
  <c r="L6" i="29" s="1"/>
  <c r="M5" i="29"/>
  <c r="L5" i="29" a="1"/>
  <c r="L5" i="29" s="1"/>
  <c r="M4" i="29"/>
  <c r="B4" i="29" s="1"/>
  <c r="L4" i="29" a="1"/>
  <c r="L4" i="29"/>
  <c r="A4" i="29"/>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7" i="23"/>
  <c r="K7" i="23"/>
  <c r="L7" i="23"/>
  <c r="M7" i="23"/>
  <c r="N7" i="23"/>
  <c r="O7" i="23"/>
  <c r="P7" i="23"/>
  <c r="Q7" i="23"/>
  <c r="R7" i="23"/>
  <c r="S7" i="23"/>
  <c r="T7" i="23"/>
  <c r="U7" i="23"/>
  <c r="V7" i="23"/>
  <c r="W7" i="23"/>
  <c r="X7" i="23"/>
  <c r="Y7" i="23"/>
  <c r="Z7" i="23"/>
  <c r="AA7" i="23"/>
  <c r="AB7" i="23"/>
  <c r="AC7" i="23"/>
  <c r="AD7" i="23"/>
  <c r="AE7" i="23"/>
  <c r="AF7" i="23"/>
  <c r="AG7" i="23"/>
  <c r="AH7" i="23"/>
  <c r="AI7" i="23"/>
  <c r="AJ7" i="23"/>
  <c r="AK7" i="23"/>
  <c r="AL7" i="23"/>
  <c r="AM7" i="23"/>
  <c r="AN7" i="23"/>
  <c r="AO7" i="23"/>
  <c r="AP7" i="23"/>
  <c r="AQ7" i="23"/>
  <c r="AR7" i="23"/>
  <c r="AS7" i="23"/>
  <c r="AT7" i="23"/>
  <c r="AU7" i="23"/>
  <c r="AV7" i="23"/>
  <c r="AW7" i="23"/>
  <c r="AX7" i="23"/>
  <c r="AY7" i="23"/>
  <c r="AZ7" i="23"/>
  <c r="BA7" i="23"/>
  <c r="BB7" i="23"/>
  <c r="BC7" i="23"/>
  <c r="BD7" i="23"/>
  <c r="BE7" i="23"/>
  <c r="BF7" i="23"/>
  <c r="BG7" i="23"/>
  <c r="BH7" i="23"/>
  <c r="BI7"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B60" i="29" l="1"/>
  <c r="B5" i="29"/>
  <c r="B28" i="29"/>
  <c r="B23" i="29"/>
  <c r="B13" i="29"/>
  <c r="B65" i="29"/>
  <c r="O49" i="29"/>
  <c r="N49" i="29"/>
  <c r="O50" i="29"/>
  <c r="N50" i="29"/>
  <c r="N51" i="29"/>
  <c r="O51" i="29" s="1"/>
  <c r="O52" i="29"/>
  <c r="N52" i="29"/>
  <c r="N53" i="29"/>
  <c r="O53" i="29" s="1"/>
  <c r="B19" i="29"/>
  <c r="B47" i="29"/>
  <c r="B46" i="29"/>
  <c r="B44" i="29"/>
  <c r="B41" i="29"/>
  <c r="B32" i="29"/>
  <c r="B34" i="29"/>
  <c r="H1" i="28"/>
  <c r="F1" i="28"/>
  <c r="B69" i="29"/>
  <c r="O4" i="29"/>
  <c r="N4" i="29"/>
  <c r="B20" i="29"/>
  <c r="B26" i="29"/>
  <c r="B27" i="29"/>
  <c r="B29" i="29"/>
  <c r="B30" i="29"/>
  <c r="B31" i="29"/>
  <c r="B42" i="29"/>
  <c r="B70" i="29"/>
  <c r="B71" i="29"/>
  <c r="B72" i="29"/>
  <c r="B73" i="29"/>
  <c r="B75" i="29"/>
  <c r="B76" i="29"/>
  <c r="B77" i="29"/>
  <c r="N5" i="29"/>
  <c r="O5" i="29" s="1"/>
  <c r="O6" i="29"/>
  <c r="N6" i="29"/>
  <c r="O7" i="29"/>
  <c r="N7" i="29"/>
  <c r="O8" i="29"/>
  <c r="N8" i="29"/>
  <c r="O10" i="29"/>
  <c r="N10" i="29"/>
  <c r="O11" i="29"/>
  <c r="N11" i="29"/>
  <c r="O12" i="29"/>
  <c r="N12" i="29"/>
  <c r="N13" i="29"/>
  <c r="O13" i="29" s="1"/>
  <c r="O15" i="29"/>
  <c r="N15" i="29"/>
  <c r="O16" i="29"/>
  <c r="N16" i="29"/>
  <c r="O17" i="29"/>
  <c r="N17" i="29"/>
  <c r="O18" i="29"/>
  <c r="N18" i="29"/>
  <c r="N19" i="29"/>
  <c r="O19" i="29" s="1"/>
  <c r="N20" i="29"/>
  <c r="O20" i="29" s="1"/>
  <c r="O21" i="29"/>
  <c r="N21" i="29"/>
  <c r="O22" i="29"/>
  <c r="N22" i="29"/>
  <c r="N23" i="29"/>
  <c r="O23" i="29" s="1"/>
  <c r="O24" i="29"/>
  <c r="N24" i="29"/>
  <c r="O25" i="29"/>
  <c r="N25" i="29"/>
  <c r="N26" i="29"/>
  <c r="O26" i="29" s="1"/>
  <c r="N27" i="29"/>
  <c r="O27" i="29" s="1"/>
  <c r="N28" i="29"/>
  <c r="O28" i="29" s="1"/>
  <c r="N29" i="29"/>
  <c r="O29" i="29" s="1"/>
  <c r="N30" i="29"/>
  <c r="O30" i="29" s="1"/>
  <c r="N31" i="29"/>
  <c r="O31" i="29" s="1"/>
  <c r="N32" i="29"/>
  <c r="O32" i="29" s="1"/>
  <c r="O33" i="29"/>
  <c r="N33" i="29"/>
  <c r="N34" i="29"/>
  <c r="O34" i="29" s="1"/>
  <c r="O35" i="29"/>
  <c r="N35" i="29"/>
  <c r="O36" i="29"/>
  <c r="N36" i="29"/>
  <c r="O37" i="29"/>
  <c r="N37" i="29"/>
  <c r="O38" i="29"/>
  <c r="N38" i="29"/>
  <c r="O39" i="29"/>
  <c r="N39" i="29"/>
  <c r="O40" i="29"/>
  <c r="N40" i="29"/>
  <c r="N41" i="29"/>
  <c r="O41" i="29" s="1"/>
  <c r="N42" i="29"/>
  <c r="O42" i="29" s="1"/>
  <c r="O43" i="29"/>
  <c r="N43" i="29"/>
  <c r="N44" i="29"/>
  <c r="O44" i="29" s="1"/>
  <c r="O45" i="29"/>
  <c r="N45" i="29"/>
  <c r="N46" i="29"/>
  <c r="O46" i="29" s="1"/>
  <c r="N47" i="29"/>
  <c r="O47" i="29" s="1"/>
  <c r="O48" i="29"/>
  <c r="N48" i="29"/>
  <c r="O54" i="29"/>
  <c r="N54" i="29"/>
  <c r="O55" i="29"/>
  <c r="N55" i="29"/>
  <c r="O56" i="29"/>
  <c r="N56" i="29"/>
  <c r="O57" i="29"/>
  <c r="N57" i="29"/>
  <c r="O58" i="29"/>
  <c r="N58" i="29"/>
  <c r="O59" i="29"/>
  <c r="N59" i="29"/>
  <c r="N60" i="29"/>
  <c r="O60" i="29" s="1"/>
  <c r="O61" i="29"/>
  <c r="N61" i="29"/>
  <c r="O62" i="29"/>
  <c r="N62" i="29"/>
  <c r="O63" i="29"/>
  <c r="N63" i="29"/>
  <c r="O64" i="29"/>
  <c r="N64" i="29"/>
  <c r="N65" i="29"/>
  <c r="O65" i="29" s="1"/>
  <c r="O66" i="29"/>
  <c r="N66" i="29"/>
  <c r="O67" i="29"/>
  <c r="N67" i="29"/>
  <c r="O68" i="29"/>
  <c r="N68" i="29"/>
  <c r="O69" i="29"/>
  <c r="N69" i="29"/>
  <c r="O70" i="29"/>
  <c r="N70" i="29"/>
  <c r="O71" i="29"/>
  <c r="N71" i="29"/>
  <c r="O72" i="29"/>
  <c r="N72" i="29"/>
  <c r="O73" i="29"/>
  <c r="N73" i="29"/>
  <c r="N74" i="29"/>
  <c r="O74" i="29" s="1"/>
  <c r="O75" i="29"/>
  <c r="N75" i="29"/>
  <c r="O76" i="29"/>
  <c r="N76" i="29"/>
  <c r="O77" i="29"/>
  <c r="N77" i="29"/>
  <c r="O78" i="29"/>
  <c r="N78" i="29"/>
  <c r="O79" i="29"/>
  <c r="N79" i="29"/>
  <c r="O80" i="29"/>
  <c r="N80" i="29"/>
  <c r="O81" i="29"/>
  <c r="N81" i="29"/>
  <c r="O82" i="29"/>
  <c r="N82" i="29"/>
  <c r="O83" i="29"/>
  <c r="N83" i="29"/>
  <c r="O84" i="29"/>
  <c r="N84" i="29"/>
  <c r="O85" i="29"/>
  <c r="N85" i="29"/>
  <c r="O86" i="29"/>
  <c r="N86" i="29"/>
  <c r="O87" i="29"/>
  <c r="N87" i="29"/>
  <c r="N88" i="29"/>
  <c r="O88" i="29" s="1"/>
  <c r="O89" i="29"/>
  <c r="N89" i="29"/>
  <c r="N90" i="29"/>
  <c r="O90" i="29" s="1"/>
  <c r="O91" i="29"/>
  <c r="N91" i="29"/>
  <c r="O92" i="29"/>
  <c r="N92" i="29"/>
  <c r="O93" i="29"/>
  <c r="N93" i="29"/>
  <c r="O94" i="29"/>
  <c r="N94" i="29"/>
  <c r="O95" i="29"/>
  <c r="N95" i="29"/>
  <c r="O96" i="29"/>
  <c r="N96" i="29"/>
  <c r="O97" i="29"/>
  <c r="N97" i="29"/>
  <c r="O98" i="29"/>
  <c r="N98"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E8A77550-FB2F-4823-93CB-A3244927B6F8}">
      <text>
        <r>
          <rPr>
            <sz val="11"/>
            <color theme="1"/>
            <rFont val="맑은 고딕"/>
            <family val="2"/>
            <scheme val="minor"/>
          </rPr>
          <t>고객사명 기준 추정 국가. 노란색 셀은 확인 필요.</t>
        </r>
      </text>
    </comment>
    <comment ref="G3" authorId="0" shapeId="0" xr:uid="{7C3FBEA5-AD5B-44B4-B97B-004B3C134B2A}">
      <text>
        <r>
          <rPr>
            <sz val="11"/>
            <color theme="1"/>
            <rFont val="맑은 고딕"/>
            <family val="2"/>
            <scheme val="minor"/>
          </rPr>
          <t>Dropdown: High / Mid / Low. Set by Sales/PM (unset count shown in the summary panel).</t>
        </r>
      </text>
    </comment>
    <comment ref="L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O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S3" authorId="0" shapeId="0" xr:uid="{96588028-9B13-4E61-9C9F-35F411FB908A}">
      <text>
        <r>
          <rPr>
            <sz val="11"/>
            <color theme="1"/>
            <rFont val="맑은 고딕"/>
            <family val="2"/>
            <scheme val="minor"/>
          </rPr>
          <t>M~W열은 수동 입력(단계별 실제 일자). CRM 시트의 NDA~API Live 이력에서 시딩됨.</t>
        </r>
      </text>
    </comment>
    <comment ref="AE3" authorId="0" shapeId="0" xr:uid="{BDFCCA1F-04D3-4795-A7A7-E516CCE2E265}">
      <text>
        <r>
          <rPr>
            <sz val="11"/>
            <color theme="1"/>
            <rFont val="맑은 고딕"/>
            <family val="2"/>
            <scheme val="minor"/>
          </rPr>
          <t>Progress % 계산 가중치. M~W 단계 순서와 1:1 대응. 파란색 = 직접 수정 가능한 입력값.</t>
        </r>
      </text>
    </comment>
    <comment ref="H4" authorId="0" shapeId="0" xr:uid="{18C72DFD-6807-428C-8933-D678116C03FE}">
      <text>
        <r>
          <rPr>
            <sz val="11"/>
            <color theme="1"/>
            <rFont val="맑은 고딕"/>
            <family val="2"/>
            <scheme val="minor"/>
          </rPr>
          <t>H열 OHMY Dev Load 기준 자동 토증. 매핑 표: AF11:AG13. 수식 열 — 직접 입력 금지.</t>
        </r>
      </text>
    </comment>
    <comment ref="AE5"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T16" authorId="0" shapeId="0" xr:uid="{F9CF34FA-CAB6-4500-85EC-109410E9E9FC}">
      <text>
        <r>
          <rPr>
            <sz val="11"/>
            <color theme="1"/>
            <rFont val="맑은 고딕"/>
            <family val="2"/>
            <scheme val="minor"/>
          </rPr>
          <t>Source: OMH_API_Integration_Process_Sales_Training.pptx (Phase 4) - 양사 계약서 + SLA 서명 완료</t>
        </r>
      </text>
    </comment>
    <comment ref="U16" authorId="0" shapeId="0" xr:uid="{EA4D4C3B-3405-4C9B-8BEE-3FFED229ED99}">
      <text>
        <r>
          <rPr>
            <sz val="11"/>
            <color theme="1"/>
            <rFont val="맑은 고딕"/>
            <family val="2"/>
            <scheme val="minor"/>
          </rPr>
          <t>Source: 같은 PPT (Phase 4) - SLA 별도 문서로 분리 후 동시 서명</t>
        </r>
      </text>
    </comment>
    <comment ref="X16" authorId="0" shapeId="0" xr:uid="{3ED7B781-4512-4EB5-97A2-012889693F5E}">
      <text>
        <r>
          <rPr>
            <sz val="11"/>
            <color theme="1"/>
            <rFont val="맑은 고딕"/>
            <family val="2"/>
            <scheme val="minor"/>
          </rPr>
          <t>Source: 같은 PPT (Phase 12 요약) - Cert 통과 4/29</t>
        </r>
      </text>
    </comment>
    <comment ref="Y16"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<sst xmlns="http://schemas.openxmlformats.org/spreadsheetml/2006/main" count="9344" uniqueCount="3945">
  <si>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</si>
  <si>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</si>
  <si>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</si>
  <si>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</si>
  <si>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</si>
  <si>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</si>
  <si>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</si>
  <si>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</si>
  <si>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</si>
  <si>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</si>
  <si>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</si>
  <si>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</si>
  <si>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</si>
  <si>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</si>
  <si>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</si>
  <si>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</si>
  <si>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</si>
  <si>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</si>
  <si>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</si>
  <si>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</si>
  <si>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</si>
  <si>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</si>
  <si>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</si>
  <si>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</si>
  <si>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</si>
  <si>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</si>
  <si>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</si>
  <si>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</si>
  <si>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</si>
  <si>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</si>
  <si>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</si>
  <si>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</si>
  <si>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</si>
  <si>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</si>
  <si>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</si>
  <si>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</si>
  <si>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</si>
  <si>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</si>
  <si>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</si>
  <si>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</si>
  <si>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</si>
  <si>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</si>
  <si>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</si>
  <si>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</si>
  <si>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</si>
  <si>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</si>
  <si>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</si>
  <si>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</si>
  <si>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</si>
  <si>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</si>
  <si>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</si>
  <si>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</si>
  <si>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</si>
  <si>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</si>
  <si>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</si>
  <si>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</si>
  <si>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</si>
  <si>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</si>
  <si>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</si>
  <si>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</si>
  <si>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</si>
  <si>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</si>
  <si>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</si>
  <si>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</si>
  <si>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</si>
  <si>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</si>
  <si>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</si>
  <si>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</si>
  <si>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</si>
  <si>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</si>
  <si>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</si>
  <si>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</si>
  <si>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</si>
  <si>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</si>
  <si>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</si>
  <si>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</si>
  <si>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</si>
  <si>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</si>
  <si>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</si>
  <si>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</si>
  <si>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</si>
  <si>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</si>
  <si>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</si>
  <si>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</si>
  <si>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</si>
  <si>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</si>
  <si>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</si>
  <si>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</si>
  <si>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</si>
  <si>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</si>
  <si>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</si>
  <si>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</si>
  <si>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</si>
  <si>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</si>
  <si>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</si>
  <si>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</si>
  <si>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</si>
  <si>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</si>
  <si>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</si>
  <si>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</si>
  <si>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</si>
  <si>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</si>
  <si>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</si>
  <si>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</si>
  <si>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</si>
  <si>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</si>
  <si>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</si>
  <si>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</si>
  <si>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</si>
  <si>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</si>
  <si>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</si>
  <si>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</si>
  <si>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</si>
  <si>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</si>
  <si>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</si>
  <si>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</si>
  <si>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</si>
  <si>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</si>
  <si>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</si>
  <si>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</si>
  <si>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</si>
  <si>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</si>
  <si>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</si>
  <si>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</si>
  <si>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</si>
  <si>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</si>
  <si>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</si>
  <si>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</si>
  <si>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</si>
  <si>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</si>
  <si>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</si>
  <si>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</si>
  <si>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</si>
  <si>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</si>
  <si>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</si>
  <si>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</si>
  <si>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</si>
  <si>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</si>
  <si>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</si>
  <si>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</si>
  <si>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</si>
  <si>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</si>
  <si>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</si>
  <si>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</si>
  <si>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</si>
  <si>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</si>
  <si>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</si>
  <si>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</si>
  <si>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</si>
  <si>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</si>
  <si>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</si>
  <si>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</si>
  <si>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</si>
  <si>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</si>
  <si>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</si>
  <si>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</si>
  <si>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</si>
  <si>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</si>
  <si>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</si>
  <si>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</si>
  <si>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</si>
  <si>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</si>
  <si>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</si>
  <si>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</si>
  <si>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</si>
  <si>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</si>
  <si>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</si>
  <si>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</si>
  <si>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</si>
  <si>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</si>
  <si>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</si>
  <si>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</si>
  <si>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</si>
  <si>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</si>
  <si>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</si>
  <si>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</si>
  <si>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</si>
  <si>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</si>
  <si>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</si>
  <si>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</si>
  <si>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</si>
  <si>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</si>
  <si>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</si>
  <si>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</si>
  <si>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</si>
  <si>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</si>
  <si>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</si>
  <si>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</si>
  <si>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</si>
  <si>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</si>
  <si>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</si>
  <si>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</si>
  <si>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</si>
  <si>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</si>
  <si>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</si>
  <si>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</si>
  <si>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</si>
  <si>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</si>
  <si>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</si>
  <si>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</si>
  <si>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</si>
  <si>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</si>
  <si>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</si>
  <si>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</si>
  <si>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</si>
  <si>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</si>
  <si>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</si>
  <si>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</si>
  <si>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</si>
  <si>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</si>
  <si>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</si>
  <si>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</si>
  <si>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</si>
  <si>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</si>
  <si>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to cols T~AD)</t>
  </si>
  <si>
    <t>Project / Dev Info</t>
  </si>
  <si>
    <t>Progress Status (Auto-calculated)</t>
  </si>
  <si>
    <t>Plan &amp; Issues (manual entry)</t>
  </si>
  <si>
    <t>Stage History (actual dates)</t>
  </si>
  <si>
    <t>①</t>
  </si>
  <si>
    <t>②</t>
  </si>
  <si>
    <t>③</t>
  </si>
  <si>
    <t>④</t>
  </si>
  <si>
    <t>⑤</t>
  </si>
  <si>
    <t>⑥</t>
  </si>
  <si>
    <t>⑦</t>
  </si>
  <si>
    <t>⑧</t>
  </si>
  <si>
    <t>⑨</t>
  </si>
  <si>
    <t>⑩</t>
  </si>
  <si>
    <t>⑪</t>
  </si>
  <si>
    <t>No.</t>
  </si>
  <si>
    <t>Status</t>
  </si>
  <si>
    <t>Hold/Drop</t>
  </si>
  <si>
    <t>Country</t>
  </si>
  <si>
    <t>Project</t>
  </si>
  <si>
    <t>Category</t>
  </si>
  <si>
    <t>Biz Impact</t>
  </si>
  <si>
    <t>Dev Owner</t>
  </si>
  <si>
    <t>Switching</t>
  </si>
  <si>
    <t>Handling Team</t>
  </si>
  <si>
    <t>PIC (Sales)</t>
  </si>
  <si>
    <t>Progress %</t>
  </si>
  <si>
    <t>Last Activity</t>
  </si>
  <si>
    <t>Days Elapsed</t>
  </si>
  <si>
    <t>Delay Check</t>
  </si>
  <si>
    <t>Target Go-Live</t>
  </si>
  <si>
    <t>Blocker</t>
  </si>
  <si>
    <t>Note</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</si>
  <si>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</si>
  <si>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</si>
  <si>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</si>
  <si>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</si>
  <si>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</si>
  <si>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</si>
  <si>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</si>
  <si>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</si>
  <si>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</si>
  <si>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</si>
  <si>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</si>
  <si>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</si>
  <si>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Dropped</t>
  </si>
  <si>
    <t>Korea</t>
  </si>
  <si>
    <t>HANHWA Hotel &amp; Resort</t>
  </si>
  <si>
    <t>CRS</t>
  </si>
  <si>
    <t>High</t>
  </si>
  <si>
    <t>OHMY</t>
  </si>
  <si>
    <t>SLA</t>
  </si>
  <si>
    <t>Sophia</t>
  </si>
  <si>
    <t>Contact</t>
  </si>
  <si>
    <t>China</t>
  </si>
  <si>
    <t>Shiji</t>
  </si>
  <si>
    <t>Switching System</t>
  </si>
  <si>
    <t>OHMY + Partner (50/50)</t>
  </si>
  <si>
    <t>In Development</t>
  </si>
  <si>
    <t>NDA/Contract</t>
  </si>
  <si>
    <t>Spain</t>
  </si>
  <si>
    <t>TGX</t>
  </si>
  <si>
    <t>On Hold</t>
  </si>
  <si>
    <t>Juniper</t>
  </si>
  <si>
    <t>Mid</t>
  </si>
  <si>
    <t>Partner (client-side)</t>
  </si>
  <si>
    <t>Testing</t>
  </si>
  <si>
    <t>Singapore</t>
  </si>
  <si>
    <t>TAN</t>
  </si>
  <si>
    <t>Low</t>
  </si>
  <si>
    <t>Live</t>
  </si>
  <si>
    <t>IOL</t>
  </si>
  <si>
    <t>Derbysoft</t>
  </si>
  <si>
    <t>Dev Owner Mapping (H → I)</t>
  </si>
  <si>
    <t>USA</t>
  </si>
  <si>
    <t>Synxis</t>
  </si>
  <si>
    <t>Full</t>
  </si>
  <si>
    <t>11infortec</t>
  </si>
  <si>
    <t>Half</t>
  </si>
  <si>
    <t>Hong Kong</t>
  </si>
  <si>
    <t>Klook</t>
  </si>
  <si>
    <t>Channel API</t>
  </si>
  <si>
    <t>GSM</t>
  </si>
  <si>
    <t>Grace</t>
  </si>
  <si>
    <t>Minimal</t>
  </si>
  <si>
    <t>Indonesia</t>
  </si>
  <si>
    <t>Tiket.com</t>
  </si>
  <si>
    <t>Aiden</t>
  </si>
  <si>
    <t>Israel</t>
  </si>
  <si>
    <t>GGT (Go Global)</t>
  </si>
  <si>
    <t xml:space="preserve"> Aiden</t>
  </si>
  <si>
    <t>India</t>
  </si>
  <si>
    <t>TBO</t>
  </si>
  <si>
    <t>Russia</t>
  </si>
  <si>
    <t>RateHawk</t>
  </si>
  <si>
    <t>Luxury Tours</t>
  </si>
  <si>
    <t>Travelata(Vivatech)</t>
  </si>
  <si>
    <t>Within Earth</t>
  </si>
  <si>
    <t>Thailand</t>
  </si>
  <si>
    <t>Pax2night</t>
  </si>
  <si>
    <t>Happy Travel</t>
  </si>
  <si>
    <t>bizplay</t>
  </si>
  <si>
    <t>HBX</t>
  </si>
  <si>
    <t>Webbeds</t>
  </si>
  <si>
    <t>Taiwan</t>
  </si>
  <si>
    <t>Lion Travel</t>
  </si>
  <si>
    <t>SHIJI</t>
  </si>
  <si>
    <t>Star Travel</t>
  </si>
  <si>
    <t>Cola Tour</t>
  </si>
  <si>
    <t>Uone</t>
  </si>
  <si>
    <t>Amerilink</t>
  </si>
  <si>
    <t>Vietnam</t>
  </si>
  <si>
    <t>Chudu24</t>
  </si>
  <si>
    <t>Fangcang</t>
  </si>
  <si>
    <t>Meiya</t>
  </si>
  <si>
    <t>IKET</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</si>
  <si>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</si>
  <si>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</si>
  <si>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</si>
  <si>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</si>
  <si>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</si>
  <si>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</si>
  <si>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</si>
  <si>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</si>
  <si>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</si>
  <si>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</si>
  <si>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</si>
  <si>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</si>
  <si>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</si>
  <si>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</si>
  <si>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</si>
  <si>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</si>
  <si>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Gotadi - HCM Branch</t>
  </si>
  <si>
    <t>Gotadi - HN Branch</t>
  </si>
  <si>
    <t>Joy Travel</t>
  </si>
  <si>
    <t>Justgotrip</t>
  </si>
  <si>
    <t>3rd Party Hotel</t>
  </si>
  <si>
    <t>Rate Hawk</t>
  </si>
  <si>
    <t>Restel Hotels</t>
  </si>
  <si>
    <t>Prime Travel</t>
  </si>
  <si>
    <t>MG Group</t>
  </si>
  <si>
    <t>Welcomebeds</t>
  </si>
  <si>
    <t>UK</t>
  </si>
  <si>
    <t>G2 Travel</t>
  </si>
  <si>
    <t>Go Global</t>
  </si>
  <si>
    <t>Japan</t>
  </si>
  <si>
    <t>Miki</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</si>
  <si>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</si>
  <si>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</si>
  <si>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</si>
  <si>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</si>
  <si>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</si>
  <si>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</si>
  <si>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</si>
  <si>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</si>
  <si>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</si>
  <si>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</si>
  <si>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</si>
  <si>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</si>
  <si>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</si>
  <si>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</si>
  <si>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</si>
  <si>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</si>
  <si>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</si>
  <si>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</si>
  <si>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</si>
  <si>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</si>
  <si>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</si>
  <si>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</si>
  <si>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</si>
  <si>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</si>
  <si>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</si>
  <si>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</si>
  <si>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</si>
  <si>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</si>
  <si>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</si>
  <si>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</si>
  <si>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</si>
  <si>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</si>
  <si>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</si>
  <si>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</si>
  <si>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</si>
  <si>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Jejupay</t>
  </si>
  <si>
    <t>Jane</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</si>
  <si>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</si>
  <si>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</si>
  <si>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</si>
  <si>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</si>
  <si>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</si>
  <si>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</si>
  <si>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</si>
  <si>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</si>
  <si>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</si>
  <si>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</si>
  <si>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</si>
  <si>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</si>
  <si>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</si>
  <si>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</si>
  <si>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</si>
  <si>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</si>
  <si>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</si>
  <si>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</si>
  <si>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</si>
  <si>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</si>
  <si>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</si>
  <si>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</si>
  <si>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</si>
  <si>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</si>
  <si>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</si>
  <si>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</si>
  <si>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</si>
  <si>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</si>
  <si>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</si>
  <si>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</si>
  <si>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</si>
  <si>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</si>
  <si>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</si>
  <si>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</si>
  <si>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</si>
  <si>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</si>
  <si>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</si>
  <si>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</si>
  <si>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</si>
  <si>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</si>
  <si>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</si>
  <si>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</si>
  <si>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</si>
  <si>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</si>
  <si>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</si>
  <si>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</si>
  <si>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</si>
  <si>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</si>
  <si>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</si>
  <si>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</si>
  <si>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</si>
  <si>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</si>
  <si>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</si>
  <si>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</si>
  <si>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</si>
  <si>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</si>
  <si>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</si>
  <si>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</si>
  <si>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</si>
  <si>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</si>
  <si>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</si>
  <si>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</si>
  <si>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</si>
  <si>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</si>
  <si>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</si>
  <si>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</si>
  <si>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</si>
  <si>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</si>
  <si>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</si>
  <si>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</si>
  <si>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</si>
  <si>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</si>
  <si>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</si>
  <si>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</si>
  <si>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</si>
  <si>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</si>
  <si>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</si>
  <si>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</si>
  <si>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</si>
  <si>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</si>
  <si>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</si>
  <si>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</si>
  <si>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</si>
  <si>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</si>
  <si>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</si>
  <si>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</si>
  <si>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</si>
  <si>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</si>
  <si>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</si>
  <si>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</si>
  <si>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</si>
  <si>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</si>
  <si>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</si>
  <si>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</si>
  <si>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</si>
  <si>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</si>
  <si>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</si>
  <si>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</si>
  <si>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</si>
  <si>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</si>
  <si>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</si>
  <si>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</si>
  <si>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</si>
  <si>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</si>
  <si>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</si>
  <si>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</si>
  <si>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</si>
  <si>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</si>
  <si>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</si>
  <si>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</si>
  <si>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</si>
  <si>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</si>
  <si>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</si>
  <si>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</si>
  <si>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</si>
  <si>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</si>
  <si>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</si>
  <si>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</si>
  <si>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</si>
  <si>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</si>
  <si>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</si>
  <si>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</si>
  <si>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</si>
  <si>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</si>
  <si>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</si>
  <si>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</si>
  <si>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</si>
  <si>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</si>
  <si>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</si>
  <si>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Following up with SCM on some denied create-new-room requests, almost finished</t>
  </si>
  <si>
    <t>Ctrip KR Manual Check - Aug 2026</t>
  </si>
  <si>
    <t>Manual Check/Map</t>
  </si>
  <si>
    <t>896 rooms. Prioritizing Alitrip recheck</t>
  </si>
  <si>
    <t>Recheck Alitrip's Manual Mapping</t>
  </si>
  <si>
    <t>In Progress</t>
  </si>
  <si>
    <t>~1100 rooms</t>
  </si>
  <si>
    <t>Meituan Manual Check</t>
  </si>
  <si>
    <t>Not Started</t>
  </si>
  <si>
    <t>Unknown quantity, checking</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</si>
  <si>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</si>
  <si>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</si>
  <si>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</si>
  <si>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</si>
  <si>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</si>
  <si>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</si>
  <si>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</si>
  <si>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</si>
  <si>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</si>
  <si>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</si>
  <si>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</si>
  <si>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</si>
  <si>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</si>
  <si>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</si>
  <si>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</si>
  <si>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</si>
  <si>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</si>
  <si>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</si>
  <si>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</si>
  <si>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</si>
  <si>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</si>
  <si>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</si>
  <si>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</si>
  <si>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</si>
  <si>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</si>
  <si>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</si>
  <si>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</si>
  <si>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</si>
  <si>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</si>
  <si>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</si>
  <si>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</si>
  <si>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</si>
  <si>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</si>
  <si>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</si>
  <si>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</si>
  <si>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</si>
  <si>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</si>
  <si>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</si>
  <si>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</si>
  <si>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</si>
  <si>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</si>
  <si>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</si>
  <si>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</si>
  <si>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</si>
  <si>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</si>
  <si>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</si>
  <si>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</si>
  <si>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</si>
  <si>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</si>
  <si>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</si>
  <si>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</si>
  <si>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</si>
  <si>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</si>
  <si>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</si>
  <si>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</si>
  <si>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</si>
  <si>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</si>
  <si>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</si>
  <si>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</si>
  <si>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</si>
  <si>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</si>
  <si>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</si>
  <si>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</si>
  <si>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</si>
  <si>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</si>
  <si>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</si>
  <si>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</si>
  <si>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</si>
  <si>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</si>
  <si>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</si>
  <si>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</si>
  <si>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</si>
  <si>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</si>
  <si>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</si>
  <si>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</si>
  <si>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</si>
  <si>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</si>
  <si>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</si>
  <si>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</si>
  <si>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</si>
  <si>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</si>
  <si>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</si>
  <si>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</si>
  <si>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</si>
  <si>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</si>
  <si>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</si>
  <si>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</si>
  <si>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</si>
  <si>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</si>
  <si>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</si>
  <si>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</si>
  <si>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</si>
  <si>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</si>
  <si>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</si>
  <si>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</si>
  <si>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</si>
  <si>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</si>
  <si>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</si>
  <si>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</si>
  <si>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</si>
  <si>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</si>
  <si>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</si>
  <si>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</si>
  <si>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</si>
  <si>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</si>
  <si>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</si>
  <si>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</si>
  <si>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</si>
  <si>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</si>
  <si>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</si>
  <si>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</si>
  <si>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</si>
  <si>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</si>
  <si>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</si>
  <si>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</si>
  <si>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</si>
  <si>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</si>
  <si>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</si>
  <si>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</si>
  <si>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</si>
  <si>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</si>
  <si>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</si>
  <si>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</si>
  <si>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</si>
  <si>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</si>
  <si>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</si>
  <si>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</si>
  <si>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</si>
  <si>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</si>
  <si>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</si>
  <si>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</si>
  <si>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</si>
  <si>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</si>
  <si>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</si>
  <si>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</si>
  <si>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</si>
  <si>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</si>
  <si>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</si>
  <si>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</si>
  <si>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</si>
  <si>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</si>
  <si>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</si>
  <si>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</si>
  <si>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</si>
  <si>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</si>
  <si>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</si>
  <si>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</si>
  <si>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</si>
  <si>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</si>
  <si>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</si>
  <si>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</si>
  <si>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</si>
  <si>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</si>
  <si>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</si>
  <si>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</si>
  <si>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</si>
  <si>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</si>
  <si>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</si>
  <si>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</si>
  <si>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</si>
  <si>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</si>
  <si>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</si>
  <si>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</si>
  <si>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</si>
  <si>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</si>
  <si>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</si>
  <si>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</si>
  <si>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</si>
  <si>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</si>
  <si>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</si>
  <si>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</si>
  <si>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</si>
  <si>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</si>
  <si>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</si>
  <si>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</si>
  <si>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</si>
  <si>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</si>
  <si>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</si>
  <si>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</si>
  <si>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</si>
  <si>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</si>
  <si>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</si>
  <si>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</si>
  <si>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</si>
  <si>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</si>
  <si>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</si>
  <si>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</si>
  <si>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</si>
  <si>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</si>
  <si>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</si>
  <si>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</si>
  <si>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</si>
  <si>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</si>
  <si>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</si>
  <si>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</si>
  <si>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</si>
  <si>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</si>
  <si>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</si>
  <si>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</si>
  <si>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</si>
  <si>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</si>
  <si>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</si>
  <si>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</si>
  <si>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</si>
  <si>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</si>
  <si>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</si>
  <si>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</si>
  <si>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</si>
  <si>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</si>
  <si>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</si>
  <si>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</si>
  <si>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</si>
  <si>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</si>
  <si>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</si>
  <si>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</si>
  <si>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</si>
  <si>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</si>
  <si>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</si>
  <si>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</si>
  <si>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</si>
  <si>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</si>
  <si>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8/31~9/4</t>
  </si>
  <si>
    <t xml:space="preserve">샬레코리아 </t>
  </si>
  <si>
    <t>1차 제출 완료, 추가 요청 있어 JP SCM 확인 중</t>
  </si>
  <si>
    <t>호텔패스</t>
  </si>
  <si>
    <t>9월 프로모션</t>
  </si>
  <si>
    <t>호텔리스트 회신 완료</t>
  </si>
  <si>
    <t>11월로 진행 할지 JP SCM 확인 중</t>
  </si>
  <si>
    <t>4분기 요금 요청</t>
  </si>
  <si>
    <t>요금표 전달 완료</t>
  </si>
  <si>
    <t>4분기 연장</t>
  </si>
  <si>
    <t>요청 완료 및 연장 확인</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</si>
  <si>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</si>
  <si>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</si>
  <si>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</si>
  <si>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</si>
  <si>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</si>
  <si>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</si>
  <si>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</si>
  <si>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</si>
  <si>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</si>
  <si>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</si>
  <si>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</si>
  <si>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</si>
  <si>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</si>
  <si>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</si>
  <si>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</si>
  <si>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</si>
  <si>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</si>
  <si>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</si>
  <si>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</si>
  <si>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</si>
  <si>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</si>
  <si>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</si>
  <si>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</si>
  <si>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</si>
  <si>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</si>
  <si>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</si>
  <si>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</si>
  <si>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</si>
  <si>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</si>
  <si>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</si>
  <si>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</si>
  <si>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</si>
  <si>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</si>
  <si>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</si>
  <si>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</si>
  <si>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</si>
  <si>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</si>
  <si>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</si>
  <si>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</si>
  <si>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</si>
  <si>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</si>
  <si>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</si>
  <si>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</si>
  <si>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</si>
  <si>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</si>
  <si>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</si>
  <si>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</si>
  <si>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</si>
  <si>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</si>
  <si>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</si>
  <si>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</si>
  <si>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</si>
  <si>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</si>
  <si>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</si>
  <si>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</si>
  <si>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</si>
  <si>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</si>
  <si>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</si>
  <si>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</si>
  <si>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</si>
  <si>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</si>
  <si>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</si>
  <si>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</si>
  <si>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</si>
  <si>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</si>
  <si>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</si>
  <si>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</si>
  <si>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</si>
  <si>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</si>
  <si>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</si>
  <si>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</si>
  <si>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</si>
  <si>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</si>
  <si>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</si>
  <si>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</si>
  <si>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</si>
  <si>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</si>
  <si>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</si>
  <si>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</si>
  <si>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</si>
  <si>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</si>
  <si>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</si>
  <si>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</si>
  <si>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</si>
  <si>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</si>
  <si>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</si>
  <si>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</si>
  <si>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</si>
  <si>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</si>
  <si>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</si>
  <si>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</si>
  <si>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</si>
  <si>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</si>
  <si>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</si>
  <si>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</si>
  <si>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</si>
  <si>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</si>
  <si>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</si>
  <si>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</si>
  <si>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</si>
  <si>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</si>
  <si>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</si>
  <si>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</si>
  <si>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</si>
  <si>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</si>
  <si>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</si>
  <si>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</si>
  <si>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</si>
  <si>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</si>
  <si>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</si>
  <si>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</si>
  <si>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</si>
  <si>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</si>
  <si>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</si>
  <si>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</si>
  <si>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</si>
  <si>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</si>
  <si>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</si>
  <si>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</si>
  <si>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</si>
  <si>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</si>
  <si>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</si>
  <si>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</si>
  <si>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</si>
  <si>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</si>
  <si>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</si>
  <si>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</si>
  <si>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</si>
  <si>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</si>
  <si>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</si>
  <si>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</si>
  <si>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</si>
  <si>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</si>
  <si>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</si>
  <si>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</si>
  <si>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</si>
  <si>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</si>
  <si>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</si>
  <si>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</si>
  <si>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</si>
  <si>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</si>
  <si>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</si>
  <si>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</si>
  <si>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</si>
  <si>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</si>
  <si>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</si>
  <si>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</si>
  <si>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</si>
  <si>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</si>
  <si>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</si>
  <si>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</si>
  <si>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</si>
  <si>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</si>
  <si>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</si>
  <si>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</si>
  <si>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</si>
  <si>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</si>
  <si>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</si>
  <si>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</si>
  <si>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</si>
  <si>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</si>
  <si>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</si>
  <si>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</si>
  <si>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</si>
  <si>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</si>
  <si>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</si>
  <si>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</si>
  <si>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</si>
  <si>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</si>
  <si>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</si>
  <si>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</si>
  <si>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</si>
  <si>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</si>
  <si>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</si>
  <si>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</si>
  <si>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</si>
  <si>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</si>
  <si>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</si>
  <si>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</si>
  <si>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</si>
  <si>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</si>
  <si>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</si>
  <si>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</si>
  <si>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</si>
  <si>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</si>
  <si>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</si>
  <si>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</si>
  <si>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</si>
  <si>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</si>
  <si>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</si>
  <si>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</si>
  <si>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</si>
  <si>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</si>
  <si>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</si>
  <si>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</si>
  <si>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</si>
  <si>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</si>
  <si>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</si>
  <si>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</si>
  <si>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</si>
  <si>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</si>
  <si>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</si>
  <si>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</si>
  <si>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</si>
  <si>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</si>
  <si>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</si>
  <si>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</si>
  <si>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</si>
  <si>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</si>
  <si>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</si>
  <si>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</si>
  <si>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</si>
  <si>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</si>
  <si>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</si>
  <si>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</si>
  <si>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</si>
  <si>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</si>
  <si>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</si>
  <si>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</si>
  <si>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</si>
  <si>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</si>
  <si>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</si>
  <si>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</si>
  <si>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</si>
  <si>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</si>
  <si>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</si>
  <si>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</si>
  <si>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</si>
  <si>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</si>
  <si>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</si>
  <si>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</si>
  <si>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</si>
  <si>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</si>
  <si>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</si>
  <si>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</si>
  <si>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</si>
  <si>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</si>
  <si>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</si>
  <si>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</si>
  <si>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</si>
  <si>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</si>
  <si>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</si>
  <si>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</si>
  <si>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</si>
  <si>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</si>
  <si>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</si>
  <si>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</si>
  <si>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</si>
  <si>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</si>
  <si>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</si>
  <si>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</si>
  <si>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</si>
  <si>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</si>
  <si>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</si>
  <si>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</si>
  <si>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</si>
  <si>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</si>
  <si>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</si>
  <si>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</si>
  <si>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</si>
  <si>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</si>
  <si>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</si>
  <si>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</si>
  <si>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</si>
  <si>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</si>
  <si>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</si>
  <si>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</si>
  <si>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</si>
  <si>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</si>
  <si>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</si>
  <si>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</si>
  <si>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</si>
  <si>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</si>
  <si>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</si>
  <si>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</si>
  <si>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</si>
  <si>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</si>
  <si>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</si>
  <si>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</si>
  <si>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</si>
  <si>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</si>
  <si>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</si>
  <si>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</si>
  <si>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</si>
  <si>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</si>
  <si>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</si>
  <si>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</si>
  <si>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</si>
  <si>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</si>
  <si>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</si>
  <si>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</si>
  <si>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</si>
  <si>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</si>
  <si>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</si>
  <si>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</si>
  <si>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</si>
  <si>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</si>
  <si>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</si>
  <si>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</si>
  <si>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</si>
  <si>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</si>
  <si>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</si>
  <si>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</si>
  <si>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</si>
  <si>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</si>
  <si>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</si>
  <si>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</si>
  <si>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</si>
  <si>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</si>
  <si>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</si>
  <si>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</si>
  <si>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</si>
  <si>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</si>
  <si>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</si>
  <si>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</si>
  <si>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</si>
  <si>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</si>
  <si>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</si>
  <si>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</si>
  <si>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</si>
  <si>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</si>
  <si>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</si>
  <si>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</si>
  <si>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</si>
  <si>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</si>
  <si>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</si>
  <si>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</si>
  <si>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</si>
  <si>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</si>
  <si>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</si>
  <si>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</si>
  <si>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</si>
  <si>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</si>
  <si>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</si>
  <si>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</si>
  <si>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</si>
  <si>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</si>
  <si>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</si>
  <si>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</si>
  <si>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</si>
  <si>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</si>
  <si>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</si>
  <si>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</si>
  <si>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</si>
  <si>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</si>
  <si>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</si>
  <si>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</si>
  <si>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</si>
  <si>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</si>
  <si>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</si>
  <si>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</si>
  <si>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</si>
  <si>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</si>
  <si>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</si>
  <si>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</si>
  <si>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</si>
  <si>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</si>
  <si>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</si>
  <si>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</si>
  <si>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</si>
  <si>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</si>
  <si>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</si>
  <si>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</si>
  <si>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</si>
  <si>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</si>
  <si>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</si>
  <si>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</si>
  <si>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</si>
  <si>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</si>
  <si>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</si>
  <si>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</si>
  <si>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</si>
  <si>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</si>
  <si>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</si>
  <si>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</si>
  <si>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</si>
  <si>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</si>
  <si>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</si>
  <si>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</si>
  <si>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</si>
  <si>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</si>
  <si>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</si>
  <si>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</si>
  <si>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</si>
  <si>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</si>
  <si>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</si>
  <si>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</si>
  <si>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</si>
  <si>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</si>
  <si>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</si>
  <si>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</si>
  <si>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</si>
  <si>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</si>
  <si>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</si>
  <si>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</si>
  <si>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</si>
  <si>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</si>
  <si>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</si>
  <si>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</si>
  <si>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</si>
  <si>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</si>
  <si>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</si>
  <si>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</si>
  <si>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</si>
  <si>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</si>
  <si>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</si>
  <si>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</si>
  <si>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</si>
  <si>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</si>
  <si>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</si>
  <si>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</si>
  <si>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</si>
  <si>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</si>
  <si>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</si>
  <si>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</si>
  <si>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</si>
  <si>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</si>
  <si>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</si>
  <si>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</si>
  <si>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</si>
  <si>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</si>
  <si>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</si>
  <si>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</si>
  <si>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</si>
  <si>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</si>
  <si>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</si>
  <si>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</si>
  <si>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</si>
  <si>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</si>
  <si>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</si>
  <si>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</si>
  <si>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HotelBank</t>
  </si>
  <si>
    <t xml:space="preserve">Explained to Terence that Paul's balance information </t>
  </si>
  <si>
    <t>SHA used , refund extra to floating</t>
  </si>
  <si>
    <t>Proposed IT's solution for the "Single Use" room type name</t>
  </si>
  <si>
    <t>IT F/U</t>
  </si>
  <si>
    <t>JL-Tour</t>
  </si>
  <si>
    <t>Sent Vicky the mapping list and the go-live procedure</t>
  </si>
  <si>
    <t>New mapping list before go live</t>
  </si>
  <si>
    <t xml:space="preserve">Replied on the "Single Use" room type naming issue </t>
  </si>
  <si>
    <t>Mafengwo Agreement feedback</t>
  </si>
  <si>
    <t>checking with agreement</t>
  </si>
  <si>
    <t>Partner Blast</t>
  </si>
  <si>
    <t>New hotel introduction blast to partners - MYME Hotel, Seoul (Hongdae/Hapjeong/Mapo)</t>
  </si>
  <si>
    <t>promotion</t>
  </si>
  <si>
    <t>Suzhou Yilv</t>
  </si>
  <si>
    <t>Acknowledged mapping</t>
  </si>
  <si>
    <t>go live in early Sept</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</si>
  <si>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</si>
  <si>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</si>
  <si>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</si>
  <si>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</si>
  <si>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</si>
  <si>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</si>
  <si>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</si>
  <si>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</si>
  <si>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</si>
  <si>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</si>
  <si>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</si>
  <si>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</si>
  <si>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</si>
  <si>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</si>
  <si>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</si>
  <si>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</si>
  <si>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</si>
  <si>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</si>
  <si>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</si>
  <si>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</si>
  <si>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</si>
  <si>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</si>
  <si>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</si>
  <si>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</si>
  <si>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</si>
  <si>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</si>
  <si>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</si>
  <si>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</si>
  <si>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</si>
  <si>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</si>
  <si>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</si>
  <si>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</si>
  <si>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</si>
  <si>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</si>
  <si>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</si>
  <si>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</si>
  <si>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</si>
  <si>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</si>
  <si>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</si>
  <si>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</si>
  <si>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</si>
  <si>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</si>
  <si>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</si>
  <si>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</si>
  <si>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</si>
  <si>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</si>
  <si>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</si>
  <si>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</si>
  <si>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</si>
  <si>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</si>
  <si>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</si>
  <si>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</si>
  <si>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</si>
  <si>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</si>
  <si>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</si>
  <si>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</si>
  <si>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</si>
  <si>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</si>
  <si>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</si>
  <si>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</si>
  <si>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</si>
  <si>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</si>
  <si>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</si>
  <si>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</si>
  <si>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</si>
  <si>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</si>
  <si>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</si>
  <si>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</si>
  <si>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</si>
  <si>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</si>
  <si>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</si>
  <si>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</si>
  <si>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</si>
  <si>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</si>
  <si>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</si>
  <si>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</si>
  <si>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</si>
  <si>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</si>
  <si>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</si>
  <si>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</si>
  <si>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</si>
  <si>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</si>
  <si>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</si>
  <si>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</si>
  <si>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</si>
  <si>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</si>
  <si>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</si>
  <si>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</si>
  <si>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</si>
  <si>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</si>
  <si>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</si>
  <si>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</si>
  <si>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</si>
  <si>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</si>
  <si>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</si>
  <si>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</si>
  <si>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</si>
  <si>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</si>
  <si>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</si>
  <si>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</si>
  <si>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</si>
  <si>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</si>
  <si>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</si>
  <si>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</si>
  <si>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</si>
  <si>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</si>
  <si>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</si>
  <si>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</si>
  <si>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</si>
  <si>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</si>
  <si>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</si>
  <si>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</si>
  <si>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</si>
  <si>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</si>
  <si>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</si>
  <si>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</si>
  <si>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</si>
  <si>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</si>
  <si>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</si>
  <si>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</si>
  <si>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</si>
  <si>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</si>
  <si>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</si>
  <si>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</si>
  <si>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</si>
  <si>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</si>
  <si>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</si>
  <si>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</si>
  <si>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</si>
  <si>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</si>
  <si>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</si>
  <si>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</si>
  <si>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</si>
  <si>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</si>
  <si>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</si>
  <si>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</si>
  <si>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</si>
  <si>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</si>
  <si>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</si>
  <si>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</si>
  <si>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</si>
  <si>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</si>
  <si>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</si>
  <si>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</si>
  <si>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</si>
  <si>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</si>
  <si>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</si>
  <si>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</si>
  <si>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</si>
  <si>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</si>
  <si>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</si>
  <si>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</si>
  <si>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</si>
  <si>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</si>
  <si>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</si>
  <si>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</si>
  <si>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</si>
  <si>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</si>
  <si>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</si>
  <si>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</si>
  <si>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</si>
  <si>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</si>
  <si>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</si>
  <si>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</si>
  <si>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</si>
  <si>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</si>
  <si>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</si>
  <si>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</si>
  <si>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</si>
  <si>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</si>
  <si>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</si>
  <si>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</si>
  <si>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</si>
  <si>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</si>
  <si>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</si>
  <si>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</si>
  <si>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</si>
  <si>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</si>
  <si>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</si>
  <si>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</si>
  <si>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</si>
  <si>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</si>
  <si>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</si>
  <si>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</si>
  <si>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</si>
  <si>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</si>
  <si>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</si>
  <si>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</si>
  <si>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</si>
  <si>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</si>
  <si>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</si>
  <si>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</si>
  <si>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</si>
  <si>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</si>
  <si>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</si>
  <si>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</si>
  <si>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</si>
  <si>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</si>
  <si>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</si>
  <si>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</si>
  <si>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</si>
  <si>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</si>
  <si>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</si>
  <si>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</si>
  <si>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</si>
  <si>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</si>
  <si>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</si>
  <si>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</si>
  <si>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</si>
  <si>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</si>
  <si>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</si>
  <si>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</si>
  <si>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</si>
  <si>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</si>
  <si>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</si>
  <si>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</si>
  <si>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</si>
  <si>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</si>
  <si>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</si>
  <si>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</si>
  <si>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</si>
  <si>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</si>
  <si>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</si>
  <si>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</si>
  <si>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</si>
  <si>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</si>
  <si>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</si>
  <si>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</si>
  <si>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</si>
  <si>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</si>
  <si>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</si>
  <si>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</si>
  <si>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</si>
  <si>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</si>
  <si>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</si>
  <si>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</si>
  <si>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</si>
  <si>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</si>
  <si>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</si>
  <si>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</si>
  <si>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</si>
  <si>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</si>
  <si>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</si>
  <si>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</si>
  <si>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</si>
  <si>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</si>
  <si>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</si>
  <si>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</si>
  <si>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</si>
  <si>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</si>
  <si>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</si>
  <si>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</si>
  <si>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</si>
  <si>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</si>
  <si>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</si>
  <si>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</si>
  <si>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</si>
  <si>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</si>
  <si>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</si>
  <si>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</si>
  <si>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</si>
  <si>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</si>
  <si>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</si>
  <si>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</si>
  <si>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</si>
  <si>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</si>
  <si>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</si>
  <si>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</si>
  <si>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</si>
  <si>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</si>
  <si>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</si>
  <si>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</si>
  <si>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</si>
  <si>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</si>
  <si>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</si>
  <si>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</si>
  <si>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</si>
  <si>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</si>
  <si>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</si>
  <si>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</si>
  <si>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</si>
  <si>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</si>
  <si>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</si>
  <si>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</si>
  <si>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Pipeline</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</si>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</sst>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03">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
      <sz val="9"/>
      <color theme="1"/>
      <name val="맑은 고딕"/>
    </font>
    <font>
      <b/>
      <sz val="9"/>
      <color theme="1"/>
      <name val="맑은 고딕"/>
    </font>
    <font>
      <sz val="9"/>
      <color rgb="FF0000FF"/>
      <name val="맑은 고딕"/>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
      <patternFill patternType="solid">
        <fgColor theme="8"/>
        <bgColor indexed="64"/>
      </patternFill>
    </fill>
  </fills>
  <borders count="72">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
      <left/>
      <right/>
      <top/>
      <bottom style="thin">
        <color rgb="FFBFBFBF"/>
      </bottom>
      <diagonal/>
    </border>
    <border>
      <left style="medium">
        <color rgb="FF404040"/>
      </left>
      <right style="thin">
        <color rgb="FFBFBFBF"/>
      </right>
      <top style="thin">
        <color rgb="FFBFBFBF"/>
      </top>
      <bottom/>
      <diagonal/>
    </border>
    <border>
      <left style="medium">
        <color rgb="FF404040"/>
      </left>
      <right style="thin">
        <color rgb="FFBFBFBF"/>
      </right>
      <top style="thin">
        <color rgb="FFBFBFBF"/>
      </top>
      <bottom style="thin">
        <color rgb="FF000000"/>
      </bottom>
      <diagonal/>
    </border>
    <border>
      <left/>
      <right style="thin">
        <color rgb="FF000000"/>
      </right>
      <top/>
      <bottom style="thin">
        <color rgb="FF000000"/>
      </bottom>
      <diagonal/>
    </border>
    <border>
      <left/>
      <right/>
      <top style="thin">
        <color rgb="FFBFBFBF"/>
      </top>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508">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16" fontId="6" fillId="0" borderId="34" xfId="0" applyNumberFormat="1" applyFont="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89" fillId="53"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4" borderId="6" xfId="0" applyFont="1" applyFill="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32" fillId="50" borderId="62" xfId="0" applyFont="1" applyFill="1" applyBorder="1" applyAlignment="1">
      <alignment horizontal="center" vertical="center" wrapText="1"/>
    </xf>
    <xf numFmtId="0" fontId="32" fillId="51" borderId="65" xfId="0" applyFont="1" applyFill="1" applyBorder="1" applyAlignment="1">
      <alignment horizontal="center" vertical="center" wrapText="1"/>
    </xf>
    <xf numFmtId="0" fontId="32" fillId="51" borderId="62" xfId="0" applyFont="1" applyFill="1" applyBorder="1" applyAlignment="1">
      <alignment horizontal="center" vertical="center" wrapText="1"/>
    </xf>
    <xf numFmtId="0" fontId="32" fillId="51" borderId="63"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90" fillId="55" borderId="6" xfId="0" applyFont="1" applyFill="1" applyBorder="1" applyAlignment="1">
      <alignment horizontal="center" vertical="center"/>
    </xf>
    <xf numFmtId="0" fontId="88" fillId="0" borderId="13" xfId="0" applyFont="1" applyBorder="1" applyAlignment="1">
      <alignment horizontal="center" vertical="center"/>
    </xf>
    <xf numFmtId="0" fontId="89" fillId="57"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7" fillId="55" borderId="6" xfId="0" applyFont="1" applyFill="1" applyBorder="1" applyAlignment="1">
      <alignment horizontal="center" vertical="center"/>
    </xf>
    <xf numFmtId="0" fontId="96" fillId="0" borderId="6" xfId="0" applyFont="1" applyBorder="1" applyAlignment="1">
      <alignment horizontal="center" vertical="center"/>
    </xf>
    <xf numFmtId="0" fontId="99" fillId="58" borderId="6" xfId="0" applyFont="1" applyFill="1" applyBorder="1" applyAlignment="1">
      <alignment horizontal="center" vertical="center"/>
    </xf>
    <xf numFmtId="0" fontId="32" fillId="50" borderId="63" xfId="0" applyFont="1" applyFill="1" applyBorder="1" applyAlignment="1">
      <alignment horizontal="center" vertical="center" wrapText="1"/>
    </xf>
    <xf numFmtId="0" fontId="32" fillId="50" borderId="65"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9" xfId="0" applyFont="1" applyFill="1" applyBorder="1" applyAlignment="1">
      <alignment horizontal="center" vertical="center" wrapText="1"/>
    </xf>
    <xf numFmtId="0" fontId="39" fillId="0" borderId="4" xfId="0" applyFont="1" applyBorder="1" applyAlignment="1">
      <alignment horizontal="center" vertical="center"/>
    </xf>
    <xf numFmtId="0" fontId="98" fillId="0" borderId="4" xfId="0" applyFont="1" applyBorder="1" applyAlignment="1">
      <alignment horizontal="center" vertical="center"/>
    </xf>
    <xf numFmtId="0" fontId="43" fillId="0" borderId="4" xfId="0" applyFont="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39" fillId="0" borderId="12" xfId="0" applyFont="1" applyBorder="1" applyAlignment="1">
      <alignment horizontal="center" vertical="center"/>
    </xf>
    <xf numFmtId="0" fontId="39" fillId="8" borderId="12" xfId="0" applyFont="1" applyFill="1" applyBorder="1" applyAlignment="1">
      <alignment horizontal="center" vertical="center"/>
    </xf>
    <xf numFmtId="0" fontId="98" fillId="0" borderId="12" xfId="0" applyFont="1" applyBorder="1" applyAlignment="1">
      <alignment horizontal="center" vertical="center"/>
    </xf>
    <xf numFmtId="0" fontId="43" fillId="0" borderId="12" xfId="0" applyFont="1" applyBorder="1" applyAlignment="1">
      <alignment horizontal="center" vertical="center"/>
    </xf>
    <xf numFmtId="0" fontId="6" fillId="0" borderId="12" xfId="0" applyFont="1" applyBorder="1" applyAlignment="1">
      <alignment horizontal="center" vertical="center"/>
    </xf>
    <xf numFmtId="0" fontId="6" fillId="8" borderId="12" xfId="0" applyFont="1" applyFill="1" applyBorder="1" applyAlignment="1">
      <alignment horizontal="center" vertical="center"/>
    </xf>
    <xf numFmtId="0" fontId="6" fillId="0" borderId="18" xfId="0" applyFont="1" applyBorder="1" applyAlignment="1">
      <alignment horizontal="center" vertical="center"/>
    </xf>
    <xf numFmtId="0" fontId="100" fillId="0" borderId="6" xfId="0" applyFont="1" applyBorder="1" applyAlignment="1">
      <alignment horizontal="center" vertical="center"/>
    </xf>
    <xf numFmtId="0" fontId="88" fillId="0" borderId="12" xfId="0" applyFont="1" applyBorder="1" applyAlignment="1">
      <alignment horizontal="center" vertical="center"/>
    </xf>
    <xf numFmtId="0" fontId="96" fillId="0" borderId="12" xfId="0" applyFont="1" applyBorder="1" applyAlignment="1">
      <alignment horizontal="left" vertical="center" wrapText="1"/>
    </xf>
    <xf numFmtId="0" fontId="46" fillId="0" borderId="12" xfId="0" applyFont="1" applyBorder="1" applyAlignment="1">
      <alignment horizontal="left" vertical="center" wrapText="1"/>
    </xf>
    <xf numFmtId="0" fontId="46" fillId="0" borderId="18" xfId="0" applyFont="1" applyBorder="1" applyAlignment="1">
      <alignment horizontal="left" vertical="center" wrapText="1"/>
    </xf>
    <xf numFmtId="0" fontId="96" fillId="0" borderId="4" xfId="0" applyFont="1" applyBorder="1" applyAlignment="1">
      <alignment horizontal="center" vertical="center" wrapText="1"/>
    </xf>
    <xf numFmtId="0" fontId="46" fillId="0" borderId="4" xfId="0" applyFont="1" applyBorder="1" applyAlignment="1">
      <alignment horizontal="center" vertical="center" wrapText="1"/>
    </xf>
    <xf numFmtId="14" fontId="87" fillId="0" borderId="70" xfId="0" applyNumberFormat="1" applyFont="1" applyBorder="1" applyAlignment="1">
      <alignment horizontal="center" vertical="center"/>
    </xf>
    <xf numFmtId="14" fontId="87" fillId="0" borderId="12" xfId="0" applyNumberFormat="1" applyFont="1" applyBorder="1" applyAlignment="1">
      <alignment horizontal="center" vertical="center"/>
    </xf>
    <xf numFmtId="14" fontId="96" fillId="0" borderId="12" xfId="0" applyNumberFormat="1" applyFont="1" applyBorder="1" applyAlignment="1">
      <alignment vertical="center"/>
    </xf>
    <xf numFmtId="14" fontId="46" fillId="0" borderId="12" xfId="0" applyNumberFormat="1" applyFont="1" applyBorder="1" applyAlignment="1">
      <alignment vertical="center"/>
    </xf>
    <xf numFmtId="14" fontId="87" fillId="0" borderId="12" xfId="0" applyNumberFormat="1" applyFont="1" applyBorder="1" applyAlignment="1">
      <alignment vertical="center"/>
    </xf>
    <xf numFmtId="14" fontId="87" fillId="0" borderId="18" xfId="0" applyNumberFormat="1" applyFont="1" applyBorder="1" applyAlignment="1">
      <alignment vertical="center"/>
    </xf>
    <xf numFmtId="0" fontId="32" fillId="52" borderId="68" xfId="0" applyFont="1" applyFill="1" applyBorder="1" applyAlignment="1">
      <alignment horizontal="center" vertical="center" wrapText="1"/>
    </xf>
    <xf numFmtId="0" fontId="32" fillId="52" borderId="71" xfId="0" applyFont="1" applyFill="1" applyBorder="1" applyAlignment="1">
      <alignment horizontal="center" vertical="center" wrapText="1"/>
    </xf>
    <xf numFmtId="14" fontId="100" fillId="0" borderId="6" xfId="0" applyNumberFormat="1" applyFont="1" applyBorder="1" applyAlignment="1">
      <alignment horizontal="center" vertical="center"/>
    </xf>
    <xf numFmtId="0" fontId="100" fillId="0" borderId="6" xfId="0" applyFont="1" applyBorder="1" applyAlignment="1">
      <alignment horizontal="left" vertical="center" wrapText="1"/>
    </xf>
    <xf numFmtId="0" fontId="101" fillId="0" borderId="0" xfId="0" applyFont="1" applyAlignment="1">
      <alignment horizontal="center"/>
    </xf>
    <xf numFmtId="0" fontId="102" fillId="0" borderId="0" xfId="0" applyFont="1" applyAlignment="1">
      <alignment horizontal="center"/>
    </xf>
    <xf numFmtId="0" fontId="99" fillId="59" borderId="6" xfId="0" applyFont="1" applyFill="1" applyBorder="1" applyAlignment="1">
      <alignment horizontal="center" vertical="center"/>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3" fillId="49" borderId="67" xfId="0" applyFont="1" applyFill="1" applyBorder="1" applyAlignment="1">
      <alignment horizontal="center"/>
    </xf>
    <xf numFmtId="0" fontId="13" fillId="49" borderId="0" xfId="0" applyFont="1" applyFill="1" applyAlignment="1">
      <alignment horizont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49" fontId="42" fillId="24" borderId="36" xfId="8" applyNumberFormat="1" applyFont="1" applyBorder="1" applyAlignment="1">
      <alignment horizontal="center" vertical="center"/>
    </xf>
    <xf numFmtId="0" fontId="7" fillId="10" borderId="37" xfId="0" applyFont="1" applyFill="1" applyBorder="1" applyAlignment="1">
      <alignment horizontal="center" vertical="center"/>
    </xf>
    <xf numFmtId="0" fontId="7" fillId="10" borderId="38" xfId="0" applyFont="1" applyFill="1" applyBorder="1" applyAlignment="1">
      <alignment horizontal="center" vertical="center"/>
    </xf>
    <xf numFmtId="0" fontId="7" fillId="10" borderId="39" xfId="0" applyFont="1" applyFill="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42" fillId="26" borderId="36" xfId="10"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6" fillId="0" borderId="29" xfId="0" applyFont="1" applyBorder="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0" xfId="0" applyFont="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84" fillId="0" borderId="0" xfId="0" applyFont="1" applyAlignment="1">
      <alignment horizontal="center" vertical="center"/>
    </xf>
    <xf numFmtId="0" fontId="6" fillId="0" borderId="0" xfId="0" applyFont="1" applyAlignment="1">
      <alignment horizontal="center" vertical="center" wrapText="1"/>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178"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76" fillId="0" borderId="0" xfId="0" applyFont="1" applyAlignment="1">
      <alignment horizontal="center" vertic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cellXfs>
  <cellStyles count="13">
    <cellStyle name="20% - 강조색2" xfId="7" builtinId="34"/>
    <cellStyle name="20% - 강조색4" xfId="9" builtinId="42"/>
    <cellStyle name="20% - 강조색6" xfId="11" builtinId="50"/>
    <cellStyle name="40% - 강조색1" xfId="5" builtinId="31"/>
    <cellStyle name="Hyperlink" xfId="1" xr:uid="{00000000-000B-0000-0000-000008000000}"/>
    <cellStyle name="Normal 2" xfId="3" xr:uid="{BBB852BA-8090-45AC-B863-9AA97E19563D}"/>
    <cellStyle name="강조색1" xfId="4" builtinId="29"/>
    <cellStyle name="강조색2" xfId="6" builtinId="33"/>
    <cellStyle name="강조색4" xfId="8" builtinId="41"/>
    <cellStyle name="강조색6" xfId="10" builtinId="49"/>
    <cellStyle name="표준" xfId="0" builtinId="0"/>
    <cellStyle name="표준 2" xfId="12" xr:uid="{9EFC8D6D-1CF7-40F5-B8B3-69E0E8826DBA}"/>
    <cellStyle name="표준 4" xfId="2" xr:uid="{1D7B6647-D3E6-4146-9EC2-6A4AA1E759FF}"/>
  </cellStyles>
  <dxfs count="1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0.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M3" activePane="bottomRight" state="frozen"/>
      <selection pane="bottomRight" activeCell="P28" sqref="P28"/>
      <selection pane="bottomLeft"/>
      <selection pane="topRight"/>
    </sheetView>
  </sheetViews>
  <sheetFormatPr defaultRowHeight="17.100000000000001"/>
  <cols>
    <col min="1" max="1" width="19" customWidth="1"/>
    <col min="2" max="2" width="20" customWidth="1"/>
    <col min="3" max="20" width="23.875" customWidth="1"/>
  </cols>
  <sheetData>
    <row r="1" spans="1:20" ht="36">
      <c r="A1" s="430" t="s">
        <v>0</v>
      </c>
      <c r="B1" s="430"/>
      <c r="C1" s="430"/>
      <c r="D1" s="430"/>
      <c r="E1" s="430"/>
      <c r="F1" s="430"/>
      <c r="G1" s="430"/>
      <c r="H1" s="184"/>
      <c r="I1" s="184"/>
      <c r="J1" s="184"/>
      <c r="K1" s="184"/>
      <c r="L1" s="184"/>
      <c r="M1" s="184"/>
      <c r="N1" s="185" t="s">
        <v>1</v>
      </c>
      <c r="O1" s="186"/>
    </row>
    <row r="2" spans="1:20" ht="21.75" customHeight="1">
      <c r="A2" s="187" t="s">
        <v>2</v>
      </c>
      <c r="B2" s="187" t="s">
        <v>3</v>
      </c>
      <c r="C2" s="187" t="s">
        <v>4</v>
      </c>
      <c r="D2" s="187" t="s">
        <v>5</v>
      </c>
      <c r="E2" s="187" t="s">
        <v>6</v>
      </c>
      <c r="F2" s="187" t="s">
        <v>7</v>
      </c>
      <c r="G2" s="187" t="s">
        <v>8</v>
      </c>
      <c r="H2" s="188" t="s">
        <v>9</v>
      </c>
      <c r="I2" s="188" t="s">
        <v>10</v>
      </c>
      <c r="J2" s="187" t="s">
        <v>11</v>
      </c>
      <c r="K2" s="187" t="s">
        <v>12</v>
      </c>
      <c r="L2" s="187" t="s">
        <v>13</v>
      </c>
      <c r="M2" s="187" t="s">
        <v>14</v>
      </c>
      <c r="N2" s="187" t="s">
        <v>15</v>
      </c>
      <c r="O2" s="187" t="s">
        <v>16</v>
      </c>
      <c r="P2" s="187" t="s">
        <v>17</v>
      </c>
      <c r="Q2" s="187" t="s">
        <v>18</v>
      </c>
      <c r="R2" s="187" t="s">
        <v>19</v>
      </c>
      <c r="S2" s="187" t="s">
        <v>20</v>
      </c>
      <c r="T2" s="187" t="s">
        <v>21</v>
      </c>
    </row>
    <row r="3" spans="1:20" ht="42">
      <c r="A3" s="431" t="s">
        <v>22</v>
      </c>
      <c r="B3" s="432"/>
      <c r="C3" s="189"/>
      <c r="D3" s="189" t="s">
        <v>23</v>
      </c>
      <c r="E3" s="189" t="s">
        <v>24</v>
      </c>
      <c r="F3" s="189" t="s">
        <v>25</v>
      </c>
      <c r="G3" s="190"/>
      <c r="H3" s="433" t="s">
        <v>26</v>
      </c>
      <c r="I3" s="433"/>
      <c r="J3" s="192" t="s">
        <v>27</v>
      </c>
      <c r="K3" s="189"/>
      <c r="L3" s="189" t="s">
        <v>28</v>
      </c>
      <c r="M3" s="189"/>
      <c r="N3" s="189" t="s">
        <v>29</v>
      </c>
      <c r="O3" s="210"/>
      <c r="P3" s="210"/>
      <c r="Q3" s="210" t="s">
        <v>30</v>
      </c>
      <c r="R3" s="210"/>
      <c r="S3" s="210"/>
      <c r="T3" s="210" t="s">
        <v>31</v>
      </c>
    </row>
    <row r="4" spans="1:20" ht="84.75">
      <c r="A4" s="434" t="s">
        <v>32</v>
      </c>
      <c r="B4" s="435"/>
      <c r="C4" s="189"/>
      <c r="D4" s="436" t="s">
        <v>33</v>
      </c>
      <c r="E4" s="437"/>
      <c r="F4" s="189" t="s">
        <v>34</v>
      </c>
      <c r="G4" s="190" t="s">
        <v>35</v>
      </c>
      <c r="H4" s="193"/>
      <c r="I4" s="193"/>
      <c r="J4" s="193"/>
      <c r="K4" s="194" t="s">
        <v>36</v>
      </c>
      <c r="L4" s="189"/>
      <c r="M4" s="189" t="s">
        <v>37</v>
      </c>
      <c r="N4" s="189"/>
      <c r="O4" s="210"/>
      <c r="P4" s="210" t="s">
        <v>38</v>
      </c>
      <c r="Q4" s="210" t="s">
        <v>39</v>
      </c>
      <c r="R4" s="210" t="s">
        <v>40</v>
      </c>
      <c r="S4" s="210" t="s">
        <v>41</v>
      </c>
      <c r="T4" s="210"/>
    </row>
    <row r="5" spans="1:20" ht="54.75">
      <c r="A5" s="438" t="s">
        <v>42</v>
      </c>
      <c r="B5" s="439"/>
      <c r="C5" s="195" t="s">
        <v>43</v>
      </c>
      <c r="D5" s="196" t="s">
        <v>44</v>
      </c>
      <c r="E5" s="191" t="s">
        <v>45</v>
      </c>
      <c r="F5" s="192" t="s">
        <v>46</v>
      </c>
      <c r="G5" s="196"/>
      <c r="H5" s="191"/>
      <c r="I5" s="191"/>
      <c r="J5" s="191"/>
      <c r="K5" s="192" t="s">
        <v>47</v>
      </c>
      <c r="L5" s="195" t="s">
        <v>48</v>
      </c>
      <c r="M5" s="195" t="s">
        <v>49</v>
      </c>
      <c r="N5" s="195"/>
      <c r="O5" s="211" t="s">
        <v>50</v>
      </c>
      <c r="P5" s="211"/>
      <c r="Q5" s="211" t="s">
        <v>51</v>
      </c>
      <c r="R5" s="211" t="s">
        <v>52</v>
      </c>
      <c r="S5" s="211"/>
      <c r="T5" s="211"/>
    </row>
    <row r="6" spans="1:20" ht="17.25">
      <c r="A6" s="440" t="s">
        <v>53</v>
      </c>
      <c r="B6" s="441"/>
      <c r="C6" s="197" t="s">
        <v>54</v>
      </c>
      <c r="D6" s="197" t="s">
        <v>55</v>
      </c>
      <c r="E6" s="197"/>
      <c r="F6" s="197" t="s">
        <v>56</v>
      </c>
      <c r="G6" s="197" t="s">
        <v>57</v>
      </c>
      <c r="H6" s="197"/>
      <c r="I6" s="197"/>
      <c r="J6" s="197" t="s">
        <v>54</v>
      </c>
      <c r="K6" s="197" t="s">
        <v>58</v>
      </c>
      <c r="L6" s="197"/>
      <c r="M6" s="197"/>
      <c r="N6" s="197" t="s">
        <v>54</v>
      </c>
      <c r="O6" s="369" t="s">
        <v>54</v>
      </c>
      <c r="P6" s="369" t="s">
        <v>59</v>
      </c>
      <c r="Q6" s="369"/>
      <c r="R6" s="369" t="s">
        <v>60</v>
      </c>
      <c r="S6" s="369" t="s">
        <v>61</v>
      </c>
      <c r="T6" s="369"/>
    </row>
    <row r="7" spans="1:20" ht="17.25">
      <c r="A7" s="426" t="s">
        <v>62</v>
      </c>
      <c r="B7" s="427"/>
      <c r="C7" s="197"/>
      <c r="D7" s="197" t="s">
        <v>63</v>
      </c>
      <c r="E7" s="197"/>
      <c r="F7" s="197"/>
      <c r="G7" s="197"/>
      <c r="H7" s="197"/>
      <c r="I7" s="197"/>
      <c r="J7" s="197"/>
      <c r="K7" s="197"/>
      <c r="L7" s="197"/>
      <c r="M7" s="197"/>
      <c r="N7" s="197"/>
      <c r="O7" s="369"/>
      <c r="P7" s="369" t="s">
        <v>64</v>
      </c>
      <c r="Q7" s="369"/>
      <c r="R7" s="369"/>
      <c r="S7" s="369"/>
      <c r="T7" s="369"/>
    </row>
    <row r="8" spans="1:20" ht="17.25">
      <c r="A8" s="428" t="s">
        <v>65</v>
      </c>
      <c r="B8" s="429"/>
      <c r="C8" s="197"/>
      <c r="D8" s="198"/>
      <c r="E8" s="198"/>
      <c r="F8" s="198"/>
      <c r="G8" s="198"/>
      <c r="H8" s="198"/>
      <c r="I8" s="198"/>
      <c r="J8" s="198"/>
      <c r="K8" s="198"/>
      <c r="L8" s="198"/>
      <c r="M8" s="197"/>
      <c r="N8" s="198"/>
      <c r="O8" s="370"/>
      <c r="P8" s="370"/>
      <c r="Q8" s="370"/>
      <c r="R8" s="370"/>
      <c r="S8" s="370"/>
      <c r="T8" s="370"/>
    </row>
    <row r="9" spans="1:20" ht="105.75">
      <c r="A9" s="199" t="s">
        <v>66</v>
      </c>
      <c r="B9" s="199" t="s">
        <v>67</v>
      </c>
      <c r="C9" s="212" t="s">
        <v>68</v>
      </c>
      <c r="D9" s="210" t="s">
        <v>63</v>
      </c>
      <c r="E9" s="221" t="s">
        <v>69</v>
      </c>
      <c r="F9" s="222" t="s">
        <v>70</v>
      </c>
      <c r="G9" s="223" t="s">
        <v>71</v>
      </c>
      <c r="H9" s="224"/>
      <c r="I9" s="225" t="s">
        <v>72</v>
      </c>
      <c r="J9" s="209"/>
      <c r="K9" s="210" t="s">
        <v>73</v>
      </c>
      <c r="L9" s="226" t="s">
        <v>74</v>
      </c>
      <c r="M9" s="227" t="s">
        <v>75</v>
      </c>
      <c r="N9" s="226" t="s">
        <v>76</v>
      </c>
      <c r="O9" s="226"/>
      <c r="P9" s="226" t="s">
        <v>64</v>
      </c>
      <c r="Q9" s="226"/>
      <c r="R9" s="226" t="s">
        <v>77</v>
      </c>
      <c r="S9" s="226" t="s">
        <v>78</v>
      </c>
      <c r="T9" s="226"/>
    </row>
    <row r="10" spans="1:20" ht="67.5">
      <c r="A10" s="199" t="s">
        <v>79</v>
      </c>
      <c r="B10" s="199" t="s">
        <v>80</v>
      </c>
      <c r="C10" s="210"/>
      <c r="D10" s="210"/>
      <c r="E10" s="210"/>
      <c r="F10" s="228"/>
      <c r="G10" s="229" t="s">
        <v>81</v>
      </c>
      <c r="H10" s="230" t="s">
        <v>82</v>
      </c>
      <c r="I10" s="206" t="s">
        <v>83</v>
      </c>
      <c r="J10" s="212" t="s">
        <v>84</v>
      </c>
      <c r="K10" s="210"/>
      <c r="L10" s="216"/>
      <c r="M10" s="231" t="s">
        <v>85</v>
      </c>
      <c r="N10" s="209"/>
      <c r="O10" s="209"/>
      <c r="P10" s="209"/>
      <c r="Q10" s="209"/>
      <c r="R10" s="209"/>
      <c r="S10" s="209" t="s">
        <v>86</v>
      </c>
      <c r="T10" s="209" t="s">
        <v>87</v>
      </c>
    </row>
    <row r="11" spans="1:20" ht="53.25">
      <c r="A11" s="199" t="s">
        <v>88</v>
      </c>
      <c r="B11" s="199" t="s">
        <v>89</v>
      </c>
      <c r="C11" s="210"/>
      <c r="D11" s="203"/>
      <c r="E11" s="210"/>
      <c r="F11" s="210"/>
      <c r="G11" s="210"/>
      <c r="H11" s="211"/>
      <c r="I11" s="210"/>
      <c r="J11" s="213"/>
      <c r="K11" s="234" t="s">
        <v>90</v>
      </c>
      <c r="L11" s="215"/>
      <c r="M11" s="210"/>
      <c r="N11" s="210"/>
      <c r="O11" s="210"/>
      <c r="P11" s="210"/>
      <c r="Q11" s="210"/>
      <c r="R11" s="210"/>
      <c r="S11" s="210"/>
      <c r="T11" s="210"/>
    </row>
    <row r="12" spans="1:20" ht="54.75">
      <c r="A12" s="199" t="s">
        <v>91</v>
      </c>
      <c r="B12" s="199" t="s">
        <v>92</v>
      </c>
      <c r="C12" s="212" t="s">
        <v>93</v>
      </c>
      <c r="D12" s="210"/>
      <c r="E12" s="210"/>
      <c r="F12" s="216"/>
      <c r="G12" s="217" t="s">
        <v>94</v>
      </c>
      <c r="H12" s="218"/>
      <c r="I12" s="219" t="s">
        <v>72</v>
      </c>
      <c r="J12" s="210"/>
      <c r="K12" s="220"/>
      <c r="L12" s="210"/>
      <c r="M12" s="211" t="s">
        <v>95</v>
      </c>
      <c r="N12" s="210"/>
      <c r="O12" s="210"/>
      <c r="P12" s="210"/>
      <c r="Q12" s="210"/>
      <c r="R12" s="210"/>
      <c r="S12" s="210" t="s">
        <v>96</v>
      </c>
      <c r="T12" s="210"/>
    </row>
    <row r="13" spans="1:20" ht="54.75">
      <c r="A13" s="199" t="s">
        <v>97</v>
      </c>
      <c r="B13" s="199" t="s">
        <v>97</v>
      </c>
      <c r="C13" s="212" t="s">
        <v>93</v>
      </c>
      <c r="D13" s="210"/>
      <c r="E13" s="210"/>
      <c r="F13" s="210"/>
      <c r="G13" s="213"/>
      <c r="H13" s="238" t="s">
        <v>98</v>
      </c>
      <c r="I13" s="208" t="s">
        <v>72</v>
      </c>
      <c r="J13" s="210"/>
      <c r="K13" s="212" t="s">
        <v>99</v>
      </c>
      <c r="L13" s="236"/>
      <c r="M13" s="366"/>
      <c r="N13" s="209"/>
      <c r="O13" s="209"/>
      <c r="P13" s="209"/>
      <c r="Q13" s="209"/>
      <c r="R13" s="209"/>
      <c r="S13" s="209"/>
      <c r="T13" s="209" t="s">
        <v>100</v>
      </c>
    </row>
    <row r="14" spans="1:20" ht="67.5">
      <c r="A14" s="199" t="s">
        <v>101</v>
      </c>
      <c r="B14" s="200" t="s">
        <v>102</v>
      </c>
      <c r="C14" s="207" t="s">
        <v>103</v>
      </c>
      <c r="D14" s="208" t="s">
        <v>104</v>
      </c>
      <c r="E14" s="209"/>
      <c r="F14" s="210"/>
      <c r="G14" s="211"/>
      <c r="H14" s="210"/>
      <c r="I14" s="212" t="s">
        <v>105</v>
      </c>
      <c r="J14" s="210"/>
      <c r="K14" s="211"/>
      <c r="L14" s="210"/>
      <c r="M14" s="203"/>
      <c r="N14" s="210"/>
      <c r="O14" s="210" t="s">
        <v>106</v>
      </c>
      <c r="P14" s="210" t="s">
        <v>107</v>
      </c>
      <c r="Q14" s="210"/>
      <c r="R14" s="210"/>
      <c r="S14" s="210"/>
      <c r="T14" s="210"/>
    </row>
    <row r="15" spans="1:20" ht="53.25">
      <c r="A15" s="199" t="s">
        <v>108</v>
      </c>
      <c r="B15" s="199" t="s">
        <v>109</v>
      </c>
      <c r="C15" s="210"/>
      <c r="D15" s="211"/>
      <c r="E15" s="213"/>
      <c r="F15" s="232" t="s">
        <v>110</v>
      </c>
      <c r="G15" s="209"/>
      <c r="H15" s="203"/>
      <c r="I15" s="210"/>
      <c r="J15" s="213"/>
      <c r="K15" s="366"/>
      <c r="L15" s="208" t="s">
        <v>111</v>
      </c>
      <c r="M15" s="206"/>
      <c r="N15" s="210"/>
      <c r="O15" s="210"/>
      <c r="P15" s="210"/>
      <c r="Q15" s="210"/>
      <c r="R15" s="210" t="s">
        <v>112</v>
      </c>
      <c r="S15" s="210"/>
      <c r="T15" s="210"/>
    </row>
    <row r="16" spans="1:20" ht="81.75">
      <c r="A16" s="199" t="s">
        <v>113</v>
      </c>
      <c r="B16" s="200" t="s">
        <v>114</v>
      </c>
      <c r="C16" s="201" t="s">
        <v>115</v>
      </c>
      <c r="D16" s="202"/>
      <c r="E16" s="203" t="s">
        <v>116</v>
      </c>
      <c r="F16" s="203"/>
      <c r="G16" s="203"/>
      <c r="H16" s="203" t="s">
        <v>117</v>
      </c>
      <c r="I16" s="203"/>
      <c r="J16" s="203"/>
      <c r="K16" s="203"/>
      <c r="L16" s="204" t="s">
        <v>118</v>
      </c>
      <c r="M16" s="205"/>
      <c r="N16" s="206"/>
      <c r="O16" s="206" t="s">
        <v>119</v>
      </c>
      <c r="P16" s="206"/>
      <c r="Q16" s="206" t="s">
        <v>120</v>
      </c>
      <c r="R16" s="206"/>
      <c r="S16" s="206"/>
      <c r="T16" s="206" t="s">
        <v>121</v>
      </c>
    </row>
    <row r="17" spans="1:20" ht="42">
      <c r="A17" s="199" t="s">
        <v>122</v>
      </c>
      <c r="B17" s="199" t="s">
        <v>123</v>
      </c>
      <c r="C17" s="210"/>
      <c r="D17" s="213"/>
      <c r="E17" s="241" t="s">
        <v>124</v>
      </c>
      <c r="F17" s="209"/>
      <c r="G17" s="203"/>
      <c r="H17" s="210"/>
      <c r="I17" s="213"/>
      <c r="J17" s="244" t="s">
        <v>125</v>
      </c>
      <c r="K17" s="241" t="s">
        <v>126</v>
      </c>
      <c r="L17" s="209"/>
      <c r="M17" s="210"/>
      <c r="N17" s="210"/>
      <c r="O17" s="210"/>
      <c r="P17" s="210"/>
      <c r="Q17" s="210" t="s">
        <v>127</v>
      </c>
      <c r="R17" s="210"/>
      <c r="S17" s="210"/>
      <c r="T17" s="210"/>
    </row>
    <row r="18" spans="1:20" ht="56.25">
      <c r="A18" s="199" t="s">
        <v>128</v>
      </c>
      <c r="B18" s="199" t="s">
        <v>129</v>
      </c>
      <c r="C18" s="210"/>
      <c r="D18" s="210"/>
      <c r="E18" s="210"/>
      <c r="F18" s="210"/>
      <c r="G18" s="213"/>
      <c r="H18" s="235" t="s">
        <v>130</v>
      </c>
      <c r="I18" s="209"/>
      <c r="J18" s="212" t="s">
        <v>131</v>
      </c>
      <c r="K18" s="236"/>
      <c r="L18" s="237" t="s">
        <v>132</v>
      </c>
      <c r="M18" s="209"/>
      <c r="N18" s="210"/>
      <c r="O18" s="210"/>
      <c r="P18" s="210"/>
      <c r="Q18" s="210"/>
      <c r="R18" s="210"/>
      <c r="S18" s="210"/>
      <c r="T18" s="210" t="s">
        <v>133</v>
      </c>
    </row>
    <row r="19" spans="1:20" ht="81.75">
      <c r="A19" s="199" t="s">
        <v>134</v>
      </c>
      <c r="B19" s="199" t="s">
        <v>135</v>
      </c>
      <c r="C19" s="210"/>
      <c r="D19" s="210"/>
      <c r="E19" s="211"/>
      <c r="F19" s="210"/>
      <c r="G19" s="240" t="s">
        <v>136</v>
      </c>
      <c r="H19" s="241" t="s">
        <v>137</v>
      </c>
      <c r="I19" s="209"/>
      <c r="J19" s="210"/>
      <c r="K19" s="211"/>
      <c r="L19" s="210"/>
      <c r="M19" s="203"/>
      <c r="N19" s="210"/>
      <c r="O19" s="210"/>
      <c r="P19" s="210"/>
      <c r="Q19" s="210"/>
      <c r="R19" s="210"/>
      <c r="S19" s="210"/>
      <c r="T19" s="210" t="s">
        <v>138</v>
      </c>
    </row>
    <row r="20" spans="1:20" ht="95.25">
      <c r="A20" s="199" t="s">
        <v>139</v>
      </c>
      <c r="B20" s="199" t="s">
        <v>140</v>
      </c>
      <c r="C20" s="213" t="s">
        <v>141</v>
      </c>
      <c r="D20" s="232" t="s">
        <v>142</v>
      </c>
      <c r="E20" s="209"/>
      <c r="F20" s="203"/>
      <c r="G20" s="210"/>
      <c r="H20" s="210"/>
      <c r="I20" s="210"/>
      <c r="J20" s="213"/>
      <c r="K20" s="233" t="s">
        <v>143</v>
      </c>
      <c r="L20" s="206" t="s">
        <v>144</v>
      </c>
      <c r="M20" s="210"/>
      <c r="N20" s="210"/>
      <c r="O20" s="210"/>
      <c r="P20" s="210" t="s">
        <v>145</v>
      </c>
      <c r="Q20" s="210"/>
      <c r="R20" s="210"/>
      <c r="S20" s="210"/>
      <c r="T20" s="210"/>
    </row>
    <row r="21" spans="1:20" ht="67.5">
      <c r="A21" s="199" t="s">
        <v>146</v>
      </c>
      <c r="B21" s="199" t="s">
        <v>147</v>
      </c>
      <c r="C21" s="210"/>
      <c r="D21" s="213"/>
      <c r="E21" s="234" t="s">
        <v>148</v>
      </c>
      <c r="F21" s="215"/>
      <c r="G21" s="210"/>
      <c r="H21" s="203"/>
      <c r="I21" s="210"/>
      <c r="J21" s="213"/>
      <c r="K21" s="241" t="s">
        <v>149</v>
      </c>
      <c r="L21" s="209"/>
      <c r="M21" s="210"/>
      <c r="N21" s="210"/>
      <c r="O21" s="210"/>
      <c r="P21" s="210"/>
      <c r="Q21" s="210" t="s">
        <v>150</v>
      </c>
      <c r="R21" s="210"/>
      <c r="S21" s="210"/>
      <c r="T21" s="210"/>
    </row>
    <row r="22" spans="1:20" ht="67.5">
      <c r="A22" s="199" t="s">
        <v>151</v>
      </c>
      <c r="B22" s="199" t="s">
        <v>152</v>
      </c>
      <c r="C22" s="203"/>
      <c r="D22" s="203"/>
      <c r="E22" s="210"/>
      <c r="F22" s="213"/>
      <c r="G22" s="214" t="s">
        <v>153</v>
      </c>
      <c r="H22" s="215"/>
      <c r="I22" s="210"/>
      <c r="J22" s="210"/>
      <c r="K22" s="210"/>
      <c r="L22" s="210"/>
      <c r="M22" s="210"/>
      <c r="N22" s="210"/>
      <c r="O22" s="210"/>
      <c r="P22" s="210"/>
      <c r="Q22" s="210"/>
      <c r="R22" s="210"/>
      <c r="S22" s="210" t="s">
        <v>154</v>
      </c>
      <c r="T22" s="210"/>
    </row>
    <row r="23" spans="1:20" ht="67.5">
      <c r="A23" s="199" t="s">
        <v>155</v>
      </c>
      <c r="B23" s="199" t="s">
        <v>156</v>
      </c>
      <c r="C23" s="203"/>
      <c r="D23" s="213"/>
      <c r="E23" s="241" t="s">
        <v>157</v>
      </c>
      <c r="F23" s="209"/>
      <c r="G23" s="210"/>
      <c r="H23" s="210"/>
      <c r="I23" s="210"/>
      <c r="J23" s="210"/>
      <c r="K23" s="210"/>
      <c r="L23" s="210"/>
      <c r="M23" s="211"/>
      <c r="N23" s="210"/>
      <c r="O23" s="210"/>
      <c r="P23" s="210"/>
      <c r="Q23" s="210" t="s">
        <v>158</v>
      </c>
      <c r="R23" s="210"/>
      <c r="S23" s="210"/>
      <c r="T23" s="210"/>
    </row>
    <row r="24" spans="1:20" ht="69">
      <c r="A24" s="199" t="s">
        <v>159</v>
      </c>
      <c r="B24" s="199" t="s">
        <v>160</v>
      </c>
      <c r="C24" s="211"/>
      <c r="D24" s="213"/>
      <c r="E24" s="242" t="s">
        <v>161</v>
      </c>
      <c r="F24" s="241" t="s">
        <v>162</v>
      </c>
      <c r="G24" s="209"/>
      <c r="H24" s="210"/>
      <c r="I24" s="210"/>
      <c r="J24" s="210"/>
      <c r="K24" s="203"/>
      <c r="L24" s="210"/>
      <c r="M24" s="210"/>
      <c r="N24" s="210"/>
      <c r="O24" s="210"/>
      <c r="P24" s="210"/>
      <c r="Q24" s="210" t="s">
        <v>163</v>
      </c>
      <c r="R24" s="210" t="s">
        <v>164</v>
      </c>
      <c r="S24" s="210"/>
      <c r="T24" s="210"/>
    </row>
    <row r="25" spans="1:20" ht="53.25">
      <c r="A25" s="199" t="s">
        <v>165</v>
      </c>
      <c r="B25" s="199" t="s">
        <v>166</v>
      </c>
      <c r="C25" s="210"/>
      <c r="D25" s="210"/>
      <c r="E25" s="211"/>
      <c r="F25" s="236"/>
      <c r="G25" s="241" t="s">
        <v>167</v>
      </c>
      <c r="H25" s="209"/>
      <c r="I25" s="210"/>
      <c r="J25" s="211"/>
      <c r="K25" s="211"/>
      <c r="L25" s="210" t="s">
        <v>168</v>
      </c>
      <c r="M25" s="210"/>
      <c r="N25" s="210"/>
      <c r="O25" s="210"/>
      <c r="P25" s="210"/>
      <c r="Q25" s="210"/>
      <c r="R25" s="210"/>
      <c r="S25" s="210" t="s">
        <v>169</v>
      </c>
      <c r="T25" s="210"/>
    </row>
    <row r="26" spans="1:20" ht="53.25">
      <c r="A26" s="199" t="s">
        <v>170</v>
      </c>
      <c r="B26" s="199" t="s">
        <v>171</v>
      </c>
      <c r="C26" s="210"/>
      <c r="D26" s="210"/>
      <c r="E26" s="210"/>
      <c r="F26" s="210"/>
      <c r="G26" s="210"/>
      <c r="H26" s="228"/>
      <c r="I26" s="210"/>
      <c r="J26" s="210"/>
      <c r="K26" s="210"/>
      <c r="L26" s="213"/>
      <c r="M26" s="239" t="s">
        <v>172</v>
      </c>
      <c r="N26" s="209"/>
      <c r="O26" s="209"/>
      <c r="P26" s="209"/>
      <c r="Q26" s="209"/>
      <c r="R26" s="209"/>
      <c r="S26" s="209"/>
      <c r="T26" s="209"/>
    </row>
    <row r="27" spans="1:20" ht="68.25" customHeight="1">
      <c r="A27" s="199" t="s">
        <v>173</v>
      </c>
      <c r="B27" s="200" t="s">
        <v>174</v>
      </c>
      <c r="C27" s="234" t="s">
        <v>175</v>
      </c>
      <c r="D27" s="209"/>
      <c r="E27" s="228"/>
      <c r="F27" s="203"/>
      <c r="G27" s="210"/>
      <c r="H27" s="210"/>
      <c r="I27" s="210"/>
      <c r="J27" s="210"/>
      <c r="K27" s="210"/>
      <c r="L27" s="210"/>
      <c r="M27" s="210"/>
      <c r="N27" s="210"/>
      <c r="O27" s="210" t="s">
        <v>176</v>
      </c>
      <c r="P27" s="210"/>
      <c r="Q27" s="210"/>
      <c r="R27" s="210"/>
      <c r="S27" s="210"/>
      <c r="T27" s="210"/>
    </row>
    <row r="28" spans="1:20" ht="67.5">
      <c r="A28" s="199" t="s">
        <v>177</v>
      </c>
      <c r="B28" s="199" t="s">
        <v>178</v>
      </c>
      <c r="C28" s="210" t="s">
        <v>179</v>
      </c>
      <c r="D28" s="210" t="s">
        <v>179</v>
      </c>
      <c r="E28" s="210" t="s">
        <v>179</v>
      </c>
      <c r="F28" s="243" t="s">
        <v>179</v>
      </c>
      <c r="G28" s="241" t="s">
        <v>180</v>
      </c>
      <c r="H28" s="209"/>
      <c r="I28" s="210"/>
      <c r="J28" s="210"/>
      <c r="K28" s="213"/>
      <c r="L28" s="241" t="s">
        <v>181</v>
      </c>
      <c r="M28" s="209"/>
      <c r="N28" s="210"/>
      <c r="O28" s="210" t="s">
        <v>182</v>
      </c>
      <c r="P28" s="210"/>
      <c r="Q28" s="210"/>
      <c r="R28" s="210"/>
      <c r="S28" s="210" t="s">
        <v>183</v>
      </c>
      <c r="T28" s="210"/>
    </row>
    <row r="29" spans="1:20" ht="54.75">
      <c r="A29" s="199" t="s">
        <v>184</v>
      </c>
      <c r="B29" s="199" t="s">
        <v>185</v>
      </c>
      <c r="C29" s="210"/>
      <c r="D29" s="210"/>
      <c r="E29" s="203"/>
      <c r="F29" s="211"/>
      <c r="G29" s="210"/>
      <c r="H29" s="210"/>
      <c r="I29" s="210"/>
      <c r="J29" s="210"/>
      <c r="K29" s="210"/>
      <c r="L29" s="213"/>
      <c r="M29" s="241" t="s">
        <v>186</v>
      </c>
      <c r="N29" s="209"/>
      <c r="O29" s="209"/>
      <c r="P29" s="209"/>
      <c r="Q29" s="209"/>
      <c r="R29" s="209"/>
      <c r="S29" s="209"/>
      <c r="T29" s="209"/>
    </row>
    <row r="30" spans="1:20" ht="57" customHeight="1">
      <c r="A30" s="199" t="s">
        <v>187</v>
      </c>
      <c r="B30" s="199" t="s">
        <v>188</v>
      </c>
      <c r="C30" s="210"/>
      <c r="D30" s="210"/>
      <c r="E30" s="213"/>
      <c r="F30" s="241" t="s">
        <v>189</v>
      </c>
      <c r="G30" s="202"/>
      <c r="H30" s="210"/>
      <c r="I30" s="210"/>
      <c r="J30" s="210"/>
      <c r="K30" s="210"/>
      <c r="L30" s="228"/>
      <c r="M30" s="210"/>
      <c r="N30" s="210"/>
      <c r="O30" s="210"/>
      <c r="P30" s="210"/>
      <c r="Q30" s="210"/>
      <c r="R30" s="210" t="s">
        <v>190</v>
      </c>
      <c r="S30" s="210"/>
      <c r="T30" s="210"/>
    </row>
    <row r="31" spans="1:20" ht="70.5">
      <c r="A31" s="199" t="s">
        <v>191</v>
      </c>
      <c r="B31" s="199" t="s">
        <v>192</v>
      </c>
      <c r="C31" s="210"/>
      <c r="D31" s="210"/>
      <c r="E31" s="213"/>
      <c r="F31" s="367" t="s">
        <v>193</v>
      </c>
      <c r="G31" s="366"/>
      <c r="H31" s="209"/>
      <c r="I31" s="210"/>
      <c r="J31" s="210"/>
      <c r="K31" s="213"/>
      <c r="L31" s="366"/>
      <c r="M31" s="206"/>
      <c r="N31" s="210"/>
      <c r="O31" s="210"/>
      <c r="P31" s="210"/>
      <c r="Q31" s="210"/>
      <c r="R31" s="210" t="s">
        <v>194</v>
      </c>
      <c r="S31" s="210"/>
      <c r="T31" s="210"/>
    </row>
    <row r="32" spans="1:20">
      <c r="A32" s="186"/>
      <c r="B32" s="186"/>
      <c r="C32" s="186"/>
      <c r="D32" s="186"/>
      <c r="E32" s="186"/>
      <c r="F32" s="186"/>
      <c r="G32" s="186"/>
      <c r="H32" s="186"/>
      <c r="I32" s="186"/>
      <c r="J32" s="186"/>
      <c r="K32" s="186"/>
      <c r="L32" s="186"/>
      <c r="M32" s="186"/>
      <c r="N32" s="186"/>
      <c r="O32" s="186"/>
    </row>
    <row r="33" spans="1:3" ht="17.45">
      <c r="A33" s="245" t="s">
        <v>195</v>
      </c>
      <c r="B33" s="262"/>
    </row>
    <row r="34" spans="1:3" ht="48">
      <c r="A34" s="246" t="s">
        <v>196</v>
      </c>
      <c r="B34" s="263" t="s">
        <v>197</v>
      </c>
    </row>
    <row r="35" spans="1:3" ht="32.1">
      <c r="A35" s="247" t="s">
        <v>198</v>
      </c>
      <c r="B35" s="263" t="s">
        <v>199</v>
      </c>
    </row>
    <row r="36" spans="1:3" ht="32.1">
      <c r="A36" s="248" t="s">
        <v>200</v>
      </c>
      <c r="B36" s="263" t="s">
        <v>201</v>
      </c>
    </row>
    <row r="37" spans="1:3" ht="111.95">
      <c r="A37" s="249" t="s">
        <v>202</v>
      </c>
      <c r="B37" s="263" t="s">
        <v>203</v>
      </c>
    </row>
    <row r="38" spans="1:3" ht="16.5">
      <c r="A38" s="368"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53" activePane="bottomLeft" state="frozen"/>
      <selection pane="bottomLeft" activeCell="D58" sqref="D58"/>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1" t="s">
        <v>205</v>
      </c>
      <c r="E1" s="250" t="s">
        <v>206</v>
      </c>
      <c r="F1" s="260" t="str">
        <f>COUNTIF(F4:F95,TRUE)&amp;" / "&amp;COUNTA(D4:D95)</f>
        <v>30 / 92</v>
      </c>
      <c r="G1" s="250" t="s">
        <v>207</v>
      </c>
      <c r="H1" s="261" t="str">
        <f>COUNTIF(G4:G95,TRUE)&amp;" / "&amp;COUNTA(D4:D95)</f>
        <v>20 / 92</v>
      </c>
    </row>
    <row r="3" spans="1:10">
      <c r="A3" s="252" t="s">
        <v>208</v>
      </c>
      <c r="B3" s="253" t="s">
        <v>2</v>
      </c>
      <c r="C3" s="253" t="s">
        <v>3</v>
      </c>
      <c r="D3" s="253" t="s">
        <v>209</v>
      </c>
      <c r="E3" s="253" t="s">
        <v>210</v>
      </c>
      <c r="F3" s="253" t="s">
        <v>206</v>
      </c>
      <c r="G3" s="253" t="s">
        <v>207</v>
      </c>
      <c r="H3" s="253" t="s">
        <v>211</v>
      </c>
      <c r="I3" s="253" t="s">
        <v>212</v>
      </c>
      <c r="J3" s="254" t="s">
        <v>202</v>
      </c>
    </row>
    <row r="4" spans="1:10">
      <c r="A4" s="255" t="str">
        <f>'트래블마트 통합'!C$2</f>
        <v>2026년 1월</v>
      </c>
      <c r="B4" s="256" t="str">
        <f>'트래블마트 통합'!$A9</f>
        <v>중국</v>
      </c>
      <c r="C4" s="256" t="str">
        <f>'트래블마트 통합'!$B9</f>
        <v>광동,화동,화북,내륙</v>
      </c>
      <c r="D4" s="257" t="str">
        <f>IFERROR(LEFT('트래블마트 통합'!C9,FIND(CHAR(10),'트래블마트 통합'!C9)-1),'트래블마트 통합'!C9)</f>
        <v>1차 세일즈콜</v>
      </c>
      <c r="E4" s="256" t="str">
        <f>IF(ISNUMBER(SEARCH("★★★",'트래블마트 통합'!C9)),"★★★",IF(ISNUMBER(SEARCH("★★",'트래블마트 통합'!C9)),"★★",IF(ISNUMBER(SEARCH("★",'트래블마트 통합'!C9)),"★","-")))</f>
        <v>-</v>
      </c>
      <c r="F4" s="258" t="b">
        <v>1</v>
      </c>
      <c r="G4" s="258" t="b">
        <v>1</v>
      </c>
      <c r="H4" s="256" t="str">
        <f t="shared" ref="H4:H35" si="0">IF(AND(F4,G4),"완료",IF(G4,"진행 완료",IF(F4,"참가 예정","미정")))</f>
        <v>완료</v>
      </c>
      <c r="I4" s="257" t="str">
        <f>'트래블마트 통합'!C9</f>
        <v>1차 세일즈콜
광저우, 심천</v>
      </c>
      <c r="J4" s="259"/>
    </row>
    <row r="5" spans="1:10">
      <c r="A5" s="255" t="str">
        <f>'트래블마트 통합'!C$2</f>
        <v>2026년 1월</v>
      </c>
      <c r="B5" s="256" t="str">
        <f>'트래블마트 통합'!$A12</f>
        <v>대만</v>
      </c>
      <c r="C5" s="256" t="str">
        <f>'트래블마트 통합'!$B12</f>
        <v>타이베이</v>
      </c>
      <c r="D5" s="257" t="str">
        <f>IFERROR(LEFT('트래블마트 통합'!C12,FIND(CHAR(10),'트래블마트 통합'!C12)-1),'트래블마트 통합'!C12)</f>
        <v>1차 세일즈 콜</v>
      </c>
      <c r="E5" s="256" t="str">
        <f>IF(ISNUMBER(SEARCH("★★★",'트래블마트 통합'!C12)),"★★★",IF(ISNUMBER(SEARCH("★★",'트래블마트 통합'!C12)),"★★",IF(ISNUMBER(SEARCH("★",'트래블마트 통합'!C12)),"★","-")))</f>
        <v>-</v>
      </c>
      <c r="F5" s="258" t="b">
        <v>1</v>
      </c>
      <c r="G5" s="258" t="b">
        <v>1</v>
      </c>
      <c r="H5" s="256" t="str">
        <f t="shared" si="0"/>
        <v>완료</v>
      </c>
      <c r="I5" s="257" t="str">
        <f>'트래블마트 통합'!C12</f>
        <v>1차 세일즈 콜
대만+홍콩</v>
      </c>
      <c r="J5" s="259"/>
    </row>
    <row r="6" spans="1:10">
      <c r="A6" s="255" t="str">
        <f>'트래블마트 통합'!C$2</f>
        <v>2026년 1월</v>
      </c>
      <c r="B6" s="256" t="str">
        <f>'트래블마트 통합'!$A13</f>
        <v>홍콩</v>
      </c>
      <c r="C6" s="256" t="str">
        <f>'트래블마트 통합'!$B13</f>
        <v>홍콩</v>
      </c>
      <c r="D6" s="257" t="str">
        <f>IFERROR(LEFT('트래블마트 통합'!C13,FIND(CHAR(10),'트래블마트 통합'!C13)-1),'트래블마트 통합'!C13)</f>
        <v>1차 세일즈 콜</v>
      </c>
      <c r="E6" s="256" t="str">
        <f>IF(ISNUMBER(SEARCH("★★★",'트래블마트 통합'!C13)),"★★★",IF(ISNUMBER(SEARCH("★★",'트래블마트 통합'!C13)),"★★",IF(ISNUMBER(SEARCH("★",'트래블마트 통합'!C13)),"★","-")))</f>
        <v>-</v>
      </c>
      <c r="F6" s="258" t="b">
        <v>1</v>
      </c>
      <c r="G6" s="258" t="b">
        <v>1</v>
      </c>
      <c r="H6" s="256" t="str">
        <f t="shared" si="0"/>
        <v>완료</v>
      </c>
      <c r="I6" s="257" t="str">
        <f>'트래블마트 통합'!C13</f>
        <v>1차 세일즈 콜
대만+홍콩</v>
      </c>
      <c r="J6" s="259"/>
    </row>
    <row r="7" spans="1:10">
      <c r="A7" s="255" t="str">
        <f>'트래블마트 통합'!C$2</f>
        <v>2026년 1월</v>
      </c>
      <c r="B7" s="256" t="str">
        <f>'트래블마트 통합'!$A14</f>
        <v>필리핀</v>
      </c>
      <c r="C7" s="256" t="str">
        <f>'트래블마트 통합'!$B14</f>
        <v>세부, 마닐라</v>
      </c>
      <c r="D7" s="257" t="str">
        <f>IFERROR(LEFT('트래블마트 통합'!C14,FIND(CHAR(10),'트래블마트 통합'!C14)-1),'트래블마트 통합'!C14)</f>
        <v>1/28–1/30 – ASEAN Tourism Forum + TRAVEX</v>
      </c>
      <c r="E7" s="256" t="str">
        <f>IF(ISNUMBER(SEARCH("★★★",'트래블마트 통합'!C14)),"★★★",IF(ISNUMBER(SEARCH("★★",'트래블마트 통합'!C14)),"★★",IF(ISNUMBER(SEARCH("★",'트래블마트 통합'!C14)),"★","-")))</f>
        <v>★★</v>
      </c>
      <c r="F7" s="258" t="b">
        <v>1</v>
      </c>
      <c r="G7" s="258" t="b">
        <v>1</v>
      </c>
      <c r="H7" s="256" t="str">
        <f t="shared" si="0"/>
        <v>완료</v>
      </c>
      <c r="I7" s="257" t="str">
        <f>'트래블마트 통합'!C14</f>
        <v>1/28–1/30 – ASEAN Tourism Forum + TRAVEX
[★★ 중간] ASEAN 10개국 공식 B2B, 관광청 네트워크 최강</v>
      </c>
      <c r="J7" s="259"/>
    </row>
    <row r="8" spans="1:10">
      <c r="A8" s="255" t="str">
        <f>'트래블마트 통합'!C$2</f>
        <v>2026년 1월</v>
      </c>
      <c r="B8" s="256" t="str">
        <f>'트래블마트 통합'!$A16</f>
        <v>태국</v>
      </c>
      <c r="C8" s="256" t="str">
        <f>'트래블마트 통합'!$B16</f>
        <v>방콕</v>
      </c>
      <c r="D8" s="257" t="str">
        <f>IFERROR(LEFT('트래블마트 통합'!C16,FIND(CHAR(10),'트래블마트 통합'!C16)-1),'트래블마트 통합'!C16)</f>
        <v>1/22–1/25 – Thai International Travel Fair</v>
      </c>
      <c r="E8" s="256" t="str">
        <f>IF(ISNUMBER(SEARCH("★★★",'트래블마트 통합'!C16)),"★★★",IF(ISNUMBER(SEARCH("★★",'트래블마트 통합'!C16)),"★★",IF(ISNUMBER(SEARCH("★",'트래블마트 통합'!C16)),"★","-")))</f>
        <v>★★★</v>
      </c>
      <c r="F8" s="258" t="b">
        <v>1</v>
      </c>
      <c r="G8" s="258" t="b">
        <v>1</v>
      </c>
      <c r="H8" s="256" t="str">
        <f t="shared" si="0"/>
        <v>완료</v>
      </c>
      <c r="I8" s="257" t="str">
        <f>'트래블마트 통합'!C16</f>
        <v>1/22–1/25 – Thai International Travel Fair
[★★★ 최우선] 태국 최대 B2B+B2C, 태국→한국·일본 outbound 중심</v>
      </c>
      <c r="J8" s="259"/>
    </row>
    <row r="9" spans="1:10">
      <c r="A9" s="255" t="str">
        <f>'트래블마트 통합'!C$2</f>
        <v>2026년 1월</v>
      </c>
      <c r="B9" s="256" t="str">
        <f>'트래블마트 통합'!$A20</f>
        <v>인도</v>
      </c>
      <c r="C9" s="256" t="str">
        <f>'트래블마트 통합'!$B20</f>
        <v>뭄바이
뉴델리</v>
      </c>
      <c r="D9" s="257" t="str">
        <f>IFERROR(LEFT('트래블마트 통합'!C20,FIND(CHAR(10),'트래블마트 통합'!C20)-1),'트래블마트 통합'!C20)</f>
        <v>OTM (Outbound Travel Mart, Mumbai)</v>
      </c>
      <c r="E9" s="256" t="str">
        <f>IF(ISNUMBER(SEARCH("★★★",'트래블마트 통합'!C20)),"★★★",IF(ISNUMBER(SEARCH("★★",'트래블마트 통합'!C20)),"★★",IF(ISNUMBER(SEARCH("★",'트래블마트 통합'!C20)),"★","-")))</f>
        <v>-</v>
      </c>
      <c r="F9" s="258" t="b">
        <v>1</v>
      </c>
      <c r="G9" s="258" t="b">
        <v>1</v>
      </c>
      <c r="H9" s="256" t="str">
        <f t="shared" si="0"/>
        <v>완료</v>
      </c>
      <c r="I9" s="257" t="str">
        <f>'트래블마트 통합'!C20</f>
        <v>OTM (Outbound Travel Mart, Mumbai)
5-7 Feb</v>
      </c>
      <c r="J9" s="259"/>
    </row>
    <row r="10" spans="1:10">
      <c r="A10" s="255" t="str">
        <f>'트래블마트 통합'!C$2</f>
        <v>2026년 1월</v>
      </c>
      <c r="B10" s="256" t="str">
        <f>'트래블마트 통합'!$A27</f>
        <v>스페인</v>
      </c>
      <c r="C10" s="256" t="str">
        <f>'트래블마트 통합'!$B27</f>
        <v>마드리드</v>
      </c>
      <c r="D10" s="257" t="str">
        <f>IFERROR(LEFT('트래블마트 통합'!C27,FIND(CHAR(10),'트래블마트 통합'!C27)-1),'트래블마트 통합'!C27)</f>
        <v>FITUR Madrid 2026</v>
      </c>
      <c r="E10" s="256" t="str">
        <f>IF(ISNUMBER(SEARCH("★★★",'트래블마트 통합'!C27)),"★★★",IF(ISNUMBER(SEARCH("★★",'트래블마트 통합'!C27)),"★★",IF(ISNUMBER(SEARCH("★",'트래블마트 통합'!C27)),"★","-")))</f>
        <v>★★</v>
      </c>
      <c r="F10" s="258" t="b">
        <v>0</v>
      </c>
      <c r="G10" s="258" t="b">
        <v>0</v>
      </c>
      <c r="H10" s="256" t="str">
        <f t="shared" si="0"/>
        <v>미정</v>
      </c>
      <c r="I10" s="257" t="str">
        <f>'트래블마트 통합'!C27</f>
        <v>FITUR Madrid 2026
1월 21일 ~ 25일
[★★ 중간] 세계 3대 관광박람회, 유럽·라틴 시장 핵심 B2B</v>
      </c>
      <c r="J10" s="259"/>
    </row>
    <row r="11" spans="1:10">
      <c r="A11" s="255" t="str">
        <f>'트래블마트 통합'!C$2</f>
        <v>2026년 1월</v>
      </c>
      <c r="B11" s="256" t="str">
        <f>'트래블마트 통합'!$A28</f>
        <v>미국</v>
      </c>
      <c r="C11" s="256" t="str">
        <f>'트래블마트 통합'!$B28</f>
        <v>플로리다주
뉴욕</v>
      </c>
      <c r="D11" s="257" t="str">
        <f>IFERROR(LEFT('트래블마트 통합'!C28,FIND(CHAR(10),'트래블마트 통합'!C28)-1),'트래블마트 통합'!C28)</f>
        <v>NYTTravel Show</v>
      </c>
      <c r="E11" s="256" t="str">
        <f>IF(ISNUMBER(SEARCH("★★★",'트래블마트 통합'!C28)),"★★★",IF(ISNUMBER(SEARCH("★★",'트래블마트 통합'!C28)),"★★",IF(ISNUMBER(SEARCH("★",'트래블마트 통합'!C28)),"★","-")))</f>
        <v>-</v>
      </c>
      <c r="F11" s="258" t="b">
        <v>0</v>
      </c>
      <c r="G11" s="258" t="b">
        <v>0</v>
      </c>
      <c r="H11" s="256" t="str">
        <f t="shared" si="0"/>
        <v>미정</v>
      </c>
      <c r="I11" s="257" t="str">
        <f>'트래블마트 통합'!C28</f>
        <v>NYTTravel Show</v>
      </c>
      <c r="J11" s="259"/>
    </row>
    <row r="12" spans="1:10">
      <c r="A12" s="255" t="str">
        <f>'트래블마트 통합'!D$2</f>
        <v>2026년 2월</v>
      </c>
      <c r="B12" s="256" t="str">
        <f>'트래블마트 통합'!$A9</f>
        <v>중국</v>
      </c>
      <c r="C12" s="256" t="str">
        <f>'트래블마트 통합'!$B9</f>
        <v>광동,화동,화북,내륙</v>
      </c>
      <c r="D12" s="257" t="str">
        <f>IFERROR(LEFT('트래블마트 통합'!D9,FIND(CHAR(10),'트래블마트 통합'!D9)-1),'트래블마트 통합'!D9)</f>
        <v>Chiness New Year</v>
      </c>
      <c r="E12" s="256" t="str">
        <f>IF(ISNUMBER(SEARCH("★★★",'트래블마트 통합'!D9)),"★★★",IF(ISNUMBER(SEARCH("★★",'트래블마트 통합'!D9)),"★★",IF(ISNUMBER(SEARCH("★",'트래블마트 통합'!D9)),"★","-")))</f>
        <v>-</v>
      </c>
      <c r="F12" s="258" t="b">
        <v>1</v>
      </c>
      <c r="G12" s="258" t="b">
        <v>1</v>
      </c>
      <c r="H12" s="256" t="str">
        <f t="shared" si="0"/>
        <v>완료</v>
      </c>
      <c r="I12" s="257" t="str">
        <f>'트래블마트 통합'!D9</f>
        <v>Chiness New Year</v>
      </c>
      <c r="J12" s="259"/>
    </row>
    <row r="13" spans="1:10">
      <c r="A13" s="255" t="str">
        <f>'트래블마트 통합'!D$2</f>
        <v>2026년 2월</v>
      </c>
      <c r="B13" s="256" t="str">
        <f>'트래블마트 통합'!$A14</f>
        <v>필리핀</v>
      </c>
      <c r="C13" s="256" t="str">
        <f>'트래블마트 통합'!$B14</f>
        <v>세부, 마닐라</v>
      </c>
      <c r="D13" s="257" t="str">
        <f>IFERROR(LEFT('트래블마트 통합'!D14,FIND(CHAR(10),'트래블마트 통합'!D14)-1),'트래블마트 통합'!D14)</f>
        <v>2/6–2/8 – PTAA TravelTour Expo</v>
      </c>
      <c r="E13" s="256" t="str">
        <f>IF(ISNUMBER(SEARCH("★★★",'트래블마트 통합'!D14)),"★★★",IF(ISNUMBER(SEARCH("★★",'트래블마트 통합'!D14)),"★★",IF(ISNUMBER(SEARCH("★",'트래블마트 통합'!D14)),"★","-")))</f>
        <v>★★★</v>
      </c>
      <c r="F13" s="258" t="b">
        <v>0</v>
      </c>
      <c r="G13" s="258" t="b">
        <v>0</v>
      </c>
      <c r="H13" s="256" t="str">
        <f t="shared" si="0"/>
        <v>미정</v>
      </c>
      <c r="I13" s="257" t="str">
        <f>'트래블마트 통합'!D14</f>
        <v>2/6–2/8 – PTAA TravelTour Expo
[★★★ 최우선] 필리핀 최대 소비자+B2B, 패키지 판매에 최적</v>
      </c>
      <c r="J13" s="259"/>
    </row>
    <row r="14" spans="1:10">
      <c r="A14" s="255" t="str">
        <f>'트래블마트 통합'!D$2</f>
        <v>2026년 2월</v>
      </c>
      <c r="B14" s="256" t="str">
        <f>'트래블마트 통합'!$A20</f>
        <v>인도</v>
      </c>
      <c r="C14" s="256" t="str">
        <f>'트래블마트 통합'!$B20</f>
        <v>뭄바이
뉴델리</v>
      </c>
      <c r="D14" s="257" t="str">
        <f>IFERROR(LEFT('트래블마트 통합'!D20,FIND(CHAR(10),'트래블마트 통합'!D20)-1),'트래블마트 통합'!D20)</f>
        <v>SATTE 2026</v>
      </c>
      <c r="E14" s="256" t="str">
        <f>IF(ISNUMBER(SEARCH("★★★",'트래블마트 통합'!D20)),"★★★",IF(ISNUMBER(SEARCH("★★",'트래블마트 통합'!D20)),"★★",IF(ISNUMBER(SEARCH("★",'트래블마트 통합'!D20)),"★","-")))</f>
        <v>★★</v>
      </c>
      <c r="F14" s="258" t="b">
        <v>1</v>
      </c>
      <c r="G14" s="258" t="b">
        <v>1</v>
      </c>
      <c r="H14" s="256" t="str">
        <f t="shared" si="0"/>
        <v>완료</v>
      </c>
      <c r="I14" s="257" t="str">
        <f>'트래블마트 통합'!D20</f>
        <v>SATTE 2026
2026.02.25 – 02.27
[★★ 중간] 남아시아 인바운드/아웃바운드</v>
      </c>
      <c r="J14" s="259"/>
    </row>
    <row r="15" spans="1:10">
      <c r="A15" s="255" t="str">
        <f>'트래블마트 통합'!D$2</f>
        <v>2026년 2월</v>
      </c>
      <c r="B15" s="256" t="str">
        <f>'트래블마트 통합'!$A28</f>
        <v>미국</v>
      </c>
      <c r="C15" s="256" t="str">
        <f>'트래블마트 통합'!$B28</f>
        <v>플로리다주
뉴욕</v>
      </c>
      <c r="D15" s="257" t="str">
        <f>IFERROR(LEFT('트래블마트 통합'!D28,FIND(CHAR(10),'트래블마트 통합'!D28)-1),'트래블마트 통합'!D28)</f>
        <v>NYTTravel Show</v>
      </c>
      <c r="E15" s="256" t="str">
        <f>IF(ISNUMBER(SEARCH("★★★",'트래블마트 통합'!D28)),"★★★",IF(ISNUMBER(SEARCH("★★",'트래블마트 통합'!D28)),"★★",IF(ISNUMBER(SEARCH("★",'트래블마트 통합'!D28)),"★","-")))</f>
        <v>-</v>
      </c>
      <c r="F15" s="258" t="b">
        <v>0</v>
      </c>
      <c r="G15" s="258" t="b">
        <v>0</v>
      </c>
      <c r="H15" s="256" t="str">
        <f t="shared" si="0"/>
        <v>미정</v>
      </c>
      <c r="I15" s="257" t="str">
        <f>'트래블마트 통합'!D28</f>
        <v>NYTTravel Show</v>
      </c>
      <c r="J15" s="259"/>
    </row>
    <row r="16" spans="1:10">
      <c r="A16" s="255" t="str">
        <f>'트래블마트 통합'!E$2</f>
        <v>2026년 3월</v>
      </c>
      <c r="B16" s="256" t="str">
        <f>'트래블마트 통합'!$A9</f>
        <v>중국</v>
      </c>
      <c r="C16" s="256" t="str">
        <f>'트래블마트 통합'!$B9</f>
        <v>광동,화동,화북,내륙</v>
      </c>
      <c r="D16" s="257" t="str">
        <f>IFERROR(LEFT('트래블마트 통합'!E9,FIND(CHAR(10),'트래블마트 통합'!E9)-1),'트래블마트 통합'!E9)</f>
        <v>1차 세일즈 콜</v>
      </c>
      <c r="E16" s="256" t="str">
        <f>IF(ISNUMBER(SEARCH("★★★",'트래블마트 통합'!E9)),"★★★",IF(ISNUMBER(SEARCH("★★",'트래블마트 통합'!E9)),"★★",IF(ISNUMBER(SEARCH("★",'트래블마트 통합'!E9)),"★","-")))</f>
        <v>-</v>
      </c>
      <c r="F16" s="258" t="b">
        <v>1</v>
      </c>
      <c r="G16" s="258" t="b">
        <v>1</v>
      </c>
      <c r="H16" s="256" t="str">
        <f t="shared" si="0"/>
        <v>완료</v>
      </c>
      <c r="I16" s="257" t="str">
        <f>'트래블마트 통합'!E9</f>
        <v>1차 세일즈 콜
베이징</v>
      </c>
      <c r="J16" s="259"/>
    </row>
    <row r="17" spans="1:10">
      <c r="A17" s="255" t="str">
        <f>'트래블마트 통합'!E$2</f>
        <v>2026년 3월</v>
      </c>
      <c r="B17" s="256" t="str">
        <f>'트래블마트 통합'!$A16</f>
        <v>태국</v>
      </c>
      <c r="C17" s="256" t="str">
        <f>'트래블마트 통합'!$B16</f>
        <v>방콕</v>
      </c>
      <c r="D17" s="257" t="str">
        <f>IFERROR(LEFT('트래블마트 통합'!E16,FIND(CHAR(10),'트래블마트 통합'!E16)-1),'트래블마트 통합'!E16)</f>
        <v xml:space="preserve">5-8 Mar </v>
      </c>
      <c r="E17" s="256" t="str">
        <f>IF(ISNUMBER(SEARCH("★★★",'트래블마트 통합'!E16)),"★★★",IF(ISNUMBER(SEARCH("★★",'트래블마트 통합'!E16)),"★★",IF(ISNUMBER(SEARCH("★",'트래블마트 통합'!E16)),"★","-")))</f>
        <v>-</v>
      </c>
      <c r="F17" s="258" t="b">
        <v>1</v>
      </c>
      <c r="G17" s="258" t="b">
        <v>1</v>
      </c>
      <c r="H17" s="256" t="str">
        <f t="shared" si="0"/>
        <v>완료</v>
      </c>
      <c r="I17" s="257" t="str">
        <f>'트래블마트 통합'!E16</f>
        <v>5-8 Mar 
Thai Teaw Thai (77th Edition)
B2C</v>
      </c>
      <c r="J17" s="259"/>
    </row>
    <row r="18" spans="1:10">
      <c r="A18" s="255" t="str">
        <f>'트래블마트 통합'!E$2</f>
        <v>2026년 3월</v>
      </c>
      <c r="B18" s="256" t="str">
        <f>'트래블마트 통합'!$A17</f>
        <v>말레이시아</v>
      </c>
      <c r="C18" s="256" t="str">
        <f>'트래블마트 통합'!$B17</f>
        <v>쿠알라룸프르, 쿠칭</v>
      </c>
      <c r="D18" s="257" t="str">
        <f>IFERROR(LEFT('트래블마트 통합'!E17,FIND(CHAR(10),'트래블마트 통합'!E17)-1),'트래블마트 통합'!E17)</f>
        <v>MATTA Fair</v>
      </c>
      <c r="E18" s="256" t="str">
        <f>IF(ISNUMBER(SEARCH("★★★",'트래블마트 통합'!E17)),"★★★",IF(ISNUMBER(SEARCH("★★",'트래블마트 통합'!E17)),"★★",IF(ISNUMBER(SEARCH("★",'트래블마트 통합'!E17)),"★","-")))</f>
        <v>★</v>
      </c>
      <c r="F18" s="258" t="b">
        <v>0</v>
      </c>
      <c r="G18" s="258" t="b">
        <v>0</v>
      </c>
      <c r="H18" s="256" t="str">
        <f t="shared" si="0"/>
        <v>미정</v>
      </c>
      <c r="I18" s="257" t="str">
        <f>'트래블마트 통합'!E17</f>
        <v>MATTA Fair
3 - 5 April 2026
[★ 선택] 말레이시아 최대 B2C</v>
      </c>
      <c r="J18" s="259"/>
    </row>
    <row r="19" spans="1:10">
      <c r="A19" s="255" t="str">
        <f>'트래블마트 통합'!E$2</f>
        <v>2026년 3월</v>
      </c>
      <c r="B19" s="256" t="str">
        <f>'트래블마트 통합'!$A21</f>
        <v>러시아</v>
      </c>
      <c r="C19" s="256" t="str">
        <f>'트래블마트 통합'!$B21</f>
        <v>모스크바</v>
      </c>
      <c r="D19" s="257" t="str">
        <f>IFERROR(LEFT('트래블마트 통합'!E21,FIND(CHAR(10),'트래블마트 통합'!E21)-1),'트래블마트 통합'!E21)</f>
        <v>MITT 2026</v>
      </c>
      <c r="E19" s="256" t="str">
        <f>IF(ISNUMBER(SEARCH("★★★",'트래블마트 통합'!E21)),"★★★",IF(ISNUMBER(SEARCH("★★",'트래블마트 통합'!E21)),"★★",IF(ISNUMBER(SEARCH("★",'트래블마트 통합'!E21)),"★","-")))</f>
        <v>★★</v>
      </c>
      <c r="F19" s="258" t="b">
        <v>0</v>
      </c>
      <c r="G19" s="258" t="b">
        <v>0</v>
      </c>
      <c r="H19" s="256" t="str">
        <f t="shared" si="0"/>
        <v>미정</v>
      </c>
      <c r="I19" s="257" t="str">
        <f>'트래블마트 통합'!E21</f>
        <v>MITT 2026
2026년 3월 11일 ~ 3월 13일
[★★ 중간] 러시아·CIS 최대, 러시아 outbound 핵심</v>
      </c>
      <c r="J19" s="259"/>
    </row>
    <row r="20" spans="1:10">
      <c r="A20" s="255" t="str">
        <f>'트래블마트 통합'!E$2</f>
        <v>2026년 3월</v>
      </c>
      <c r="B20" s="256" t="str">
        <f>'트래블마트 통합'!$A23</f>
        <v>Qatar</v>
      </c>
      <c r="C20" s="256" t="str">
        <f>'트래블마트 통합'!$B23</f>
        <v>Doha</v>
      </c>
      <c r="D20" s="257" t="str">
        <f>IFERROR(LEFT('트래블마트 통합'!E23,FIND(CHAR(10),'트래블마트 통합'!E23)-1),'트래블마트 통합'!E23)</f>
        <v>Connections Luxury Middle East 2026</v>
      </c>
      <c r="E20" s="256" t="str">
        <f>IF(ISNUMBER(SEARCH("★★★",'트래블마트 통합'!E23)),"★★★",IF(ISNUMBER(SEARCH("★★",'트래블마트 통합'!E23)),"★★",IF(ISNUMBER(SEARCH("★",'트래블마트 통합'!E23)),"★","-")))</f>
        <v>★</v>
      </c>
      <c r="F20" s="258" t="b">
        <v>0</v>
      </c>
      <c r="G20" s="258" t="b">
        <v>0</v>
      </c>
      <c r="H20" s="256" t="str">
        <f t="shared" si="0"/>
        <v>미정</v>
      </c>
      <c r="I20" s="257" t="str">
        <f>'트래블마트 통합'!E23</f>
        <v>Connections Luxury Middle East 2026
2026년 3월 29일 ~ 4월 1일
[★ 선택] 초럭셔리 바이어 행사, 하이엔드 전략용</v>
      </c>
      <c r="J20" s="259"/>
    </row>
    <row r="21" spans="1:10">
      <c r="A21" s="255" t="str">
        <f>'트래블마트 통합'!E$2</f>
        <v>2026년 3월</v>
      </c>
      <c r="B21" s="256" t="str">
        <f>'트래블마트 통합'!$A24</f>
        <v>독일</v>
      </c>
      <c r="C21" s="256" t="str">
        <f>'트래블마트 통합'!$B24</f>
        <v>베를린
오버하우젠</v>
      </c>
      <c r="D21" s="257" t="str">
        <f>IFERROR(LEFT('트래블마트 통합'!E24,FIND(CHAR(10),'트래블마트 통합'!E24)-1),'트래블마트 통합'!E24)</f>
        <v>ITB Berlin 2026</v>
      </c>
      <c r="E21" s="256" t="str">
        <f>IF(ISNUMBER(SEARCH("★★★",'트래블마트 통합'!E24)),"★★★",IF(ISNUMBER(SEARCH("★★",'트래블마트 통합'!E24)),"★★",IF(ISNUMBER(SEARCH("★",'트래블마트 통합'!E24)),"★","-")))</f>
        <v>★★★</v>
      </c>
      <c r="F21" s="258" t="b">
        <v>0</v>
      </c>
      <c r="G21" s="258" t="b">
        <v>0</v>
      </c>
      <c r="H21" s="256" t="str">
        <f t="shared" si="0"/>
        <v>미정</v>
      </c>
      <c r="I21" s="257" t="str">
        <f>'트래블마트 통합'!E24</f>
        <v>ITB Berlin 2026
2026년 3월 3일(화) ~ 3월 5일(목)
[★★★ 최우선] 세계 1위 여행 B2B, 글로벌 파트너 확장 필수</v>
      </c>
      <c r="J21" s="259"/>
    </row>
    <row r="22" spans="1:10">
      <c r="A22" s="255" t="str">
        <f>'트래블마트 통합'!E$2</f>
        <v>2026년 3월</v>
      </c>
      <c r="B22" s="256" t="str">
        <f>'트래블마트 통합'!$A28</f>
        <v>미국</v>
      </c>
      <c r="C22" s="256" t="str">
        <f>'트래블마트 통합'!$B28</f>
        <v>플로리다주
뉴욕</v>
      </c>
      <c r="D22" s="257" t="str">
        <f>IFERROR(LEFT('트래블마트 통합'!E28,FIND(CHAR(10),'트래블마트 통합'!E28)-1),'트래블마트 통합'!E28)</f>
        <v>NYTTravel Show</v>
      </c>
      <c r="E22" s="256" t="str">
        <f>IF(ISNUMBER(SEARCH("★★★",'트래블마트 통합'!E28)),"★★★",IF(ISNUMBER(SEARCH("★★",'트래블마트 통합'!E28)),"★★",IF(ISNUMBER(SEARCH("★",'트래블마트 통합'!E28)),"★","-")))</f>
        <v>-</v>
      </c>
      <c r="F22" s="258" t="b">
        <v>0</v>
      </c>
      <c r="G22" s="258" t="b">
        <v>0</v>
      </c>
      <c r="H22" s="256" t="str">
        <f t="shared" si="0"/>
        <v>미정</v>
      </c>
      <c r="I22" s="257" t="str">
        <f>'트래블마트 통합'!E28</f>
        <v>NYTTravel Show</v>
      </c>
      <c r="J22" s="259"/>
    </row>
    <row r="23" spans="1:10">
      <c r="A23" s="255" t="str">
        <f>'트래블마트 통합'!F$2</f>
        <v>2026년 4월</v>
      </c>
      <c r="B23" s="256" t="str">
        <f>'트래블마트 통합'!$A9</f>
        <v>중국</v>
      </c>
      <c r="C23" s="256" t="str">
        <f>'트래블마트 통합'!$B9</f>
        <v>광동,화동,화북,내륙</v>
      </c>
      <c r="D23" s="257" t="str">
        <f>IFERROR(LEFT('트래블마트 통합'!F9,FIND(CHAR(10),'트래블마트 통합'!F9)-1),'트래블마트 통합'!F9)</f>
        <v>1차 세일즈 콜</v>
      </c>
      <c r="E23" s="256" t="str">
        <f>IF(ISNUMBER(SEARCH("★★★",'트래블마트 통합'!F9)),"★★★",IF(ISNUMBER(SEARCH("★★",'트래블마트 통합'!F9)),"★★",IF(ISNUMBER(SEARCH("★",'트래블마트 통합'!F9)),"★","-")))</f>
        <v>★★★</v>
      </c>
      <c r="F23" s="258" t="b">
        <v>1</v>
      </c>
      <c r="G23" s="258" t="b">
        <v>1</v>
      </c>
      <c r="H23" s="256" t="str">
        <f t="shared" si="0"/>
        <v>완료</v>
      </c>
      <c r="I23" s="257" t="str">
        <f>'트래블마트 통합'!F9</f>
        <v>1차 세일즈 콜
청두, 시안, 중경
COTTM Beijing (보통 4월)
[★★★ 최우선] 중국 outbound 전문 B2B</v>
      </c>
      <c r="J23" s="259"/>
    </row>
    <row r="24" spans="1:10">
      <c r="A24" s="255" t="str">
        <f>'트래블마트 통합'!F$2</f>
        <v>2026년 4월</v>
      </c>
      <c r="B24" s="256" t="str">
        <f>'트래블마트 통합'!$A15</f>
        <v>베트남</v>
      </c>
      <c r="C24" s="256" t="str">
        <f>'트래블마트 통합'!$B15</f>
        <v>호치민
하노이</v>
      </c>
      <c r="D24" s="257" t="str">
        <f>IFERROR(LEFT('트래블마트 통합'!F15,FIND(CHAR(10),'트래블마트 통합'!F15)-1),'트래블마트 통합'!F15)</f>
        <v>Vietnam International Travel Mart HANOI</v>
      </c>
      <c r="E24" s="256" t="str">
        <f>IF(ISNUMBER(SEARCH("★★★",'트래블마트 통합'!F15)),"★★★",IF(ISNUMBER(SEARCH("★★",'트래블마트 통합'!F15)),"★★",IF(ISNUMBER(SEARCH("★",'트래블마트 통합'!F15)),"★","-")))</f>
        <v>★★</v>
      </c>
      <c r="F24" s="258" t="b">
        <v>0</v>
      </c>
      <c r="G24" s="258" t="b">
        <v>0</v>
      </c>
      <c r="H24" s="256" t="str">
        <f t="shared" si="0"/>
        <v>미정</v>
      </c>
      <c r="I24" s="257" t="str">
        <f>'트래블마트 통합'!F15</f>
        <v>Vietnam International Travel Mart HANOI
[★★ 중간] 북베트남 B2B+B2C</v>
      </c>
      <c r="J24" s="259"/>
    </row>
    <row r="25" spans="1:10">
      <c r="A25" s="255" t="str">
        <f>'트래블마트 통합'!F$2</f>
        <v>2026년 4월</v>
      </c>
      <c r="B25" s="256" t="str">
        <f>'트래블마트 통합'!$A24</f>
        <v>독일</v>
      </c>
      <c r="C25" s="256" t="str">
        <f>'트래블마트 통합'!$B24</f>
        <v>베를린
오버하우젠</v>
      </c>
      <c r="D25" s="257" t="str">
        <f>IFERROR(LEFT('트래블마트 통합'!F24,FIND(CHAR(10),'트래블마트 통합'!F24)-1),'트래블마트 통합'!F24)</f>
        <v>Germany Travel Mart (GTM) 2026</v>
      </c>
      <c r="E25" s="256" t="str">
        <f>IF(ISNUMBER(SEARCH("★★★",'트래블마트 통합'!F24)),"★★★",IF(ISNUMBER(SEARCH("★★",'트래블마트 통합'!F24)),"★★",IF(ISNUMBER(SEARCH("★",'트래블마트 통합'!F24)),"★","-")))</f>
        <v>★</v>
      </c>
      <c r="F25" s="258" t="b">
        <v>0</v>
      </c>
      <c r="G25" s="258" t="b">
        <v>0</v>
      </c>
      <c r="H25" s="256" t="str">
        <f t="shared" si="0"/>
        <v>미정</v>
      </c>
      <c r="I25" s="257" t="str">
        <f>'트래블마트 통합'!F24</f>
        <v>Germany Travel Mart (GTM) 2026
2026년 4월 19일 ~ 21일
[★ 선택] 독일 관광청 주최, 유럽 인바운드 중심</v>
      </c>
      <c r="J25" s="259"/>
    </row>
    <row r="26" spans="1:10">
      <c r="A26" s="255" t="str">
        <f>'트래블마트 통합'!F$2</f>
        <v>2026년 4월</v>
      </c>
      <c r="B26" s="256" t="str">
        <f>'트래블마트 통합'!$A28</f>
        <v>미국</v>
      </c>
      <c r="C26" s="256" t="str">
        <f>'트래블마트 통합'!$B28</f>
        <v>플로리다주
뉴욕</v>
      </c>
      <c r="D26" s="257" t="str">
        <f>IFERROR(LEFT('트래블마트 통합'!F28,FIND(CHAR(10),'트래블마트 통합'!F28)-1),'트래블마트 통합'!F28)</f>
        <v>NYTTravel Show</v>
      </c>
      <c r="E26" s="256" t="str">
        <f>IF(ISNUMBER(SEARCH("★★★",'트래블마트 통합'!F28)),"★★★",IF(ISNUMBER(SEARCH("★★",'트래블마트 통합'!F28)),"★★",IF(ISNUMBER(SEARCH("★",'트래블마트 통합'!F28)),"★","-")))</f>
        <v>-</v>
      </c>
      <c r="F26" s="258" t="b">
        <v>0</v>
      </c>
      <c r="G26" s="258" t="b">
        <v>0</v>
      </c>
      <c r="H26" s="256" t="str">
        <f t="shared" si="0"/>
        <v>미정</v>
      </c>
      <c r="I26" s="257" t="str">
        <f>'트래블마트 통합'!F28</f>
        <v>NYTTravel Show</v>
      </c>
      <c r="J26" s="259"/>
    </row>
    <row r="27" spans="1:10">
      <c r="A27" s="255" t="str">
        <f>'트래블마트 통합'!F$2</f>
        <v>2026년 4월</v>
      </c>
      <c r="B27" s="256" t="str">
        <f>'트래블마트 통합'!$A30</f>
        <v>South Africa</v>
      </c>
      <c r="C27" s="256" t="str">
        <f>'트래블마트 통합'!$B30</f>
        <v>Cape Town</v>
      </c>
      <c r="D27" s="257" t="str">
        <f>IFERROR(LEFT('트래블마트 통합'!F30,FIND(CHAR(10),'트래블마트 통합'!F30)-1),'트래블마트 통합'!F30)</f>
        <v>WTM Africa 2026</v>
      </c>
      <c r="E27" s="256" t="str">
        <f>IF(ISNUMBER(SEARCH("★★★",'트래블마트 통합'!F30)),"★★★",IF(ISNUMBER(SEARCH("★★",'트래블마트 통합'!F30)),"★★",IF(ISNUMBER(SEARCH("★",'트래블마트 통합'!F30)),"★","-")))</f>
        <v>★</v>
      </c>
      <c r="F27" s="258" t="b">
        <v>0</v>
      </c>
      <c r="G27" s="258" t="b">
        <v>0</v>
      </c>
      <c r="H27" s="256" t="str">
        <f t="shared" si="0"/>
        <v>미정</v>
      </c>
      <c r="I27" s="257" t="str">
        <f>'트래블마트 통합'!F30</f>
        <v>WTM Africa 2026
[★ 선택] 아프리카 시장 접근</v>
      </c>
      <c r="J27" s="259"/>
    </row>
    <row r="28" spans="1:10">
      <c r="A28" s="255" t="str">
        <f>'트래블마트 통합'!F$2</f>
        <v>2026년 4월</v>
      </c>
      <c r="B28" s="256" t="str">
        <f>'트래블마트 통합'!$A31</f>
        <v>브라질</v>
      </c>
      <c r="C28" s="256" t="str">
        <f>'트래블마트 통합'!$B31</f>
        <v>상파울루</v>
      </c>
      <c r="D28" s="257" t="str">
        <f>IFERROR(LEFT('트래블마트 통합'!F31,FIND(CHAR(10),'트래블마트 통합'!F31)-1),'트래블마트 통합'!F31)</f>
        <v>WTM Latin America 2026</v>
      </c>
      <c r="E28" s="256" t="str">
        <f>IF(ISNUMBER(SEARCH("★★★",'트래블마트 통합'!F31)),"★★★",IF(ISNUMBER(SEARCH("★★",'트래블마트 통합'!F31)),"★★",IF(ISNUMBER(SEARCH("★",'트래블마트 통합'!F31)),"★","-")))</f>
        <v>★</v>
      </c>
      <c r="F28" s="258" t="b">
        <v>0</v>
      </c>
      <c r="G28" s="258" t="b">
        <v>0</v>
      </c>
      <c r="H28" s="256" t="str">
        <f t="shared" si="0"/>
        <v>미정</v>
      </c>
      <c r="I28" s="257" t="str">
        <f>'트래블마트 통합'!F31</f>
        <v>WTM Latin America 2026
2026년 4월 14-16일
[★ 선택] 남미 최대 B2B, 라틴 바이어 네트워크</v>
      </c>
      <c r="J28" s="259"/>
    </row>
    <row r="29" spans="1:10">
      <c r="A29" s="255" t="str">
        <f>'트래블마트 통합'!G$2</f>
        <v>2026년 5월</v>
      </c>
      <c r="B29" s="256" t="str">
        <f>'트래블마트 통합'!$A9</f>
        <v>중국</v>
      </c>
      <c r="C29" s="256" t="str">
        <f>'트래블마트 통합'!$B9</f>
        <v>광동,화동,화북,내륙</v>
      </c>
      <c r="D29" s="257" t="str">
        <f>IFERROR(LEFT('트래블마트 통합'!G9,FIND(CHAR(10),'트래블마트 통합'!G9)-1),'트래블마트 통합'!G9)</f>
        <v>5/26–5/28 – ITB China</v>
      </c>
      <c r="E29" s="256" t="str">
        <f>IF(ISNUMBER(SEARCH("★★★",'트래블마트 통합'!G9)),"★★★",IF(ISNUMBER(SEARCH("★★",'트래블마트 통합'!G9)),"★★",IF(ISNUMBER(SEARCH("★",'트래블마트 통합'!G9)),"★","-")))</f>
        <v>★★★</v>
      </c>
      <c r="F29" s="258" t="b">
        <v>1</v>
      </c>
      <c r="G29" s="258" t="b">
        <v>1</v>
      </c>
      <c r="H29" s="256" t="str">
        <f t="shared" si="0"/>
        <v>완료</v>
      </c>
      <c r="I29" s="257" t="str">
        <f>'트래블마트 통합'!G9</f>
        <v>5/26–5/28 – ITB China
1차 Shanghai
GITF (Guangzhou International Travel Fair) 5/21–23
[★★★ 최우선] 중국 outbound 최상위 B2B</v>
      </c>
      <c r="J29" s="259"/>
    </row>
    <row r="30" spans="1:10">
      <c r="A30" s="255" t="str">
        <f>'트래블마트 통합'!G$2</f>
        <v>2026년 5월</v>
      </c>
      <c r="B30" s="256" t="str">
        <f>'트래블마트 통합'!$A10</f>
        <v>한국</v>
      </c>
      <c r="C30" s="256" t="str">
        <f>'트래블마트 통합'!$B10</f>
        <v>서울</v>
      </c>
      <c r="D30" s="257" t="str">
        <f>IFERROR(LEFT('트래블마트 통합'!G10,FIND(CHAR(10),'트래블마트 통합'!G10)-1),'트래블마트 통합'!G10)</f>
        <v>일산 트래블마트</v>
      </c>
      <c r="E30" s="256" t="str">
        <f>IF(ISNUMBER(SEARCH("★★★",'트래블마트 통합'!G10)),"★★★",IF(ISNUMBER(SEARCH("★★",'트래블마트 통합'!G10)),"★★",IF(ISNUMBER(SEARCH("★",'트래블마트 통합'!G10)),"★","-")))</f>
        <v>-</v>
      </c>
      <c r="F30" s="258" t="b">
        <v>1</v>
      </c>
      <c r="G30" s="258" t="b">
        <v>1</v>
      </c>
      <c r="H30" s="256" t="str">
        <f t="shared" si="0"/>
        <v>완료</v>
      </c>
      <c r="I30" s="257" t="str">
        <f>'트래블마트 통합'!G10</f>
        <v>일산 트래블마트
5월 14~17일</v>
      </c>
      <c r="J30" s="259"/>
    </row>
    <row r="31" spans="1:10">
      <c r="A31" s="255" t="str">
        <f>'트래블마트 통합'!G$2</f>
        <v>2026년 5월</v>
      </c>
      <c r="B31" s="256" t="str">
        <f>'트래블마트 통합'!$A12</f>
        <v>대만</v>
      </c>
      <c r="C31" s="256" t="str">
        <f>'트래블마트 통합'!$B12</f>
        <v>타이베이</v>
      </c>
      <c r="D31" s="257" t="str">
        <f>IFERROR(LEFT('트래블마트 통합'!G12,FIND(CHAR(10),'트래블마트 통합'!G12)-1),'트래블마트 통합'!G12)</f>
        <v>5/22–5/25 – Taipei Tourism Expo (TTE)</v>
      </c>
      <c r="E31" s="256" t="str">
        <f>IF(ISNUMBER(SEARCH("★★★",'트래블마트 통합'!G12)),"★★★",IF(ISNUMBER(SEARCH("★★",'트래블마트 통합'!G12)),"★★",IF(ISNUMBER(SEARCH("★",'트래블마트 통합'!G12)),"★","-")))</f>
        <v>★</v>
      </c>
      <c r="F31" s="258" t="b">
        <v>0</v>
      </c>
      <c r="G31" s="258" t="b">
        <v>0</v>
      </c>
      <c r="H31" s="256" t="str">
        <f t="shared" si="0"/>
        <v>미정</v>
      </c>
      <c r="I31" s="257" t="str">
        <f>'트래블마트 통합'!G12</f>
        <v>5/22–5/25 – Taipei Tourism Expo (TTE)
[★ 선택] 대만 최대 B2C, FIT 시장 강함</v>
      </c>
      <c r="J31" s="259"/>
    </row>
    <row r="32" spans="1:10">
      <c r="A32" s="255" t="str">
        <f>'트래블마트 통합'!G$2</f>
        <v>2026년 5월</v>
      </c>
      <c r="B32" s="256" t="str">
        <f>'트래블마트 통합'!$A19</f>
        <v>인도네시아</v>
      </c>
      <c r="C32" s="256" t="str">
        <f>'트래블마트 통합'!$B19</f>
        <v>자카르타</v>
      </c>
      <c r="D32" s="257" t="str">
        <f>IFERROR(LEFT('트래블마트 통합'!G19,FIND(CHAR(10),'트래블마트 통합'!G19)-1),'트래블마트 통합'!G19)</f>
        <v>BBTF (Bali &amp; Beyond Travel Fair) 2026</v>
      </c>
      <c r="E32" s="256" t="str">
        <f>IF(ISNUMBER(SEARCH("★★★",'트래블마트 통합'!G19)),"★★★",IF(ISNUMBER(SEARCH("★★",'트래블마트 통합'!G19)),"★★",IF(ISNUMBER(SEARCH("★",'트래블마트 통합'!G19)),"★","-")))</f>
        <v>-</v>
      </c>
      <c r="F32" s="258" t="b">
        <v>0</v>
      </c>
      <c r="G32" s="258" t="b">
        <v>0</v>
      </c>
      <c r="H32" s="256" t="str">
        <f t="shared" si="0"/>
        <v>미정</v>
      </c>
      <c r="I32" s="257" t="str">
        <f>'트래블마트 통합'!G19</f>
        <v>BBTF (Bali &amp; Beyond Travel Fair) 2026
날짜: 2026년 5월 28일(목) ~ 5월 30일(토)
특징: 상반기 동남아시아 일정 중 호텔 소싱에 가장 중요한 행사</v>
      </c>
      <c r="J32" s="259"/>
    </row>
    <row r="33" spans="1:10">
      <c r="A33" s="255" t="str">
        <f>'트래블마트 통합'!G$2</f>
        <v>2026년 5월</v>
      </c>
      <c r="B33" s="256" t="str">
        <f>'트래블마트 통합'!$A22</f>
        <v>UAE</v>
      </c>
      <c r="C33" s="256" t="str">
        <f>'트래블마트 통합'!$B22</f>
        <v>Dubai</v>
      </c>
      <c r="D33" s="257" t="str">
        <f>IFERROR(LEFT('트래블마트 통합'!G22,FIND(CHAR(10),'트래블마트 통합'!G22)-1),'트래블마트 통합'!G22)</f>
        <v>Arabian Travel Market (ATM) 2026</v>
      </c>
      <c r="E33" s="256" t="str">
        <f>IF(ISNUMBER(SEARCH("★★★",'트래블마트 통합'!G22)),"★★★",IF(ISNUMBER(SEARCH("★★",'트래블마트 통합'!G22)),"★★",IF(ISNUMBER(SEARCH("★",'트래블마트 통합'!G22)),"★","-")))</f>
        <v>★★★</v>
      </c>
      <c r="F33" s="258" t="b">
        <v>1</v>
      </c>
      <c r="G33" s="258" t="b">
        <v>0</v>
      </c>
      <c r="H33" s="256" t="str">
        <f t="shared" si="0"/>
        <v>참가 예정</v>
      </c>
      <c r="I33" s="257" t="str">
        <f>'트래블마트 통합'!G22</f>
        <v>Arabian Travel Market (ATM) 2026
2026년 5월 4일 ~ 5월 7일
[★★★ 최우선] 중동 최대 여행 B2B, GCC 바이어 중심</v>
      </c>
      <c r="J33" s="259"/>
    </row>
    <row r="34" spans="1:10">
      <c r="A34" s="255" t="str">
        <f>'트래블마트 통합'!G$2</f>
        <v>2026년 5월</v>
      </c>
      <c r="B34" s="256" t="str">
        <f>'트래블마트 통합'!$A25</f>
        <v>호주</v>
      </c>
      <c r="C34" s="256" t="str">
        <f>'트래블마트 통합'!$B25</f>
        <v>시드니, 애들레이드</v>
      </c>
      <c r="D34" s="257" t="str">
        <f>IFERROR(LEFT('트래블마트 통합'!G25,FIND(CHAR(10),'트래블마트 통합'!G25)-1),'트래블마트 통합'!G25)</f>
        <v>5/10–5/14 – Australian Tourism Exchange (ATE)</v>
      </c>
      <c r="E34" s="256" t="str">
        <f>IF(ISNUMBER(SEARCH("★★★",'트래블마트 통합'!G25)),"★★★",IF(ISNUMBER(SEARCH("★★",'트래블마트 통합'!G25)),"★★",IF(ISNUMBER(SEARCH("★",'트래블마트 통합'!G25)),"★","-")))</f>
        <v>★</v>
      </c>
      <c r="F34" s="258" t="b">
        <v>0</v>
      </c>
      <c r="G34" s="258" t="b">
        <v>0</v>
      </c>
      <c r="H34" s="256" t="str">
        <f t="shared" si="0"/>
        <v>미정</v>
      </c>
      <c r="I34" s="257" t="str">
        <f>'트래블마트 통합'!G25</f>
        <v>5/10–5/14 – Australian Tourism Exchange (ATE)
[★ 선택] 오세아니아 최대 B2B</v>
      </c>
      <c r="J34" s="259"/>
    </row>
    <row r="35" spans="1:10">
      <c r="A35" s="255" t="str">
        <f>'트래블마트 통합'!G$2</f>
        <v>2026년 5월</v>
      </c>
      <c r="B35" s="256" t="str">
        <f>'트래블마트 통합'!$A28</f>
        <v>미국</v>
      </c>
      <c r="C35" s="256" t="str">
        <f>'트래블마트 통합'!$B28</f>
        <v>플로리다주
뉴욕</v>
      </c>
      <c r="D35" s="257" t="str">
        <f>IFERROR(LEFT('트래블마트 통합'!G28,FIND(CHAR(10),'트래블마트 통합'!G28)-1),'트래블마트 통합'!G28)</f>
        <v>IPW 2026</v>
      </c>
      <c r="E35" s="256" t="str">
        <f>IF(ISNUMBER(SEARCH("★★★",'트래블마트 통합'!G28)),"★★★",IF(ISNUMBER(SEARCH("★★",'트래블마트 통합'!G28)),"★★",IF(ISNUMBER(SEARCH("★",'트래블마트 통합'!G28)),"★","-")))</f>
        <v>★</v>
      </c>
      <c r="F35" s="258" t="b">
        <v>0</v>
      </c>
      <c r="G35" s="258" t="b">
        <v>0</v>
      </c>
      <c r="H35" s="256" t="str">
        <f t="shared" si="0"/>
        <v>미정</v>
      </c>
      <c r="I35" s="257" t="str">
        <f>'트래블마트 통합'!G28</f>
        <v>IPW 2026
2026년 5월 17-21일
[★ 선택] 미국 인바운드 최대 B2B 행사</v>
      </c>
      <c r="J35" s="259"/>
    </row>
    <row r="36" spans="1:10">
      <c r="A36" s="255" t="str">
        <f>'트래블마트 통합'!H$2</f>
        <v>2026년 6월</v>
      </c>
      <c r="B36" s="256" t="str">
        <f>'트래블마트 통합'!$A10</f>
        <v>한국</v>
      </c>
      <c r="C36" s="256" t="str">
        <f>'트래블마트 통합'!$B10</f>
        <v>서울</v>
      </c>
      <c r="D36" s="257" t="str">
        <f>IFERROR(LEFT('트래블마트 통합'!H10,FIND(CHAR(10),'트래블마트 통합'!H10)-1),'트래블마트 통합'!H10)</f>
        <v>6/4–6/7 – Seoul International Travel Fair (SITF)</v>
      </c>
      <c r="E36" s="256" t="str">
        <f>IF(ISNUMBER(SEARCH("★★★",'트래블마트 통합'!H10)),"★★★",IF(ISNUMBER(SEARCH("★★",'트래블마트 통합'!H10)),"★★",IF(ISNUMBER(SEARCH("★",'트래블마트 통합'!H10)),"★","-")))</f>
        <v>★</v>
      </c>
      <c r="F36" s="258" t="b">
        <v>0</v>
      </c>
      <c r="G36" s="258" t="b">
        <v>0</v>
      </c>
      <c r="H36" s="256" t="str">
        <f t="shared" ref="H36:H68" si="1">IF(AND(F36,G36),"완료",IF(G36,"진행 완료",IF(F36,"참가 예정","미정")))</f>
        <v>미정</v>
      </c>
      <c r="I36" s="257" t="str">
        <f>'트래블마트 통합'!H10</f>
        <v>6/4–6/7 – Seoul International Travel Fair (SITF)
[★ 선택] 한국 최대 여행박람회</v>
      </c>
      <c r="J36" s="259"/>
    </row>
    <row r="37" spans="1:10">
      <c r="A37" s="255" t="str">
        <f>'트래블마트 통합'!H$2</f>
        <v>2026년 6월</v>
      </c>
      <c r="B37" s="256" t="str">
        <f>'트래블마트 통합'!$A13</f>
        <v>홍콩</v>
      </c>
      <c r="C37" s="256" t="str">
        <f>'트래블마트 통합'!$B13</f>
        <v>홍콩</v>
      </c>
      <c r="D37" s="257" t="str">
        <f>IFERROR(LEFT('트래블마트 통합'!H13,FIND(CHAR(10),'트래블마트 통합'!H13)-1),'트래블마트 통합'!H13)</f>
        <v>ITE Hong Kong</v>
      </c>
      <c r="E37" s="256" t="str">
        <f>IF(ISNUMBER(SEARCH("★★★",'트래블마트 통합'!H13)),"★★★",IF(ISNUMBER(SEARCH("★★",'트래블마트 통합'!H13)),"★★",IF(ISNUMBER(SEARCH("★",'트래블마트 통합'!H13)),"★","-")))</f>
        <v>★★</v>
      </c>
      <c r="F37" s="258" t="b">
        <v>0</v>
      </c>
      <c r="G37" s="258" t="b">
        <v>0</v>
      </c>
      <c r="H37" s="256" t="str">
        <f t="shared" si="1"/>
        <v>미정</v>
      </c>
      <c r="I37" s="257" t="str">
        <f>'트래블마트 통합'!H13</f>
        <v>ITE Hong Kong
6월 11~14일 전후
[★★ 중간] 홍콩–광둥 outbound 중심</v>
      </c>
      <c r="J37" s="259"/>
    </row>
    <row r="38" spans="1:10">
      <c r="A38" s="255" t="str">
        <f>'트래블마트 통합'!H$2</f>
        <v>2026년 6월</v>
      </c>
      <c r="B38" s="256" t="str">
        <f>'트래블마트 통합'!$A16</f>
        <v>태국</v>
      </c>
      <c r="C38" s="256" t="str">
        <f>'트래블마트 통합'!$B16</f>
        <v>방콕</v>
      </c>
      <c r="D38" s="257" t="str">
        <f>IFERROR(LEFT('트래블마트 통합'!H16,FIND(CHAR(10),'트래블마트 통합'!H16)-1),'트래블마트 통합'!H16)</f>
        <v>TTM+ (Thailand Travel Mart Plus) 2026</v>
      </c>
      <c r="E38" s="256" t="str">
        <f>IF(ISNUMBER(SEARCH("★★★",'트래블마트 통합'!H16)),"★★★",IF(ISNUMBER(SEARCH("★★",'트래블마트 통합'!H16)),"★★",IF(ISNUMBER(SEARCH("★",'트래블마트 통합'!H16)),"★","-")))</f>
        <v>-</v>
      </c>
      <c r="F38" s="258" t="b">
        <v>0</v>
      </c>
      <c r="G38" s="258" t="b">
        <v>0</v>
      </c>
      <c r="H38" s="256" t="str">
        <f t="shared" si="1"/>
        <v>미정</v>
      </c>
      <c r="I38" s="257" t="str">
        <f>'트래블마트 통합'!H16</f>
        <v>TTM+ (Thailand Travel Mart Plus) 2026
예상 날짜: 2026년 6월 중 (보통 6월 둘째 주)
장소: 미정
특징: 태국 관광청(TAT) 주관 행사</v>
      </c>
      <c r="J38" s="259"/>
    </row>
    <row r="39" spans="1:10">
      <c r="A39" s="255" t="str">
        <f>'트래블마트 통합'!H$2</f>
        <v>2026년 6월</v>
      </c>
      <c r="B39" s="256" t="str">
        <f>'트래블마트 통합'!$A18</f>
        <v>싱가포르</v>
      </c>
      <c r="C39" s="256" t="str">
        <f>'트래블마트 통합'!$B18</f>
        <v>마리나베이</v>
      </c>
      <c r="D39" s="257" t="str">
        <f>IFERROR(LEFT('트래블마트 통합'!H18,FIND(CHAR(10),'트래블마트 통합'!H18)-1),'트래블마트 통합'!H18)</f>
        <v>ILTM Asia Pacific 2026</v>
      </c>
      <c r="E39" s="256" t="str">
        <f>IF(ISNUMBER(SEARCH("★★★",'트래블마트 통합'!H18)),"★★★",IF(ISNUMBER(SEARCH("★★",'트래블마트 통합'!H18)),"★★",IF(ISNUMBER(SEARCH("★",'트래블마트 통합'!H18)),"★","-")))</f>
        <v>★</v>
      </c>
      <c r="F39" s="258" t="b">
        <v>0</v>
      </c>
      <c r="G39" s="258" t="b">
        <v>0</v>
      </c>
      <c r="H39" s="256" t="str">
        <f t="shared" si="1"/>
        <v>미정</v>
      </c>
      <c r="I39" s="257" t="str">
        <f>'트래블마트 통합'!H18</f>
        <v>ILTM Asia Pacific 2026
2026년 6월 29일 ~ 7월 2일
[★ 선택] 아시아 럭셔리 여행 최상위 행사</v>
      </c>
      <c r="J39" s="259"/>
    </row>
    <row r="40" spans="1:10">
      <c r="A40" s="255" t="str">
        <f>'트래블마트 통합'!H$2</f>
        <v>2026년 6월</v>
      </c>
      <c r="B40" s="256" t="str">
        <f>'트래블마트 통합'!$A19</f>
        <v>인도네시아</v>
      </c>
      <c r="C40" s="256" t="str">
        <f>'트래블마트 통합'!$B19</f>
        <v>자카르타</v>
      </c>
      <c r="D40" s="257" t="str">
        <f>IFERROR(LEFT('트래블마트 통합'!H19,FIND(CHAR(10),'트래블마트 통합'!H19)-1),'트래블마트 통합'!H19)</f>
        <v>Travel Meet Asia 2026</v>
      </c>
      <c r="E40" s="256" t="str">
        <f>IF(ISNUMBER(SEARCH("★★★",'트래블마트 통합'!H19)),"★★★",IF(ISNUMBER(SEARCH("★★",'트래블마트 통합'!H19)),"★★",IF(ISNUMBER(SEARCH("★",'트래블마트 통합'!H19)),"★","-")))</f>
        <v>★</v>
      </c>
      <c r="F40" s="258" t="b">
        <v>1</v>
      </c>
      <c r="G40" s="258" t="b">
        <v>1</v>
      </c>
      <c r="H40" s="256" t="str">
        <f t="shared" si="1"/>
        <v>완료</v>
      </c>
      <c r="I40" s="257" t="str">
        <f>'트래블마트 통합'!H19</f>
        <v>Travel Meet Asia 2026
2026년 6월 23-24일
[★ 선택] 아세안 B2B 네트워크 허브</v>
      </c>
      <c r="J40" s="259"/>
    </row>
    <row r="41" spans="1:10">
      <c r="A41" s="255" t="str">
        <f>'트래블마트 통합'!I$2</f>
        <v>2026년 7월</v>
      </c>
      <c r="B41" s="256" t="str">
        <f>'트래블마트 통합'!$A9</f>
        <v>중국</v>
      </c>
      <c r="C41" s="256" t="str">
        <f>'트래블마트 통합'!$B9</f>
        <v>광동,화동,화북,내륙</v>
      </c>
      <c r="D41" s="257" t="str">
        <f>IFERROR(LEFT('트래블마트 통합'!I9,FIND(CHAR(10),'트래블마트 통합'!I9)-1),'트래블마트 통합'!I9)</f>
        <v>2차 세일즈 콜</v>
      </c>
      <c r="E41" s="256" t="str">
        <f>IF(ISNUMBER(SEARCH("★★★",'트래블마트 통합'!I9)),"★★★",IF(ISNUMBER(SEARCH("★★",'트래블마트 통합'!I9)),"★★",IF(ISNUMBER(SEARCH("★",'트래블마트 통합'!I9)),"★","-")))</f>
        <v>-</v>
      </c>
      <c r="F41" s="258" t="b">
        <v>1</v>
      </c>
      <c r="G41" s="258" t="b">
        <v>1</v>
      </c>
      <c r="H41" s="256" t="str">
        <f t="shared" si="1"/>
        <v>완료</v>
      </c>
      <c r="I41" s="257" t="str">
        <f>'트래블마트 통합'!I9</f>
        <v>2차 세일즈 콜
심천+대만+홍콩</v>
      </c>
      <c r="J41" s="259"/>
    </row>
    <row r="42" spans="1:10">
      <c r="A42" s="255" t="str">
        <f>'트래블마트 통합'!I$2</f>
        <v>2026년 7월</v>
      </c>
      <c r="B42" s="256" t="str">
        <f>'트래블마트 통합'!$A10</f>
        <v>한국</v>
      </c>
      <c r="C42" s="256" t="str">
        <f>'트래블마트 통합'!$B10</f>
        <v>서울</v>
      </c>
      <c r="D42" s="257" t="str">
        <f>IFERROR(LEFT('트래블마트 통합'!I10,FIND(CHAR(10),'트래블마트 통합'!I10)-1),'트래블마트 통합'!I10)</f>
        <v>6/30~7/1</v>
      </c>
      <c r="E42" s="256" t="str">
        <f>IF(ISNUMBER(SEARCH("★★★",'트래블마트 통합'!I10)),"★★★",IF(ISNUMBER(SEARCH("★★",'트래블마트 통합'!I10)),"★★",IF(ISNUMBER(SEARCH("★",'트래블마트 통합'!I10)),"★","-")))</f>
        <v>-</v>
      </c>
      <c r="F42" s="258" t="b">
        <v>0</v>
      </c>
      <c r="G42" s="258" t="b">
        <v>0</v>
      </c>
      <c r="H42" s="256" t="str">
        <f t="shared" si="1"/>
        <v>미정</v>
      </c>
      <c r="I42" s="257" t="str">
        <f>'트래블마트 통합'!I10</f>
        <v>6/30~7/1
SITM</v>
      </c>
      <c r="J42" s="259"/>
    </row>
    <row r="43" spans="1:10">
      <c r="A43" s="255" t="str">
        <f>'트래블마트 통합'!I$2</f>
        <v>2026년 7월</v>
      </c>
      <c r="B43" s="256" t="str">
        <f>'트래블마트 통합'!$A12</f>
        <v>대만</v>
      </c>
      <c r="C43" s="256" t="str">
        <f>'트래블마트 통합'!$B12</f>
        <v>타이베이</v>
      </c>
      <c r="D43" s="257" t="str">
        <f>IFERROR(LEFT('트래블마트 통합'!I12,FIND(CHAR(10),'트래블마트 통합'!I12)-1),'트래블마트 통합'!I12)</f>
        <v>2차 세일즈 콜</v>
      </c>
      <c r="E43" s="256" t="str">
        <f>IF(ISNUMBER(SEARCH("★★★",'트래블마트 통합'!I12)),"★★★",IF(ISNUMBER(SEARCH("★★",'트래블마트 통합'!I12)),"★★",IF(ISNUMBER(SEARCH("★",'트래블마트 통합'!I12)),"★","-")))</f>
        <v>-</v>
      </c>
      <c r="F43" s="258" t="b">
        <v>1</v>
      </c>
      <c r="G43" s="258" t="b">
        <v>1</v>
      </c>
      <c r="H43" s="256" t="str">
        <f t="shared" si="1"/>
        <v>완료</v>
      </c>
      <c r="I43" s="257" t="str">
        <f>'트래블마트 통합'!I12</f>
        <v>2차 세일즈 콜
심천+대만+홍콩</v>
      </c>
      <c r="J43" s="259"/>
    </row>
    <row r="44" spans="1:10">
      <c r="A44" s="255" t="str">
        <f>'트래블마트 통합'!I$2</f>
        <v>2026년 7월</v>
      </c>
      <c r="B44" s="256" t="str">
        <f>'트래블마트 통합'!$A13</f>
        <v>홍콩</v>
      </c>
      <c r="C44" s="256" t="str">
        <f>'트래블마트 통합'!$B13</f>
        <v>홍콩</v>
      </c>
      <c r="D44" s="257" t="str">
        <f>IFERROR(LEFT('트래블마트 통합'!I13,FIND(CHAR(10),'트래블마트 통합'!I13)-1),'트래블마트 통합'!I13)</f>
        <v>2차 세일즈 콜</v>
      </c>
      <c r="E44" s="256" t="str">
        <f>IF(ISNUMBER(SEARCH("★★★",'트래블마트 통합'!I13)),"★★★",IF(ISNUMBER(SEARCH("★★",'트래블마트 통합'!I13)),"★★",IF(ISNUMBER(SEARCH("★",'트래블마트 통합'!I13)),"★","-")))</f>
        <v>-</v>
      </c>
      <c r="F44" s="258" t="b">
        <v>1</v>
      </c>
      <c r="G44" s="258" t="b">
        <v>1</v>
      </c>
      <c r="H44" s="256" t="str">
        <f t="shared" si="1"/>
        <v>완료</v>
      </c>
      <c r="I44" s="257" t="str">
        <f>'트래블마트 통합'!I13</f>
        <v>2차 세일즈 콜
심천+대만+홍콩</v>
      </c>
      <c r="J44" s="259"/>
    </row>
    <row r="45" spans="1:10">
      <c r="A45" s="255" t="str">
        <f>'트래블마트 통합'!I$2</f>
        <v>2026년 7월</v>
      </c>
      <c r="B45" s="256" t="str">
        <f>'트래블마트 통합'!$A14</f>
        <v>필리핀</v>
      </c>
      <c r="C45" s="256" t="str">
        <f>'트래블마트 통합'!$B14</f>
        <v>세부, 마닐라</v>
      </c>
      <c r="D45" s="257" t="str">
        <f>IFERROR(LEFT('트래블마트 통합'!I14,FIND(CHAR(10),'트래블마트 통합'!I14)-1),'트래블마트 통합'!I14)</f>
        <v>Travel Madness Expo 2026</v>
      </c>
      <c r="E45" s="256" t="str">
        <f>IF(ISNUMBER(SEARCH("★★★",'트래블마트 통합'!I14)),"★★★",IF(ISNUMBER(SEARCH("★★",'트래블마트 통합'!I14)),"★★",IF(ISNUMBER(SEARCH("★",'트래블마트 통합'!I14)),"★","-")))</f>
        <v>-</v>
      </c>
      <c r="F45" s="258" t="b">
        <v>1</v>
      </c>
      <c r="G45" s="258" t="b">
        <v>1</v>
      </c>
      <c r="H45" s="256" t="str">
        <f t="shared" si="1"/>
        <v>완료</v>
      </c>
      <c r="I45" s="257" t="str">
        <f>'트래블마트 통합'!I14</f>
        <v>Travel Madness Expo 2026
July 10 to 12, 2026</v>
      </c>
      <c r="J45" s="259"/>
    </row>
    <row r="46" spans="1:10">
      <c r="A46" s="255" t="str">
        <f>'트래블마트 통합'!J$2</f>
        <v>2026년 8월</v>
      </c>
      <c r="B46" s="256" t="str">
        <f>'트래블마트 통합'!$A10</f>
        <v>한국</v>
      </c>
      <c r="C46" s="256" t="str">
        <f>'트래블마트 통합'!$B10</f>
        <v>서울</v>
      </c>
      <c r="D46" s="257" t="str">
        <f>IFERROR(LEFT('트래블마트 통합'!J10,FIND(CHAR(10),'트래블마트 통합'!J10)-1),'트래블마트 통합'!J10)</f>
        <v>한국 세일즈콜</v>
      </c>
      <c r="E46" s="256" t="str">
        <f>IF(ISNUMBER(SEARCH("★★★",'트래블마트 통합'!J10)),"★★★",IF(ISNUMBER(SEARCH("★★",'트래블마트 통합'!J10)),"★★",IF(ISNUMBER(SEARCH("★",'트래블마트 통합'!J10)),"★","-")))</f>
        <v>-</v>
      </c>
      <c r="F46" s="258" t="b">
        <v>1</v>
      </c>
      <c r="G46" s="258" t="b">
        <v>1</v>
      </c>
      <c r="H46" s="256" t="str">
        <f t="shared" si="1"/>
        <v>완료</v>
      </c>
      <c r="I46" s="257" t="str">
        <f>'트래블마트 통합'!J10</f>
        <v>한국 세일즈콜
8월3~7일</v>
      </c>
      <c r="J46" s="259"/>
    </row>
    <row r="47" spans="1:10">
      <c r="A47" s="255" t="str">
        <f>'트래블마트 통합'!J$2</f>
        <v>2026년 8월</v>
      </c>
      <c r="B47" s="256" t="str">
        <f>'트래블마트 통합'!$A17</f>
        <v>말레이시아</v>
      </c>
      <c r="C47" s="256" t="str">
        <f>'트래블마트 통합'!$B17</f>
        <v>쿠알라룸프르, 쿠칭</v>
      </c>
      <c r="D47" s="257" t="str">
        <f>IFERROR(LEFT('트래블마트 통합'!J17,FIND(CHAR(10),'트래블마트 통합'!J17)-1),'트래블마트 통합'!J17)</f>
        <v>8/18–8/20 – PATA Travel Mart</v>
      </c>
      <c r="E47" s="256" t="str">
        <f>IF(ISNUMBER(SEARCH("★★★",'트래블마트 통합'!J17)),"★★★",IF(ISNUMBER(SEARCH("★★",'트래블마트 통합'!J17)),"★★",IF(ISNUMBER(SEARCH("★",'트래블마트 통합'!J17)),"★","-")))</f>
        <v>★★</v>
      </c>
      <c r="F47" s="258" t="b">
        <v>0</v>
      </c>
      <c r="G47" s="258" t="b">
        <v>0</v>
      </c>
      <c r="H47" s="256" t="str">
        <f t="shared" si="1"/>
        <v>미정</v>
      </c>
      <c r="I47" s="257" t="str">
        <f>'트래블마트 통합'!J17</f>
        <v>8/18–8/20 – PATA Travel Mart
[★★ 중간] 아시아·태평양 대표 B2B</v>
      </c>
      <c r="J47" s="259"/>
    </row>
    <row r="48" spans="1:10" ht="16.5">
      <c r="A48" s="255" t="str">
        <f>'트래블마트 통합'!J$2</f>
        <v>2026년 8월</v>
      </c>
      <c r="B48" s="256" t="str">
        <f>'트래블마트 통합'!$A18</f>
        <v>싱가포르</v>
      </c>
      <c r="C48" s="256" t="s">
        <v>128</v>
      </c>
      <c r="D48" s="257" t="str">
        <f>IFERROR(LEFT('트래블마트 통합'!J18,FIND(CHAR(10),'트래블마트 통합'!J18)-1),'트래블마트 통합'!J18)</f>
        <v>NATAS (2026년 8월 21~23일)</v>
      </c>
      <c r="E48" s="256" t="str">
        <f>IF(ISNUMBER(SEARCH("★★★",'트래블마트 통합'!J18)),"★★★",IF(ISNUMBER(SEARCH("★★",'트래블마트 통합'!J18)),"★★",IF(ISNUMBER(SEARCH("★",'트래블마트 통합'!J18)),"★","-")))</f>
        <v>-</v>
      </c>
      <c r="F48" s="258" t="b">
        <v>1</v>
      </c>
      <c r="G48" s="258" t="b">
        <v>0</v>
      </c>
      <c r="H48" s="256" t="str">
        <f>IF(AND(F48,G48),"완료",IF(G48,"진행 완료",IF(F48,"참가 예정","미정")))</f>
        <v>참가 예정</v>
      </c>
      <c r="I48" s="257" t="str">
        <f>'트래블마트 통합'!J18</f>
        <v>NATAS (2026년 8월 21~23일)</v>
      </c>
      <c r="J48" s="259"/>
    </row>
    <row r="49" spans="1:10">
      <c r="A49" s="255" t="str">
        <f>'트래블마트 통합'!K$2</f>
        <v>2026년 9월</v>
      </c>
      <c r="B49" s="256" t="str">
        <f>'트래블마트 통합'!$A9</f>
        <v>중국</v>
      </c>
      <c r="C49" s="256" t="str">
        <f>'트래블마트 통합'!$B9</f>
        <v>광동,화동,화북,내륙</v>
      </c>
      <c r="D49" s="257" t="str">
        <f>IFERROR(LEFT('트래블마트 통합'!K9,FIND(CHAR(10),'트래블마트 통합'!K9)-1),'트래블마트 통합'!K9)</f>
        <v>2차 광저우, 심천</v>
      </c>
      <c r="E49" s="256" t="str">
        <f>IF(ISNUMBER(SEARCH("★★★",'트래블마트 통합'!K9)),"★★★",IF(ISNUMBER(SEARCH("★★",'트래블마트 통합'!K9)),"★★",IF(ISNUMBER(SEARCH("★",'트래블마트 통합'!K9)),"★","-")))</f>
        <v>-</v>
      </c>
      <c r="F49" s="258" t="b">
        <v>0</v>
      </c>
      <c r="G49" s="258" t="b">
        <v>0</v>
      </c>
      <c r="H49" s="256" t="str">
        <f t="shared" si="1"/>
        <v>미정</v>
      </c>
      <c r="I49" s="257" t="str">
        <f>'트래블마트 통합'!K9</f>
        <v>2차 광저우, 심천</v>
      </c>
      <c r="J49" s="259"/>
    </row>
    <row r="50" spans="1:10">
      <c r="A50" s="255" t="str">
        <f>'트래블마트 통합'!K$2</f>
        <v>2026년 9월</v>
      </c>
      <c r="B50" s="256" t="str">
        <f>'트래블마트 통합'!$A11</f>
        <v>일본</v>
      </c>
      <c r="C50" s="256" t="str">
        <f>'트래블마트 통합'!$B11</f>
        <v>(순환개최)</v>
      </c>
      <c r="D50" s="257" t="str">
        <f>IFERROR(LEFT('트래블마트 통합'!K11,FIND(CHAR(10),'트래블마트 통합'!K11)-1),'트래블마트 통합'!K11)</f>
        <v>9/24–9/27 – Tourism EXPO Japan (TEJ)</v>
      </c>
      <c r="E50" s="256" t="str">
        <f>IF(ISNUMBER(SEARCH("★★★",'트래블마트 통합'!K11)),"★★★",IF(ISNUMBER(SEARCH("★★",'트래블마트 통합'!K11)),"★★",IF(ISNUMBER(SEARCH("★",'트래블마트 통합'!K11)),"★","-")))</f>
        <v>★★</v>
      </c>
      <c r="F50" s="258" t="b">
        <v>0</v>
      </c>
      <c r="G50" s="258" t="b">
        <v>0</v>
      </c>
      <c r="H50" s="256" t="str">
        <f t="shared" si="1"/>
        <v>미정</v>
      </c>
      <c r="I50" s="257" t="str">
        <f>'트래블마트 통합'!K11</f>
        <v>9/24–9/27 – Tourism EXPO Japan (TEJ)
[★★ 중간] 일본 최대 종합 트래블쇼</v>
      </c>
      <c r="J50" s="259"/>
    </row>
    <row r="51" spans="1:10">
      <c r="A51" s="255" t="str">
        <f>'트래블마트 통합'!K$2</f>
        <v>2026년 9월</v>
      </c>
      <c r="B51" s="256" t="str">
        <f>'트래블마트 통합'!$A13</f>
        <v>홍콩</v>
      </c>
      <c r="C51" s="256" t="str">
        <f>'트래블마트 통합'!$B13</f>
        <v>홍콩</v>
      </c>
      <c r="D51" s="257" t="str">
        <f>IFERROR(LEFT('트래블마트 통합'!K13,FIND(CHAR(10),'트래블마트 통합'!K13)-1),'트래블마트 통합'!K13)</f>
        <v>2차 세일즈 콜</v>
      </c>
      <c r="E51" s="256" t="str">
        <f>IF(ISNUMBER(SEARCH("★★★",'트래블마트 통합'!K13)),"★★★",IF(ISNUMBER(SEARCH("★★",'트래블마트 통합'!K13)),"★★",IF(ISNUMBER(SEARCH("★",'트래블마트 통합'!K13)),"★","-")))</f>
        <v>-</v>
      </c>
      <c r="F51" s="258" t="b">
        <v>0</v>
      </c>
      <c r="G51" s="258" t="b">
        <v>0</v>
      </c>
      <c r="H51" s="256" t="str">
        <f t="shared" si="1"/>
        <v>미정</v>
      </c>
      <c r="I51" s="257" t="str">
        <f>'트래블마트 통합'!K13</f>
        <v>2차 세일즈 콜
대만+홍콩</v>
      </c>
      <c r="J51" s="259"/>
    </row>
    <row r="52" spans="1:10">
      <c r="A52" s="255" t="str">
        <f>'트래블마트 통합'!K$2</f>
        <v>2026년 9월</v>
      </c>
      <c r="B52" s="256" t="str">
        <f>'트래블마트 통합'!$A17</f>
        <v>말레이시아</v>
      </c>
      <c r="C52" s="256" t="str">
        <f>'트래블마트 통합'!$B17</f>
        <v>쿠알라룸프르, 쿠칭</v>
      </c>
      <c r="D52" s="257" t="str">
        <f>IFERROR(LEFT('트래블마트 통합'!K17,FIND(CHAR(10),'트래블마트 통합'!K17)-1),'트래블마트 통합'!K17)</f>
        <v>MATTA Fair</v>
      </c>
      <c r="E52" s="256" t="str">
        <f>IF(ISNUMBER(SEARCH("★★★",'트래블마트 통합'!K17)),"★★★",IF(ISNUMBER(SEARCH("★★",'트래블마트 통합'!K17)),"★★",IF(ISNUMBER(SEARCH("★",'트래블마트 통합'!K17)),"★","-")))</f>
        <v>★</v>
      </c>
      <c r="F52" s="258" t="b">
        <v>0</v>
      </c>
      <c r="G52" s="258" t="b">
        <v>0</v>
      </c>
      <c r="H52" s="256" t="str">
        <f t="shared" si="1"/>
        <v>미정</v>
      </c>
      <c r="I52" s="257" t="str">
        <f>'트래블마트 통합'!K17</f>
        <v>MATTA Fair
[★ 선택] 말레이시아 최대 B2C</v>
      </c>
      <c r="J52" s="259"/>
    </row>
    <row r="53" spans="1:10">
      <c r="A53" s="255" t="str">
        <f>'트래블마트 통합'!K$2</f>
        <v>2026년 9월</v>
      </c>
      <c r="B53" s="256" t="str">
        <f>'트래블마트 통합'!$A20</f>
        <v>인도</v>
      </c>
      <c r="C53" s="256" t="str">
        <f>'트래블마트 통합'!$B20</f>
        <v>뭄바이
뉴델리</v>
      </c>
      <c r="D53" s="257" t="str">
        <f>IFERROR(LEFT('트래블마트 통합'!K20,FIND(CHAR(10),'트래블마트 통합'!K20)-1),'트래블마트 통합'!K20)</f>
        <v>9/2–9/4 – ITB India</v>
      </c>
      <c r="E53" s="256" t="str">
        <f>IF(ISNUMBER(SEARCH("★★★",'트래블마트 통합'!K20)),"★★★",IF(ISNUMBER(SEARCH("★★",'트래블마트 통합'!K20)),"★★",IF(ISNUMBER(SEARCH("★",'트래블마트 통합'!K20)),"★","-")))</f>
        <v>★★★</v>
      </c>
      <c r="F53" s="258" t="b">
        <v>1</v>
      </c>
      <c r="G53" s="258" t="b">
        <v>1</v>
      </c>
      <c r="H53" s="256" t="str">
        <f t="shared" si="1"/>
        <v>완료</v>
      </c>
      <c r="I53" s="257" t="str">
        <f>'트래블마트 통합'!K20</f>
        <v>9/2–9/4 – ITB India
[★★★ 최우선] 인도 outbound 핵심</v>
      </c>
      <c r="J53" s="259"/>
    </row>
    <row r="54" spans="1:10">
      <c r="A54" s="255" t="str">
        <f>'트래블마트 통합'!K$2</f>
        <v>2026년 9월</v>
      </c>
      <c r="B54" s="256" t="str">
        <f>'트래블마트 통합'!$A21</f>
        <v>러시아</v>
      </c>
      <c r="C54" s="256" t="str">
        <f>'트래블마트 통합'!$B21</f>
        <v>모스크바</v>
      </c>
      <c r="D54" s="257" t="str">
        <f>IFERROR(LEFT('트래블마트 통합'!K21,FIND(CHAR(10),'트래블마트 통합'!K21)-1),'트래블마트 통합'!K21)</f>
        <v>OTDYKH Leisure Travel Market 2026</v>
      </c>
      <c r="E54" s="256" t="str">
        <f>IF(ISNUMBER(SEARCH("★★★",'트래블마트 통합'!K21)),"★★★",IF(ISNUMBER(SEARCH("★★",'트래블마트 통합'!K21)),"★★",IF(ISNUMBER(SEARCH("★",'트래블마트 통합'!K21)),"★","-")))</f>
        <v>★</v>
      </c>
      <c r="F54" s="258" t="b">
        <v>0</v>
      </c>
      <c r="G54" s="258" t="b">
        <v>0</v>
      </c>
      <c r="H54" s="256" t="str">
        <f t="shared" si="1"/>
        <v>미정</v>
      </c>
      <c r="I54" s="257" t="str">
        <f>'트래블마트 통합'!K21</f>
        <v>OTDYKH Leisure Travel Market 2026
2026년 9월 10일 ~ 9월 12일
[★ 선택] 러시아 인바운드·아웃바운드 모두 강함</v>
      </c>
      <c r="J54" s="259"/>
    </row>
    <row r="55" spans="1:10">
      <c r="A55" s="255" t="str">
        <f>'트래블마트 통합'!L$2</f>
        <v>2026년 10월</v>
      </c>
      <c r="B55" s="256" t="str">
        <f>'트래블마트 통합'!$A9</f>
        <v>중국</v>
      </c>
      <c r="C55" s="256" t="str">
        <f>'트래블마트 통합'!$B9</f>
        <v>광동,화동,화북,내륙</v>
      </c>
      <c r="D55" s="257" t="str">
        <f>IFERROR(LEFT('트래블마트 통합'!L9,FIND(CHAR(10),'트래블마트 통합'!L9)-1),'트래블마트 통합'!L9)</f>
        <v>1차 세일즈 콜</v>
      </c>
      <c r="E55" s="256" t="str">
        <f>IF(ISNUMBER(SEARCH("★★★",'트래블마트 통합'!L9)),"★★★",IF(ISNUMBER(SEARCH("★★",'트래블마트 통합'!L9)),"★★",IF(ISNUMBER(SEARCH("★",'트래블마트 통합'!L9)),"★","-")))</f>
        <v>-</v>
      </c>
      <c r="F55" s="258" t="b">
        <v>0</v>
      </c>
      <c r="G55" s="258" t="b">
        <v>0</v>
      </c>
      <c r="H55" s="256" t="str">
        <f t="shared" si="1"/>
        <v>미정</v>
      </c>
      <c r="I55" s="257" t="str">
        <f>'트래블마트 통합'!L9</f>
        <v>1차 세일즈 콜
청두, 시안, 무한
CITIE Tourism Expo 2026 Guangzhou China (September 11-13)
2026 CHINA OUTBOUND &amp; INBOUND TRAVEL MARKET 10/14–16 (베이징)</v>
      </c>
      <c r="J55" s="259"/>
    </row>
    <row r="56" spans="1:10">
      <c r="A56" s="255" t="str">
        <f>'트래블마트 통합'!L$2</f>
        <v>2026년 10월</v>
      </c>
      <c r="B56" s="256" t="str">
        <f>'트래블마트 통합'!$A15</f>
        <v>베트남</v>
      </c>
      <c r="C56" s="256" t="str">
        <f>'트래블마트 통합'!$B15</f>
        <v>호치민
하노이</v>
      </c>
      <c r="D56" s="257" t="str">
        <f>IFERROR(LEFT('트래블마트 통합'!L15,FIND(CHAR(10),'트래블마트 통합'!L15)-1),'트래블마트 통합'!L15)</f>
        <v>ITE HCMC</v>
      </c>
      <c r="E56" s="256" t="str">
        <f>IF(ISNUMBER(SEARCH("★★★",'트래블마트 통합'!L15)),"★★★",IF(ISNUMBER(SEARCH("★★",'트래블마트 통합'!L15)),"★★",IF(ISNUMBER(SEARCH("★",'트래블마트 통합'!L15)),"★","-")))</f>
        <v>★★</v>
      </c>
      <c r="F56" s="258" t="b">
        <v>1</v>
      </c>
      <c r="G56" s="258" t="b">
        <v>0</v>
      </c>
      <c r="H56" s="256" t="str">
        <f t="shared" si="1"/>
        <v>참가 예정</v>
      </c>
      <c r="I56" s="257" t="str">
        <f>'트래블마트 통합'!L15</f>
        <v>ITE HCMC
16~18 Oct
[★★ 중간] 메콩 최대 B2B+B2C (Calendar 기준 9/3–9/5)</v>
      </c>
      <c r="J56" s="259"/>
    </row>
    <row r="57" spans="1:10">
      <c r="A57" s="374" t="str">
        <f>'트래블마트 통합'!L$2</f>
        <v>2026년 10월</v>
      </c>
      <c r="B57" s="375" t="str">
        <f>'트래블마트 통합'!$A16</f>
        <v>태국</v>
      </c>
      <c r="C57" s="375" t="str">
        <f>'트래블마트 통합'!$B16</f>
        <v>방콕</v>
      </c>
      <c r="D57" s="376" t="str">
        <f>IFERROR(LEFT('트래블마트 통합'!L16,FIND(CHAR(10),'트래블마트 통합'!L16)-1),'트래블마트 통합'!L16)</f>
        <v>Visit Japan FIT Fair #17</v>
      </c>
      <c r="E57" s="256" t="str">
        <f>IF(ISNUMBER(SEARCH("★★★",'트래블마트 통합'!L17)),"★★★",IF(ISNUMBER(SEARCH("★★",'트래블마트 통합'!L17)),"★★",IF(ISNUMBER(SEARCH("★",'트래블마트 통합'!L17)),"★","-")))</f>
        <v>-</v>
      </c>
      <c r="F57" s="258" t="b">
        <v>1</v>
      </c>
      <c r="G57" s="258" t="b">
        <v>0</v>
      </c>
      <c r="H57" s="256" t="str">
        <f t="shared" si="1"/>
        <v>참가 예정</v>
      </c>
      <c r="I57" s="257" t="str">
        <f>'트래블마트 통합'!L16</f>
        <v>Visit Japan FIT Fair #17
올해 10월16~18일 개최</v>
      </c>
      <c r="J57" s="259"/>
    </row>
    <row r="58" spans="1:10">
      <c r="A58" s="255" t="str">
        <f>'트래블마트 통합'!L$2</f>
        <v>2026년 10월</v>
      </c>
      <c r="B58" s="256" t="str">
        <f>'트래블마트 통합'!$A18</f>
        <v>싱가포르</v>
      </c>
      <c r="C58" s="256" t="str">
        <f>'트래블마트 통합'!$B18</f>
        <v>마리나베이</v>
      </c>
      <c r="D58" s="257" t="str">
        <f>IFERROR(LEFT('트래블마트 통합'!L18,FIND(CHAR(10),'트래블마트 통합'!L18)-1),'트래블마트 통합'!L18)</f>
        <v>10/21–10/23 – ITB Asia</v>
      </c>
      <c r="E58" s="256" t="str">
        <f>IF(ISNUMBER(SEARCH("★★★",'트래블마트 통합'!L18)),"★★★",IF(ISNUMBER(SEARCH("★★",'트래블마트 통합'!L18)),"★★",IF(ISNUMBER(SEARCH("★",'트래블마트 통합'!L18)),"★","-")))</f>
        <v>★★★</v>
      </c>
      <c r="F58" s="258" t="b">
        <v>1</v>
      </c>
      <c r="G58" s="258" t="b">
        <v>0</v>
      </c>
      <c r="H58" s="256" t="str">
        <f t="shared" si="1"/>
        <v>참가 예정</v>
      </c>
      <c r="I58" s="257" t="str">
        <f>'트래블마트 통합'!L18</f>
        <v>10/21–10/23 – ITB Asia
[★★★ 최우선] 아시아 No.1 B2B 허브</v>
      </c>
      <c r="J58" s="259"/>
    </row>
    <row r="59" spans="1:10">
      <c r="A59" s="255" t="str">
        <f>'트래블마트 통합'!L$2</f>
        <v>2026년 10월</v>
      </c>
      <c r="B59" s="256" t="str">
        <f>'트래블마트 통합'!$A20</f>
        <v>인도</v>
      </c>
      <c r="C59" s="256" t="str">
        <f>'트래블마트 통합'!$B20</f>
        <v>뭄바이
뉴델리</v>
      </c>
      <c r="D59" s="257" t="str">
        <f>IFERROR(LEFT('트래블마트 통합'!L20,FIND(CHAR(10),'트래블마트 통합'!L20)-1),'트래블마트 통합'!L20)</f>
        <v>South Asia Travel &amp; Tourism Exchange</v>
      </c>
      <c r="E59" s="256" t="str">
        <f>IF(ISNUMBER(SEARCH("★★★",'트래블마트 통합'!L20)),"★★★",IF(ISNUMBER(SEARCH("★★",'트래블마트 통합'!L20)),"★★",IF(ISNUMBER(SEARCH("★",'트래블마트 통합'!L20)),"★","-")))</f>
        <v>-</v>
      </c>
      <c r="F59" s="258" t="b">
        <v>0</v>
      </c>
      <c r="G59" s="258" t="b">
        <v>0</v>
      </c>
      <c r="H59" s="256" t="str">
        <f t="shared" si="1"/>
        <v>미정</v>
      </c>
      <c r="I59" s="257" t="str">
        <f>'트래블마트 통합'!L20</f>
        <v>South Asia Travel &amp; Tourism Exchange</v>
      </c>
      <c r="J59" s="259"/>
    </row>
    <row r="60" spans="1:10">
      <c r="A60" s="255" t="str">
        <f>'트래블마트 통합'!L$2</f>
        <v>2026년 10월</v>
      </c>
      <c r="B60" s="256" t="str">
        <f>'트래블마트 통합'!$A25</f>
        <v>호주</v>
      </c>
      <c r="C60" s="256" t="str">
        <f>'트래블마트 통합'!$B25</f>
        <v>시드니, 애들레이드</v>
      </c>
      <c r="D60" s="257" t="str">
        <f>IFERROR(LEFT('트래블마트 통합'!L25,FIND(CHAR(10),'트래블마트 통합'!L25)-1),'트래블마트 통합'!L25)</f>
        <v>Luxperience</v>
      </c>
      <c r="E60" s="256" t="str">
        <f>IF(ISNUMBER(SEARCH("★★★",'트래블마트 통합'!L25)),"★★★",IF(ISNUMBER(SEARCH("★★",'트래블마트 통합'!L25)),"★★",IF(ISNUMBER(SEARCH("★",'트래블마트 통합'!L25)),"★","-")))</f>
        <v>-</v>
      </c>
      <c r="F60" s="258" t="b">
        <v>0</v>
      </c>
      <c r="G60" s="258" t="b">
        <v>0</v>
      </c>
      <c r="H60" s="256" t="str">
        <f t="shared" si="1"/>
        <v>미정</v>
      </c>
      <c r="I60" s="257" t="str">
        <f>'트래블마트 통합'!L25</f>
        <v>Luxperience</v>
      </c>
      <c r="J60" s="259"/>
    </row>
    <row r="61" spans="1:10">
      <c r="A61" s="255" t="str">
        <f>'트래블마트 통합'!L$2</f>
        <v>2026년 10월</v>
      </c>
      <c r="B61" s="256" t="str">
        <f>'트래블마트 통합'!$A28</f>
        <v>미국</v>
      </c>
      <c r="C61" s="256" t="str">
        <f>'트래블마트 통합'!$B28</f>
        <v>플로리다주
뉴욕</v>
      </c>
      <c r="D61" s="257" t="str">
        <f>IFERROR(LEFT('트래블마트 통합'!L28,FIND(CHAR(10),'트래블마트 통합'!L28)-1),'트래블마트 통합'!L28)</f>
        <v>Business Travel Show America 2026</v>
      </c>
      <c r="E61" s="256" t="str">
        <f>IF(ISNUMBER(SEARCH("★★★",'트래블마트 통합'!L28)),"★★★",IF(ISNUMBER(SEARCH("★★",'트래블마트 통합'!L28)),"★★",IF(ISNUMBER(SEARCH("★",'트래블마트 통합'!L28)),"★","-")))</f>
        <v>★</v>
      </c>
      <c r="F61" s="258" t="b">
        <v>0</v>
      </c>
      <c r="G61" s="258" t="b">
        <v>0</v>
      </c>
      <c r="H61" s="256" t="str">
        <f t="shared" si="1"/>
        <v>미정</v>
      </c>
      <c r="I61" s="257" t="str">
        <f>'트래블마트 통합'!L28</f>
        <v>Business Travel Show America 2026
2026년 10월 14-15일
[★ 선택] 북미 코퍼레이트 트래블 대표 행사</v>
      </c>
      <c r="J61" s="259"/>
    </row>
    <row r="62" spans="1:10">
      <c r="A62" s="255" t="str">
        <f>'트래블마트 통합'!M$2</f>
        <v>2026년 11월</v>
      </c>
      <c r="B62" s="256" t="str">
        <f>'트래블마트 통합'!$A9</f>
        <v>중국</v>
      </c>
      <c r="C62" s="256" t="str">
        <f>'트래블마트 통합'!$B9</f>
        <v>광동,화동,화북,내륙</v>
      </c>
      <c r="D62" s="257" t="str">
        <f>IFERROR(LEFT('트래블마트 통합'!M9,FIND(CHAR(10),'트래블마트 통합'!M9)-1),'트래블마트 통합'!M9)</f>
        <v>2차 베이징</v>
      </c>
      <c r="E62" s="256" t="str">
        <f>IF(ISNUMBER(SEARCH("★★★",'트래블마트 통합'!M9)),"★★★",IF(ISNUMBER(SEARCH("★★",'트래블마트 통합'!M9)),"★★",IF(ISNUMBER(SEARCH("★",'트래블마트 통합'!M9)),"★","-")))</f>
        <v>-</v>
      </c>
      <c r="F62" s="258" t="b">
        <v>0</v>
      </c>
      <c r="G62" s="258" t="b">
        <v>0</v>
      </c>
      <c r="H62" s="256" t="str">
        <f t="shared" si="1"/>
        <v>미정</v>
      </c>
      <c r="I62" s="257" t="str">
        <f>'트래블마트 통합'!M9</f>
        <v>2차 베이징
국경절 1~7일
 COITM from 14-16 October in Beijing</v>
      </c>
      <c r="J62" s="259"/>
    </row>
    <row r="63" spans="1:10">
      <c r="A63" s="255" t="str">
        <f>'트래블마트 통합'!M$2</f>
        <v>2026년 11월</v>
      </c>
      <c r="B63" s="256" t="str">
        <f>'트래블마트 통합'!$A10</f>
        <v>한국</v>
      </c>
      <c r="C63" s="256" t="str">
        <f>'트래블마트 통합'!$B10</f>
        <v>서울</v>
      </c>
      <c r="D63" s="257" t="str">
        <f>IFERROR(LEFT('트래블마트 통합'!M10,FIND(CHAR(10),'트래블마트 통합'!M10)-1),'트래블마트 통합'!M10)</f>
        <v>Travel Show</v>
      </c>
      <c r="E63" s="256" t="str">
        <f>IF(ISNUMBER(SEARCH("★★★",'트래블마트 통합'!M10)),"★★★",IF(ISNUMBER(SEARCH("★★",'트래블마트 통합'!M10)),"★★",IF(ISNUMBER(SEARCH("★",'트래블마트 통합'!M10)),"★","-")))</f>
        <v>★</v>
      </c>
      <c r="F63" s="258" t="b">
        <v>1</v>
      </c>
      <c r="G63" s="258" t="b">
        <v>0</v>
      </c>
      <c r="H63" s="256" t="str">
        <f t="shared" si="1"/>
        <v>참가 예정</v>
      </c>
      <c r="I63" s="257" t="str">
        <f>'트래블마트 통합'!M10</f>
        <v>Travel Show
11월 12~15일
Korea MICE Expo (KME) 11/18–11/20
[★ 선택] 한국 MICE 대표 행사</v>
      </c>
      <c r="J63" s="259"/>
    </row>
    <row r="64" spans="1:10">
      <c r="A64" s="255" t="str">
        <f>'트래블마트 통합'!M$2</f>
        <v>2026년 11월</v>
      </c>
      <c r="B64" s="256" t="str">
        <f>'트래블마트 통합'!$A12</f>
        <v>대만</v>
      </c>
      <c r="C64" s="256" t="str">
        <f>'트래블마트 통합'!$B12</f>
        <v>타이베이</v>
      </c>
      <c r="D64" s="257" t="str">
        <f>IFERROR(LEFT('트래블마트 통합'!M12,FIND(CHAR(10),'트래블마트 통합'!M12)-1),'트래블마트 통합'!M12)</f>
        <v>ITF Taiwan International Travel Fair (ITF) 11월 6일 (금) ~ 11월 9일(월)</v>
      </c>
      <c r="E64" s="256" t="str">
        <f>IF(ISNUMBER(SEARCH("★★★",'트래블마트 통합'!M12)),"★★★",IF(ISNUMBER(SEARCH("★★",'트래블마트 통합'!M12)),"★★",IF(ISNUMBER(SEARCH("★",'트래블마트 통합'!M12)),"★","-")))</f>
        <v>-</v>
      </c>
      <c r="F64" s="258" t="b">
        <v>0</v>
      </c>
      <c r="G64" s="258" t="b">
        <v>0</v>
      </c>
      <c r="H64" s="256" t="str">
        <f t="shared" si="1"/>
        <v>미정</v>
      </c>
      <c r="I64" s="257" t="str">
        <f>'트래블마트 통합'!M12</f>
        <v>ITF Taiwan International Travel Fair (ITF) 11월 6일 (금) ~ 11월 9일(월)</v>
      </c>
      <c r="J64" s="259"/>
    </row>
    <row r="65" spans="1:10">
      <c r="A65" s="255" t="str">
        <f>'트래블마트 통합'!M$2</f>
        <v>2026년 11월</v>
      </c>
      <c r="B65" s="256" t="str">
        <f>'트래블마트 통합'!$A26</f>
        <v>영국</v>
      </c>
      <c r="C65" s="256" t="str">
        <f>'트래블마트 통합'!$B26</f>
        <v>런던</v>
      </c>
      <c r="D65" s="257" t="str">
        <f>IFERROR(LEFT('트래블마트 통합'!M26,FIND(CHAR(10),'트래블마트 통합'!M26)-1),'트래블마트 통합'!M26)</f>
        <v>WTM London 2026</v>
      </c>
      <c r="E65" s="256" t="str">
        <f>IF(ISNUMBER(SEARCH("★★★",'트래블마트 통합'!M26)),"★★★",IF(ISNUMBER(SEARCH("★★",'트래블마트 통합'!M26)),"★★",IF(ISNUMBER(SEARCH("★",'트래블마트 통합'!M26)),"★","-")))</f>
        <v>★★★</v>
      </c>
      <c r="F65" s="258" t="b">
        <v>0</v>
      </c>
      <c r="G65" s="258" t="b">
        <v>0</v>
      </c>
      <c r="H65" s="256" t="str">
        <f t="shared" si="1"/>
        <v>미정</v>
      </c>
      <c r="I65" s="257" t="str">
        <f>'트래블마트 통합'!M26</f>
        <v>WTM London 2026
2026.11.04 – 11.06
[★★★ 최우선] 글로벌 레저, 기술, 지속가능성</v>
      </c>
      <c r="J65" s="259"/>
    </row>
    <row r="66" spans="1:10">
      <c r="A66" s="255" t="str">
        <f>'트래블마트 통합'!M$2</f>
        <v>2026년 11월</v>
      </c>
      <c r="B66" s="256" t="str">
        <f>'트래블마트 통합'!$A29</f>
        <v>멕시코</v>
      </c>
      <c r="C66" s="256" t="str">
        <f>'트래블마트 통합'!$B29</f>
        <v>과달라하라</v>
      </c>
      <c r="D66" s="257" t="str">
        <f>IFERROR(LEFT('트래블마트 통합'!M29,FIND(CHAR(10),'트래블마트 통합'!M29)-1),'트래블마트 통합'!M29)</f>
        <v>ITB Americas 2026</v>
      </c>
      <c r="E66" s="256" t="str">
        <f>IF(ISNUMBER(SEARCH("★★★",'트래블마트 통합'!M29)),"★★★",IF(ISNUMBER(SEARCH("★★",'트래블마트 통합'!M29)),"★★",IF(ISNUMBER(SEARCH("★",'트래블마트 통합'!M29)),"★","-")))</f>
        <v>★</v>
      </c>
      <c r="F66" s="258" t="b">
        <v>0</v>
      </c>
      <c r="G66" s="258" t="b">
        <v>0</v>
      </c>
      <c r="H66" s="256" t="str">
        <f t="shared" si="1"/>
        <v>미정</v>
      </c>
      <c r="I66" s="257" t="str">
        <f>'트래블마트 통합'!M29</f>
        <v>ITB Americas 2026
2026년 11월 10-12일
[★ 선택] 미주 전역 바이어 연결 허브</v>
      </c>
      <c r="J66" s="259"/>
    </row>
    <row r="67" spans="1:10">
      <c r="A67" s="255" t="str">
        <f>'트래블마트 통합'!N$2</f>
        <v>2026년 12월</v>
      </c>
      <c r="B67" s="256" t="str">
        <f>'트래블마트 통합'!$A9</f>
        <v>중국</v>
      </c>
      <c r="C67" s="256" t="str">
        <f>'트래블마트 통합'!$B9</f>
        <v>광동,화동,화북,내륙</v>
      </c>
      <c r="D67" s="257" t="str">
        <f>IFERROR(LEFT('트래블마트 통합'!N9,FIND(CHAR(10),'트래블마트 통합'!N9)-1),'트래블마트 통합'!N9)</f>
        <v>2차 상하이</v>
      </c>
      <c r="E67" s="256" t="str">
        <f>IF(ISNUMBER(SEARCH("★★★",'트래블마트 통합'!N9)),"★★★",IF(ISNUMBER(SEARCH("★★",'트래블마트 통합'!N9)),"★★",IF(ISNUMBER(SEARCH("★",'트래블마트 통합'!N9)),"★","-")))</f>
        <v>-</v>
      </c>
      <c r="F67" s="258" t="b">
        <v>0</v>
      </c>
      <c r="G67" s="258" t="b">
        <v>0</v>
      </c>
      <c r="H67" s="256" t="str">
        <f t="shared" si="1"/>
        <v>미정</v>
      </c>
      <c r="I67" s="257" t="str">
        <f>'트래블마트 통합'!N9</f>
        <v>2차 상하이</v>
      </c>
      <c r="J67" s="259"/>
    </row>
    <row r="68" spans="1:10" ht="16.5">
      <c r="A68" s="255" t="str">
        <f>'트래블마트 통합'!O$2</f>
        <v>2027년 1월</v>
      </c>
      <c r="B68" s="256" t="str">
        <f>'트래블마트 통합'!$A14</f>
        <v>필리핀</v>
      </c>
      <c r="C68" s="256" t="str">
        <f>'트래블마트 통합'!$B14</f>
        <v>세부, 마닐라</v>
      </c>
      <c r="D68" s="257" t="str">
        <f>IFERROR(LEFT('트래블마트 통합'!O14,FIND(CHAR(10),'트래블마트 통합'!O14)-1),'트래블마트 통합'!O14)</f>
        <v>ASEAN Tourism Forum + TRAVEX 2027</v>
      </c>
      <c r="E68" s="256" t="str">
        <f>IF(ISNUMBER(SEARCH("★★★",'트래블마트 통합'!O14)),"★★★",IF(ISNUMBER(SEARCH("★★",'트래블마트 통합'!O14)),"★★",IF(ISNUMBER(SEARCH("★",'트래블마트 통합'!O14)),"★","-")))</f>
        <v>★★</v>
      </c>
      <c r="F68" s="258" t="b">
        <v>0</v>
      </c>
      <c r="G68" s="258" t="b">
        <v>0</v>
      </c>
      <c r="H68" s="256" t="str">
        <f>IF(AND(F68,G68),"완료",IF(G68,"진행 완료",IF(F68,"참가 예정","미정")))</f>
        <v>미정</v>
      </c>
      <c r="I68" s="257" t="str">
        <f>'트래블마트 통합'!O14</f>
        <v>ASEAN Tourism Forum + TRAVEX 2027
1월 하순 (예상, 개최국 순회)
[★★ 중간] ASEAN 10개국 공식 B2B, 관광청 네트워킹</v>
      </c>
      <c r="J68" s="259"/>
    </row>
    <row r="69" spans="1:10" ht="16.5">
      <c r="A69" s="371" t="str">
        <f>'트래블마트 통합'!O$2</f>
        <v>2027년 1월</v>
      </c>
      <c r="B69" s="372" t="str">
        <f>'트래블마트 통합'!$A16</f>
        <v>태국</v>
      </c>
      <c r="C69" s="372" t="str">
        <f>'트래블마트 통합'!$B16</f>
        <v>방콕</v>
      </c>
      <c r="D69" s="373" t="str">
        <f>IFERROR(LEFT('트래블마트 통합'!O16,FIND(CHAR(10),'트래블마트 통합'!O16)-1),'트래블마트 통합'!O16)</f>
        <v>Thai International Travel Fair 2027</v>
      </c>
      <c r="E69" s="372" t="str">
        <f>IF(ISNUMBER(SEARCH("★★★",'트래블마트 통합'!O16)),"★★★",IF(ISNUMBER(SEARCH("★★",'트래블마트 통합'!O16)),"★★",IF(ISNUMBER(SEARCH("★",'트래블마트 통합'!O16)),"★","-")))</f>
        <v>★★★</v>
      </c>
      <c r="F69" s="258" t="b">
        <v>0</v>
      </c>
      <c r="G69" s="258" t="b">
        <v>0</v>
      </c>
      <c r="H69" s="256" t="str">
        <f>IF(AND(F69,G69),"완료",IF(G69,"진행 완료",IF(F69,"참가 예정","미정")))</f>
        <v>미정</v>
      </c>
      <c r="I69" s="257" t="str">
        <f>'트래블마트 통합'!O16</f>
        <v>Thai International Travel Fair 2027
1월 하순 (예상)
[★★★ 최우선] 태국 최대 B2B+B2C</v>
      </c>
      <c r="J69" s="259"/>
    </row>
    <row r="70" spans="1:10" ht="16.5">
      <c r="A70" s="255" t="str">
        <f>'트래블마트 통합'!O$2</f>
        <v>2027년 1월</v>
      </c>
      <c r="B70" s="256" t="str">
        <f>'트래블마트 통합'!$A27</f>
        <v>스페인</v>
      </c>
      <c r="C70" s="256" t="str">
        <f>'트래블마트 통합'!$B27</f>
        <v>마드리드</v>
      </c>
      <c r="D70" s="257" t="str">
        <f>IFERROR(LEFT('트래블마트 통합'!O27,FIND(CHAR(10),'트래블마트 통합'!O27)-1),'트래블마트 통합'!O27)</f>
        <v>FITUR Madrid 2027</v>
      </c>
      <c r="E70" s="256" t="str">
        <f>IF(ISNUMBER(SEARCH("★★★",'트래블마트 통합'!O27)),"★★★",IF(ISNUMBER(SEARCH("★★",'트래블마트 통합'!O27)),"★★",IF(ISNUMBER(SEARCH("★",'트래블마트 통합'!O27)),"★","-")))</f>
        <v>★★</v>
      </c>
      <c r="F70" s="258" t="b">
        <v>1</v>
      </c>
      <c r="G70" s="258" t="b">
        <v>0</v>
      </c>
      <c r="H70" s="256" t="str">
        <f>IF(AND(F70,G70),"완료",IF(G70,"진행 완료",IF(F70,"참가 예정","미정")))</f>
        <v>참가 예정</v>
      </c>
      <c r="I70" s="257" t="str">
        <f>'트래블마트 통합'!O27</f>
        <v>FITUR Madrid 2027
1월 하순 (예상, 통상 1/20~1/24)
[★★ 중간] 세계 3대 관광박람회, 유럽·라틴 핵심</v>
      </c>
      <c r="J70" s="259"/>
    </row>
    <row r="71" spans="1:10" ht="16.5">
      <c r="A71" s="255" t="str">
        <f>'트래블마트 통합'!O$2</f>
        <v>2027년 1월</v>
      </c>
      <c r="B71" s="256" t="str">
        <f>'트래블마트 통합'!$A28</f>
        <v>미국</v>
      </c>
      <c r="C71" s="256" t="str">
        <f>'트래블마트 통합'!$B28</f>
        <v>플로리다주
뉴욕</v>
      </c>
      <c r="D71" s="257" t="str">
        <f>IFERROR(LEFT('트래블마트 통합'!O28,FIND(CHAR(10),'트래블마트 통합'!O28)-1),'트래블마트 통합'!O28)</f>
        <v>New York Times Travel Show 2027</v>
      </c>
      <c r="E71" s="256" t="str">
        <f>IF(ISNUMBER(SEARCH("★★★",'트래블마트 통합'!O28)),"★★★",IF(ISNUMBER(SEARCH("★★",'트래블마트 통합'!O28)),"★★",IF(ISNUMBER(SEARCH("★",'트래블마트 통합'!O28)),"★","-")))</f>
        <v>-</v>
      </c>
      <c r="F71" s="258" t="b">
        <v>0</v>
      </c>
      <c r="G71" s="258" t="b">
        <v>0</v>
      </c>
      <c r="H71" s="256" t="str">
        <f>IF(AND(F71,G71),"완료",IF(G71,"진행 완료",IF(F71,"참가 예정","미정")))</f>
        <v>미정</v>
      </c>
      <c r="I71" s="257" t="str">
        <f>'트래블마트 통합'!O28</f>
        <v>New York Times Travel Show 2027
1월 하순 (예상)</v>
      </c>
      <c r="J71" s="259"/>
    </row>
    <row r="72" spans="1:10" ht="16.5">
      <c r="A72" s="255" t="str">
        <f>'트래블마트 통합'!P$2</f>
        <v>2027년 2월</v>
      </c>
      <c r="B72" s="256" t="str">
        <f>'트래블마트 통합'!$A9</f>
        <v>중국</v>
      </c>
      <c r="C72" s="256" t="str">
        <f>'트래블마트 통합'!$B9</f>
        <v>광동,화동,화북,내륙</v>
      </c>
      <c r="D72" s="257" t="str">
        <f>IFERROR(LEFT('트래블마트 통합'!P9,FIND(CHAR(10),'트래블마트 통합'!P9)-1),'트래블마트 통합'!P9)</f>
        <v>Chinese New Year (2/6)</v>
      </c>
      <c r="E72" s="256" t="str">
        <f>IF(ISNUMBER(SEARCH("★★★",'트래블마트 통합'!P9)),"★★★",IF(ISNUMBER(SEARCH("★★",'트래블마트 통합'!P9)),"★★",IF(ISNUMBER(SEARCH("★",'트래블마트 통합'!P9)),"★","-")))</f>
        <v>-</v>
      </c>
      <c r="F72" s="258" t="b">
        <v>0</v>
      </c>
      <c r="G72" s="258" t="b">
        <v>0</v>
      </c>
      <c r="H72" s="256" t="str">
        <f>IF(AND(F72,G72),"완료",IF(G72,"진행 완료",IF(F72,"참가 예정","미정")))</f>
        <v>미정</v>
      </c>
      <c r="I72" s="257" t="str">
        <f>'트래블마트 통합'!P9</f>
        <v>Chinese New Year (2/6)</v>
      </c>
      <c r="J72" s="259"/>
    </row>
    <row r="73" spans="1:10" ht="16.5">
      <c r="A73" s="371" t="str">
        <f>'트래블마트 통합'!P$2</f>
        <v>2027년 2월</v>
      </c>
      <c r="B73" s="372" t="str">
        <f>'트래블마트 통합'!$A14</f>
        <v>필리핀</v>
      </c>
      <c r="C73" s="372" t="str">
        <f>'트래블마트 통합'!$B14</f>
        <v>세부, 마닐라</v>
      </c>
      <c r="D73" s="373" t="str">
        <f>IFERROR(LEFT('트래블마트 통합'!P14,FIND(CHAR(10),'트래블마트 통합'!P14)-1),'트래블마트 통합'!P14)</f>
        <v>PTAA TravelTour Expo 2027</v>
      </c>
      <c r="E73" s="372" t="str">
        <f>IF(ISNUMBER(SEARCH("★★★",'트래블마트 통합'!P14)),"★★★",IF(ISNUMBER(SEARCH("★★",'트래블마트 통합'!P14)),"★★",IF(ISNUMBER(SEARCH("★",'트래블마트 통합'!P14)),"★","-")))</f>
        <v>★★★</v>
      </c>
      <c r="F73" s="258" t="b">
        <v>0</v>
      </c>
      <c r="G73" s="258" t="b">
        <v>0</v>
      </c>
      <c r="H73" s="256" t="str">
        <f>IF(AND(F73,G73),"완료",IF(G73,"진행 완료",IF(F73,"참가 예정","미정")))</f>
        <v>미정</v>
      </c>
      <c r="I73" s="257" t="str">
        <f>'트래블마트 통합'!P14</f>
        <v>PTAA TravelTour Expo 2027
2월 중 (예상)
[★★★ 최우선] 필리핀 최대 소비자+B2B, 패키지 판매에 최적</v>
      </c>
      <c r="J73" s="259"/>
    </row>
    <row r="74" spans="1:10" ht="16.5">
      <c r="A74" s="255" t="str">
        <f>'트래블마트 통합'!P$2</f>
        <v>2027년 2월</v>
      </c>
      <c r="B74" s="256" t="str">
        <f>'트래블마트 통합'!$A20</f>
        <v>인도</v>
      </c>
      <c r="C74" s="256" t="str">
        <f>'트래블마트 통합'!$B20</f>
        <v>뭄바이
뉴델리</v>
      </c>
      <c r="D74" s="257" t="str">
        <f>IFERROR(LEFT('트래블마트 통합'!P20,FIND(CHAR(10),'트래블마트 통합'!P20)-1),'트래블마트 통합'!P20)</f>
        <v>OTM Mumbai 2027 (Outbound Travel Mart)</v>
      </c>
      <c r="E74" s="256" t="str">
        <f>IF(ISNUMBER(SEARCH("★★★",'트래블마트 통합'!P20)),"★★★",IF(ISNUMBER(SEARCH("★★",'트래블마트 통합'!P20)),"★★",IF(ISNUMBER(SEARCH("★",'트래블마트 통합'!P20)),"★","-")))</f>
        <v>★★</v>
      </c>
      <c r="F74" s="258" t="b">
        <v>0</v>
      </c>
      <c r="G74" s="258" t="b">
        <v>0</v>
      </c>
      <c r="H74" s="256" t="str">
        <f>IF(AND(F74,G74),"완료",IF(G74,"진행 완료",IF(F74,"참가 예정","미정")))</f>
        <v>미정</v>
      </c>
      <c r="I74" s="257" t="str">
        <f>'트래블마트 통합'!P20</f>
        <v>OTM Mumbai 2027 (Outbound Travel Mart)
2월 상순 (예상)
SATTE 2027 (뉴델리) 2월 하순 (예상)
[★★ 중간] 인도 아웃바운드 핵심</v>
      </c>
      <c r="J74" s="259"/>
    </row>
    <row r="75" spans="1:10" ht="16.5">
      <c r="A75" s="255" t="str">
        <f>'트래블마트 통합'!Q$2</f>
        <v>2027년 3월</v>
      </c>
      <c r="B75" s="256" t="str">
        <f>'트래블마트 통합'!$A16</f>
        <v>태국</v>
      </c>
      <c r="C75" s="256" t="str">
        <f>'트래블마트 통합'!$B16</f>
        <v>방콕</v>
      </c>
      <c r="D75" s="257" t="str">
        <f>IFERROR(LEFT('트래블마트 통합'!Q16,FIND(CHAR(10),'트래블마트 통합'!Q16)-1),'트래블마트 통합'!Q16)</f>
        <v>Thai Teaw Thai (B2C)</v>
      </c>
      <c r="E75" s="256" t="str">
        <f>IF(ISNUMBER(SEARCH("★★★",'트래블마트 통합'!Q16)),"★★★",IF(ISNUMBER(SEARCH("★★",'트래블마트 통합'!Q16)),"★★",IF(ISNUMBER(SEARCH("★",'트래블마트 통합'!Q16)),"★","-")))</f>
        <v>-</v>
      </c>
      <c r="F75" s="258" t="b">
        <v>0</v>
      </c>
      <c r="G75" s="258" t="b">
        <v>0</v>
      </c>
      <c r="H75" s="256" t="str">
        <f>IF(AND(F75,G75),"완료",IF(G75,"진행 완료",IF(F75,"참가 예정","미정")))</f>
        <v>미정</v>
      </c>
      <c r="I75" s="257" t="str">
        <f>'트래블마트 통합'!Q16</f>
        <v>Thai Teaw Thai (B2C)
3월 상순 (예상)</v>
      </c>
      <c r="J75" s="259"/>
    </row>
    <row r="76" spans="1:10" ht="16.5">
      <c r="A76" s="255" t="str">
        <f>'트래블마트 통합'!Q$2</f>
        <v>2027년 3월</v>
      </c>
      <c r="B76" s="256" t="str">
        <f>'트래블마트 통합'!$A17</f>
        <v>말레이시아</v>
      </c>
      <c r="C76" s="256" t="str">
        <f>'트래블마트 통합'!$B17</f>
        <v>쿠알라룸프르, 쿠칭</v>
      </c>
      <c r="D76" s="257" t="str">
        <f>IFERROR(LEFT('트래블마트 통합'!Q17,FIND(CHAR(10),'트래블마트 통합'!Q17)-1),'트래블마트 통합'!Q17)</f>
        <v>MATTA Fair 2027 (상반기)</v>
      </c>
      <c r="E76" s="256" t="str">
        <f>IF(ISNUMBER(SEARCH("★★★",'트래블마트 통합'!Q17)),"★★★",IF(ISNUMBER(SEARCH("★★",'트래블마트 통합'!Q17)),"★★",IF(ISNUMBER(SEARCH("★",'트래블마트 통합'!Q17)),"★","-")))</f>
        <v>★</v>
      </c>
      <c r="F76" s="258" t="b">
        <v>0</v>
      </c>
      <c r="G76" s="258" t="b">
        <v>0</v>
      </c>
      <c r="H76" s="256" t="str">
        <f>IF(AND(F76,G76),"완료",IF(G76,"진행 완료",IF(F76,"참가 예정","미정")))</f>
        <v>미정</v>
      </c>
      <c r="I76" s="257" t="str">
        <f>'트래블마트 통합'!Q17</f>
        <v>MATTA Fair 2027 (상반기)
3월 말~4월 초 (예상)
[★ 선택] 말레이시아 최대 B2C</v>
      </c>
      <c r="J76" s="259"/>
    </row>
    <row r="77" spans="1:10" ht="16.5">
      <c r="A77" s="255" t="str">
        <f>'트래블마트 통합'!Q$2</f>
        <v>2027년 3월</v>
      </c>
      <c r="B77" s="256" t="str">
        <f>'트래블마트 통합'!$A21</f>
        <v>러시아</v>
      </c>
      <c r="C77" s="256" t="str">
        <f>'트래블마트 통합'!$B21</f>
        <v>모스크바</v>
      </c>
      <c r="D77" s="257" t="str">
        <f>IFERROR(LEFT('트래블마트 통합'!Q21,FIND(CHAR(10),'트래블마트 통합'!Q21)-1),'트래블마트 통합'!Q21)</f>
        <v>MITT Moscow 2027</v>
      </c>
      <c r="E77" s="256" t="str">
        <f>IF(ISNUMBER(SEARCH("★★★",'트래블마트 통합'!Q21)),"★★★",IF(ISNUMBER(SEARCH("★★",'트래블마트 통합'!Q21)),"★★",IF(ISNUMBER(SEARCH("★",'트래블마트 통합'!Q21)),"★","-")))</f>
        <v>★★</v>
      </c>
      <c r="F77" s="258" t="b">
        <v>0</v>
      </c>
      <c r="G77" s="258" t="b">
        <v>0</v>
      </c>
      <c r="H77" s="256" t="str">
        <f>IF(AND(F77,G77),"완료",IF(G77,"진행 완료",IF(F77,"참가 예정","미정")))</f>
        <v>미정</v>
      </c>
      <c r="I77" s="257" t="str">
        <f>'트래블마트 통합'!Q21</f>
        <v>MITT Moscow 2027
3월 중 (예상)
[★★ 중간] 러시아·CIS 최대, 러시아 outbound 핵심</v>
      </c>
      <c r="J77" s="259"/>
    </row>
    <row r="78" spans="1:10" ht="16.5">
      <c r="A78" s="255" t="str">
        <f>'트래블마트 통합'!Q$2</f>
        <v>2027년 3월</v>
      </c>
      <c r="B78" s="256" t="str">
        <f>'트래블마트 통합'!$A23</f>
        <v>Qatar</v>
      </c>
      <c r="C78" s="256" t="str">
        <f>'트래블마트 통합'!$B23</f>
        <v>Doha</v>
      </c>
      <c r="D78" s="257" t="str">
        <f>IFERROR(LEFT('트래블마트 통합'!Q23,FIND(CHAR(10),'트래블마트 통합'!Q23)-1),'트래블마트 통합'!Q23)</f>
        <v>Connections Luxury Middle East 2027</v>
      </c>
      <c r="E78" s="256" t="str">
        <f>IF(ISNUMBER(SEARCH("★★★",'트래블마트 통합'!Q23)),"★★★",IF(ISNUMBER(SEARCH("★★",'트래블마트 통합'!Q23)),"★★",IF(ISNUMBER(SEARCH("★",'트래블마트 통합'!Q23)),"★","-")))</f>
        <v>★</v>
      </c>
      <c r="F78" s="258" t="b">
        <v>0</v>
      </c>
      <c r="G78" s="258" t="b">
        <v>0</v>
      </c>
      <c r="H78" s="256" t="str">
        <f>IF(AND(F78,G78),"완료",IF(G78,"진행 완료",IF(F78,"참가 예정","미정")))</f>
        <v>미정</v>
      </c>
      <c r="I78" s="257" t="str">
        <f>'트래블마트 통합'!Q23</f>
        <v>Connections Luxury Middle East 2027
3월 말~4월 초 (예상)
[★ 선택] 초럭셔리 바이어 행사</v>
      </c>
      <c r="J78" s="259"/>
    </row>
    <row r="79" spans="1:10" ht="16.5">
      <c r="A79" s="371" t="str">
        <f>'트래블마트 통합'!Q$2</f>
        <v>2027년 3월</v>
      </c>
      <c r="B79" s="372" t="str">
        <f>'트래블마트 통합'!$A24</f>
        <v>독일</v>
      </c>
      <c r="C79" s="372" t="str">
        <f>'트래블마트 통합'!$B24</f>
        <v>베를린
오버하우젠</v>
      </c>
      <c r="D79" s="373" t="str">
        <f>IFERROR(LEFT('트래블마트 통합'!Q24,FIND(CHAR(10),'트래블마트 통합'!Q24)-1),'트래블마트 통합'!Q24)</f>
        <v>ITB Berlin 2027</v>
      </c>
      <c r="E79" s="372" t="str">
        <f>IF(ISNUMBER(SEARCH("★★★",'트래블마트 통합'!Q24)),"★★★",IF(ISNUMBER(SEARCH("★★",'트래블마트 통합'!Q24)),"★★",IF(ISNUMBER(SEARCH("★",'트래블마트 통합'!Q24)),"★","-")))</f>
        <v>★★★</v>
      </c>
      <c r="F79" s="258" t="b">
        <v>1</v>
      </c>
      <c r="G79" s="258" t="b">
        <v>0</v>
      </c>
      <c r="H79" s="256" t="str">
        <f>IF(AND(F79,G79),"완료",IF(G79,"진행 완료",IF(F79,"참가 예정","미정")))</f>
        <v>참가 예정</v>
      </c>
      <c r="I79" s="257" t="str">
        <f>'트래블마트 통합'!Q24</f>
        <v>ITB Berlin 2027
3월 상순 (예상, 통상 첫째 주 화~목)
[★★★ 최우선] 세계 1위 여행 B2B, 글로벌 파트너 확장 필수</v>
      </c>
      <c r="J79" s="259"/>
    </row>
    <row r="80" spans="1:10" ht="16.5">
      <c r="A80" s="371" t="str">
        <f>'트래블마트 통합'!R$2</f>
        <v>2027년 4월</v>
      </c>
      <c r="B80" s="372" t="str">
        <f>'트래블마트 통합'!$A9</f>
        <v>중국</v>
      </c>
      <c r="C80" s="372" t="str">
        <f>'트래블마트 통합'!$B9</f>
        <v>광동,화동,화북,내륙</v>
      </c>
      <c r="D80" s="373" t="str">
        <f>IFERROR(LEFT('트래블마트 통합'!R9,FIND(CHAR(10),'트래블마트 통합'!R9)-1),'트래블마트 통합'!R9)</f>
        <v>COTTM Beijing 2027</v>
      </c>
      <c r="E80" s="372" t="str">
        <f>IF(ISNUMBER(SEARCH("★★★",'트래블마트 통합'!R9)),"★★★",IF(ISNUMBER(SEARCH("★★",'트래블마트 통합'!R9)),"★★",IF(ISNUMBER(SEARCH("★",'트래블마트 통합'!R9)),"★","-")))</f>
        <v>★★★</v>
      </c>
      <c r="F80" s="258" t="b">
        <v>0</v>
      </c>
      <c r="G80" s="258" t="b">
        <v>0</v>
      </c>
      <c r="H80" s="256" t="str">
        <f>IF(AND(F80,G80),"완료",IF(G80,"진행 완료",IF(F80,"참가 예정","미정")))</f>
        <v>미정</v>
      </c>
      <c r="I80" s="257" t="str">
        <f>'트래블마트 통합'!R9</f>
        <v>COTTM Beijing 2027
4월 중 (예상)
[★★★ 최우선] 중국 outbound 전문 B2B</v>
      </c>
      <c r="J80" s="259"/>
    </row>
    <row r="81" spans="1:10" ht="16.5">
      <c r="A81" s="255" t="str">
        <f>'트래블마트 통합'!R$2</f>
        <v>2027년 4월</v>
      </c>
      <c r="B81" s="256" t="str">
        <f>'트래블마트 통합'!$A15</f>
        <v>베트남</v>
      </c>
      <c r="C81" s="256" t="str">
        <f>'트래블마트 통합'!$B15</f>
        <v>호치민
하노이</v>
      </c>
      <c r="D81" s="257" t="str">
        <f>IFERROR(LEFT('트래블마트 통합'!R15,FIND(CHAR(10),'트래블마트 통합'!R15)-1),'트래블마트 통합'!R15)</f>
        <v>VITM Hanoi 2027 (Vietnam Int'l Travel Mart)</v>
      </c>
      <c r="E81" s="256" t="str">
        <f>IF(ISNUMBER(SEARCH("★★★",'트래블마트 통합'!R15)),"★★★",IF(ISNUMBER(SEARCH("★★",'트래블마트 통합'!R15)),"★★",IF(ISNUMBER(SEARCH("★",'트래블마트 통합'!R15)),"★","-")))</f>
        <v>★★</v>
      </c>
      <c r="F81" s="258" t="b">
        <v>0</v>
      </c>
      <c r="G81" s="258" t="b">
        <v>0</v>
      </c>
      <c r="H81" s="256" t="str">
        <f>IF(AND(F81,G81),"완료",IF(G81,"진행 완료",IF(F81,"참가 예정","미정")))</f>
        <v>미정</v>
      </c>
      <c r="I81" s="257" t="str">
        <f>'트래블마트 통합'!R15</f>
        <v>VITM Hanoi 2027 (Vietnam Int'l Travel Mart)
4월 상순 (예상)
[★★ 중간] 북베트남 B2B+B2C</v>
      </c>
      <c r="J81" s="259"/>
    </row>
    <row r="82" spans="1:10" ht="16.5">
      <c r="A82" s="255" t="str">
        <f>'트래블마트 통합'!R$2</f>
        <v>2027년 4월</v>
      </c>
      <c r="B82" s="256" t="str">
        <f>'트래블마트 통합'!$A24</f>
        <v>독일</v>
      </c>
      <c r="C82" s="256" t="str">
        <f>'트래블마트 통합'!$B24</f>
        <v>베를린
오버하우젠</v>
      </c>
      <c r="D82" s="257" t="str">
        <f>IFERROR(LEFT('트래블마트 통합'!R24,FIND(CHAR(10),'트래블마트 통합'!R24)-1),'트래블마트 통합'!R24)</f>
        <v>Germany Travel Mart (GTM) 2027</v>
      </c>
      <c r="E82" s="256" t="str">
        <f>IF(ISNUMBER(SEARCH("★★★",'트래블마트 통합'!R24)),"★★★",IF(ISNUMBER(SEARCH("★★",'트래블마트 통합'!R24)),"★★",IF(ISNUMBER(SEARCH("★",'트래블마트 통합'!R24)),"★","-")))</f>
        <v>★</v>
      </c>
      <c r="F82" s="258" t="b">
        <v>0</v>
      </c>
      <c r="G82" s="258" t="b">
        <v>0</v>
      </c>
      <c r="H82" s="256" t="str">
        <f>IF(AND(F82,G82),"완료",IF(G82,"진행 완료",IF(F82,"참가 예정","미정")))</f>
        <v>미정</v>
      </c>
      <c r="I82" s="257" t="str">
        <f>'트래블마트 통합'!R24</f>
        <v>Germany Travel Mart (GTM) 2027
4월 중 (예상)
[★ 선택] 독일 관광청 주최, 유럽 인바운드 중심</v>
      </c>
      <c r="J82" s="259"/>
    </row>
    <row r="83" spans="1:10" ht="16.5">
      <c r="A83" s="255" t="str">
        <f>'트래블마트 통합'!R$2</f>
        <v>2027년 4월</v>
      </c>
      <c r="B83" s="256" t="str">
        <f>'트래블마트 통합'!$A30</f>
        <v>South Africa</v>
      </c>
      <c r="C83" s="256" t="str">
        <f>'트래블마트 통합'!$B30</f>
        <v>Cape Town</v>
      </c>
      <c r="D83" s="257" t="str">
        <f>IFERROR(LEFT('트래블마트 통합'!R30,FIND(CHAR(10),'트래블마트 통합'!R30)-1),'트래블마트 통합'!R30)</f>
        <v>WTM Africa 2027 (Cape Town)</v>
      </c>
      <c r="E83" s="256" t="str">
        <f>IF(ISNUMBER(SEARCH("★★★",'트래블마트 통합'!R30)),"★★★",IF(ISNUMBER(SEARCH("★★",'트래블마트 통합'!R30)),"★★",IF(ISNUMBER(SEARCH("★",'트래블마트 통합'!R30)),"★","-")))</f>
        <v>★</v>
      </c>
      <c r="F83" s="258" t="b">
        <v>0</v>
      </c>
      <c r="G83" s="258" t="b">
        <v>0</v>
      </c>
      <c r="H83" s="256" t="str">
        <f>IF(AND(F83,G83),"완료",IF(G83,"진행 완료",IF(F83,"참가 예정","미정")))</f>
        <v>미정</v>
      </c>
      <c r="I83" s="257" t="str">
        <f>'트래블마트 통합'!R30</f>
        <v>WTM Africa 2027 (Cape Town)
4월 중 (예상)
[★ 선택] 아프리카 시장 접근</v>
      </c>
      <c r="J83" s="259"/>
    </row>
    <row r="84" spans="1:10" ht="16.5">
      <c r="A84" s="255" t="str">
        <f>'트래블마트 통합'!R$2</f>
        <v>2027년 4월</v>
      </c>
      <c r="B84" s="256" t="str">
        <f>'트래블마트 통합'!$A31</f>
        <v>브라질</v>
      </c>
      <c r="C84" s="256" t="str">
        <f>'트래블마트 통합'!$B31</f>
        <v>상파울루</v>
      </c>
      <c r="D84" s="257" t="str">
        <f>IFERROR(LEFT('트래블마트 통합'!R31,FIND(CHAR(10),'트래블마트 통합'!R31)-1),'트래블마트 통합'!R31)</f>
        <v>WTM Latin America 2027 (상파울루)</v>
      </c>
      <c r="E84" s="256" t="str">
        <f>IF(ISNUMBER(SEARCH("★★★",'트래블마트 통합'!R31)),"★★★",IF(ISNUMBER(SEARCH("★★",'트래블마트 통합'!R31)),"★★",IF(ISNUMBER(SEARCH("★",'트래블마트 통합'!R31)),"★","-")))</f>
        <v>★</v>
      </c>
      <c r="F84" s="258" t="b">
        <v>0</v>
      </c>
      <c r="G84" s="258" t="b">
        <v>0</v>
      </c>
      <c r="H84" s="256" t="str">
        <f>IF(AND(F84,G84),"완료",IF(G84,"진행 완료",IF(F84,"참가 예정","미정")))</f>
        <v>미정</v>
      </c>
      <c r="I84" s="257" t="str">
        <f>'트래블마트 통합'!R31</f>
        <v>WTM Latin America 2027 (상파울루)
4월 중 (예상)
[★ 선택] 남미 최대 B2B, 라틴 바이어 네트워크</v>
      </c>
      <c r="J84" s="259"/>
    </row>
    <row r="85" spans="1:10" ht="16.5">
      <c r="A85" s="371" t="str">
        <f>'트래블마트 통합'!S$2</f>
        <v>2027년 5월</v>
      </c>
      <c r="B85" s="372" t="str">
        <f>'트래블마트 통합'!$A9</f>
        <v>중국</v>
      </c>
      <c r="C85" s="372" t="str">
        <f>'트래블마트 통합'!$B9</f>
        <v>광동,화동,화북,내륙</v>
      </c>
      <c r="D85" s="373" t="str">
        <f>IFERROR(LEFT('트래블마트 통합'!S9,FIND(CHAR(10),'트래블마트 통합'!S9)-1),'트래블마트 통합'!S9)</f>
        <v>ITB China 2027 (상하이) 5월 중 (예상)</v>
      </c>
      <c r="E85" s="372" t="str">
        <f>IF(ISNUMBER(SEARCH("★★★",'트래블마트 통합'!S9)),"★★★",IF(ISNUMBER(SEARCH("★★",'트래블마트 통합'!S9)),"★★",IF(ISNUMBER(SEARCH("★",'트래블마트 통합'!S9)),"★","-")))</f>
        <v>★★★</v>
      </c>
      <c r="F85" s="258" t="b">
        <v>0</v>
      </c>
      <c r="G85" s="258" t="b">
        <v>0</v>
      </c>
      <c r="H85" s="256" t="str">
        <f>IF(AND(F85,G85),"완료",IF(G85,"진행 완료",IF(F85,"참가 예정","미정")))</f>
        <v>미정</v>
      </c>
      <c r="I85" s="257" t="str">
        <f>'트래블마트 통합'!S9</f>
        <v>ITB China 2027 (상하이) 5월 중 (예상)
GITF Guangzhou 5월 하순 (예상)
[★★★ 최우선] 중국 outbound 최상위 B2B</v>
      </c>
      <c r="J85" s="259"/>
    </row>
    <row r="86" spans="1:10" ht="16.5">
      <c r="A86" s="255" t="str">
        <f>'트래블마트 통합'!S$2</f>
        <v>2027년 5월</v>
      </c>
      <c r="B86" s="256" t="str">
        <f>'트래블마트 통합'!$A10</f>
        <v>한국</v>
      </c>
      <c r="C86" s="256" t="str">
        <f>'트래블마트 통합'!$B10</f>
        <v>서울</v>
      </c>
      <c r="D86" s="257" t="str">
        <f>IFERROR(LEFT('트래블마트 통합'!S10,FIND(CHAR(10),'트래블마트 통합'!S10)-1),'트래블마트 통합'!S10)</f>
        <v>일산 트래블마트 2027</v>
      </c>
      <c r="E86" s="256" t="str">
        <f>IF(ISNUMBER(SEARCH("★★★",'트래블마트 통합'!S10)),"★★★",IF(ISNUMBER(SEARCH("★★",'트래블마트 통합'!S10)),"★★",IF(ISNUMBER(SEARCH("★",'트래블마트 통합'!S10)),"★","-")))</f>
        <v>-</v>
      </c>
      <c r="F86" s="258" t="b">
        <v>1</v>
      </c>
      <c r="G86" s="258" t="b">
        <v>0</v>
      </c>
      <c r="H86" s="256" t="str">
        <f>IF(AND(F86,G86),"완료",IF(G86,"진행 완료",IF(F86,"참가 예정","미정")))</f>
        <v>참가 예정</v>
      </c>
      <c r="I86" s="257" t="str">
        <f>'트래블마트 통합'!S10</f>
        <v>일산 트래블마트 2027
5월 중 (예상)</v>
      </c>
      <c r="J86" s="259"/>
    </row>
    <row r="87" spans="1:10" ht="16.5">
      <c r="A87" s="255" t="str">
        <f>'트래블마트 통합'!S$2</f>
        <v>2027년 5월</v>
      </c>
      <c r="B87" s="256" t="str">
        <f>'트래블마트 통합'!$A12</f>
        <v>대만</v>
      </c>
      <c r="C87" s="256" t="str">
        <f>'트래블마트 통합'!$B12</f>
        <v>타이베이</v>
      </c>
      <c r="D87" s="257" t="str">
        <f>IFERROR(LEFT('트래블마트 통합'!S12,FIND(CHAR(10),'트래블마트 통합'!S12)-1),'트래블마트 통합'!S12)</f>
        <v>Taipei Tourism Expo (TTE) 2027</v>
      </c>
      <c r="E87" s="256" t="str">
        <f>IF(ISNUMBER(SEARCH("★★★",'트래블마트 통합'!S12)),"★★★",IF(ISNUMBER(SEARCH("★★",'트래블마트 통합'!S12)),"★★",IF(ISNUMBER(SEARCH("★",'트래블마트 통합'!S12)),"★","-")))</f>
        <v>★</v>
      </c>
      <c r="F87" s="258" t="b">
        <v>0</v>
      </c>
      <c r="G87" s="258" t="b">
        <v>0</v>
      </c>
      <c r="H87" s="256" t="str">
        <f>IF(AND(F87,G87),"완료",IF(G87,"진행 완료",IF(F87,"참가 예정","미정")))</f>
        <v>미정</v>
      </c>
      <c r="I87" s="257" t="str">
        <f>'트래블마트 통합'!S12</f>
        <v>Taipei Tourism Expo (TTE) 2027
5월 하순 (예상)
[★ 선택] 대만 최대 B2C, FIT 시장 강함</v>
      </c>
      <c r="J87" s="259"/>
    </row>
    <row r="88" spans="1:10" ht="16.5">
      <c r="A88" s="371" t="str">
        <f>'트래블마트 통합'!S$2</f>
        <v>2027년 5월</v>
      </c>
      <c r="B88" s="372" t="str">
        <f>'트래블마트 통합'!$A22</f>
        <v>UAE</v>
      </c>
      <c r="C88" s="372" t="str">
        <f>'트래블마트 통합'!$B22</f>
        <v>Dubai</v>
      </c>
      <c r="D88" s="373" t="str">
        <f>IFERROR(LEFT('트래블마트 통합'!S22,FIND(CHAR(10),'트래블마트 통합'!S22)-1),'트래블마트 통합'!S22)</f>
        <v>Arabian Travel Market (ATM) 2027 (Dubai)</v>
      </c>
      <c r="E88" s="372" t="str">
        <f>IF(ISNUMBER(SEARCH("★★★",'트래블마트 통합'!S22)),"★★★",IF(ISNUMBER(SEARCH("★★",'트래블마트 통합'!S22)),"★★",IF(ISNUMBER(SEARCH("★",'트래블마트 통합'!S22)),"★","-")))</f>
        <v>★★★</v>
      </c>
      <c r="F88" s="258" t="b">
        <v>1</v>
      </c>
      <c r="G88" s="258" t="b">
        <v>0</v>
      </c>
      <c r="H88" s="256" t="str">
        <f>IF(AND(F88,G88),"완료",IF(G88,"진행 완료",IF(F88,"참가 예정","미정")))</f>
        <v>참가 예정</v>
      </c>
      <c r="I88" s="257" t="str">
        <f>'트래블마트 통합'!S22</f>
        <v>Arabian Travel Market (ATM) 2027 (Dubai)
5월 상순 (예상)
[★★★ 최우선] 중동 최대 여행 B2B, GCC 바이어 중심</v>
      </c>
      <c r="J88" s="259"/>
    </row>
    <row r="89" spans="1:10" ht="16.5">
      <c r="A89" s="255" t="str">
        <f>'트래블마트 통합'!S$2</f>
        <v>2027년 5월</v>
      </c>
      <c r="B89" s="256" t="str">
        <f>'트래블마트 통합'!$A25</f>
        <v>호주</v>
      </c>
      <c r="C89" s="256" t="str">
        <f>'트래블마트 통합'!$B25</f>
        <v>시드니, 애들레이드</v>
      </c>
      <c r="D89" s="257" t="str">
        <f>IFERROR(LEFT('트래블마트 통합'!S25,FIND(CHAR(10),'트래블마트 통합'!S25)-1),'트래블마트 통합'!S25)</f>
        <v>Australian Tourism Exchange (ATE) 2027</v>
      </c>
      <c r="E89" s="256" t="str">
        <f>IF(ISNUMBER(SEARCH("★★★",'트래블마트 통합'!S25)),"★★★",IF(ISNUMBER(SEARCH("★★",'트래블마트 통합'!S25)),"★★",IF(ISNUMBER(SEARCH("★",'트래블마트 통합'!S25)),"★","-")))</f>
        <v>★</v>
      </c>
      <c r="F89" s="258" t="b">
        <v>0</v>
      </c>
      <c r="G89" s="258" t="b">
        <v>0</v>
      </c>
      <c r="H89" s="256" t="str">
        <f>IF(AND(F89,G89),"완료",IF(G89,"진행 완료",IF(F89,"참가 예정","미정")))</f>
        <v>미정</v>
      </c>
      <c r="I89" s="257" t="str">
        <f>'트래블마트 통합'!S25</f>
        <v>Australian Tourism Exchange (ATE) 2027
5월 중 (예상)
[★ 선택] 오세아니아 최대 B2B</v>
      </c>
      <c r="J89" s="259"/>
    </row>
    <row r="90" spans="1:10" ht="16.5">
      <c r="A90" s="255" t="str">
        <f>'트래블마트 통합'!S$2</f>
        <v>2027년 5월</v>
      </c>
      <c r="B90" s="256" t="str">
        <f>'트래블마트 통합'!$A28</f>
        <v>미국</v>
      </c>
      <c r="C90" s="256" t="str">
        <f>'트래블마트 통합'!$B28</f>
        <v>플로리다주
뉴욕</v>
      </c>
      <c r="D90" s="257" t="str">
        <f>IFERROR(LEFT('트래블마트 통합'!S28,FIND(CHAR(10),'트래블마트 통합'!S28)-1),'트래블마트 통합'!S28)</f>
        <v>IPW 2027 (U.S. Travel Association)</v>
      </c>
      <c r="E90" s="256" t="str">
        <f>IF(ISNUMBER(SEARCH("★★★",'트래블마트 통합'!S28)),"★★★",IF(ISNUMBER(SEARCH("★★",'트래블마트 통합'!S28)),"★★",IF(ISNUMBER(SEARCH("★",'트래블마트 통합'!S28)),"★","-")))</f>
        <v>★</v>
      </c>
      <c r="F90" s="258" t="b">
        <v>0</v>
      </c>
      <c r="G90" s="258" t="b">
        <v>0</v>
      </c>
      <c r="H90" s="256" t="str">
        <f>IF(AND(F90,G90),"완료",IF(G90,"진행 완료",IF(F90,"참가 예정","미정")))</f>
        <v>미정</v>
      </c>
      <c r="I90" s="257" t="str">
        <f>'트래블마트 통합'!S28</f>
        <v>IPW 2027 (U.S. Travel Association)
5월 하순 (예상)
[★ 선택] 미국 인바운드 최대 B2B</v>
      </c>
      <c r="J90" s="259"/>
    </row>
    <row r="91" spans="1:10" ht="16.5">
      <c r="A91" s="255" t="str">
        <f>'트래블마트 통합'!T$2</f>
        <v>2027년 6월</v>
      </c>
      <c r="B91" s="256" t="str">
        <f>'트래블마트 통합'!$A10</f>
        <v>한국</v>
      </c>
      <c r="C91" s="256" t="str">
        <f>'트래블마트 통합'!$B10</f>
        <v>서울</v>
      </c>
      <c r="D91" s="257" t="str">
        <f>IFERROR(LEFT('트래블마트 통합'!T10,FIND(CHAR(10),'트래블마트 통합'!T10)-1),'트래블마트 통합'!T10)</f>
        <v>Seoul International Travel Fair (SITF) 2027</v>
      </c>
      <c r="E91" s="256" t="str">
        <f>IF(ISNUMBER(SEARCH("★★★",'트래블마트 통합'!T10)),"★★★",IF(ISNUMBER(SEARCH("★★",'트래블마트 통합'!T10)),"★★",IF(ISNUMBER(SEARCH("★",'트래블마트 통합'!T10)),"★","-")))</f>
        <v>★</v>
      </c>
      <c r="F91" s="258" t="b">
        <v>0</v>
      </c>
      <c r="G91" s="258" t="b">
        <v>0</v>
      </c>
      <c r="H91" s="256" t="str">
        <f>IF(AND(F91,G91),"완료",IF(G91,"진행 완료",IF(F91,"참가 예정","미정")))</f>
        <v>미정</v>
      </c>
      <c r="I91" s="257" t="str">
        <f>'트래블마트 통합'!T10</f>
        <v>Seoul International Travel Fair (SITF) 2027
6월 상순 (예상)
SITM 6월 말~7월 초 (예상)
[★ 선택] 한국 최대 여행박람회</v>
      </c>
      <c r="J91" s="259"/>
    </row>
    <row r="92" spans="1:10" ht="16.5">
      <c r="A92" s="255" t="str">
        <f>'트래블마트 통합'!T$2</f>
        <v>2027년 6월</v>
      </c>
      <c r="B92" s="256" t="str">
        <f>'트래블마트 통합'!$A13</f>
        <v>홍콩</v>
      </c>
      <c r="C92" s="256" t="str">
        <f>'트래블마트 통합'!$B13</f>
        <v>홍콩</v>
      </c>
      <c r="D92" s="257" t="str">
        <f>IFERROR(LEFT('트래블마트 통합'!T13,FIND(CHAR(10),'트래블마트 통합'!T13)-1),'트래블마트 통합'!T13)</f>
        <v>ITE Hong Kong 2027</v>
      </c>
      <c r="E92" s="256" t="str">
        <f>IF(ISNUMBER(SEARCH("★★★",'트래블마트 통합'!T13)),"★★★",IF(ISNUMBER(SEARCH("★★",'트래블마트 통합'!T13)),"★★",IF(ISNUMBER(SEARCH("★",'트래블마트 통합'!T13)),"★","-")))</f>
        <v>★★</v>
      </c>
      <c r="F92" s="258" t="b">
        <v>0</v>
      </c>
      <c r="G92" s="258" t="b">
        <v>0</v>
      </c>
      <c r="H92" s="256" t="str">
        <f>IF(AND(F92,G92),"완료",IF(G92,"진행 완료",IF(F92,"참가 예정","미정")))</f>
        <v>미정</v>
      </c>
      <c r="I92" s="257" t="str">
        <f>'트래블마트 통합'!T13</f>
        <v>ITE Hong Kong 2027
6월 중순 (예상)
[★★ 중간] 홍콩–광둥 outbound 중심</v>
      </c>
      <c r="J92" s="259"/>
    </row>
    <row r="93" spans="1:10" ht="16.5">
      <c r="A93" s="255" t="str">
        <f>'트래블마트 통합'!T$2</f>
        <v>2027년 6월</v>
      </c>
      <c r="B93" s="256" t="str">
        <f>'트래블마트 통합'!$A16</f>
        <v>태국</v>
      </c>
      <c r="C93" s="256" t="str">
        <f>'트래블마트 통합'!$B16</f>
        <v>방콕</v>
      </c>
      <c r="D93" s="257" t="str">
        <f>IFERROR(LEFT('트래블마트 통합'!T16,FIND(CHAR(10),'트래블마트 통합'!T16)-1),'트래블마트 통합'!T16)</f>
        <v>TTM+ (Thailand Travel Mart Plus) 2027</v>
      </c>
      <c r="E93" s="256" t="str">
        <f>IF(ISNUMBER(SEARCH("★★★",'트래블마트 통합'!T16)),"★★★",IF(ISNUMBER(SEARCH("★★",'트래블마트 통합'!T16)),"★★",IF(ISNUMBER(SEARCH("★",'트래블마트 통합'!T16)),"★","-")))</f>
        <v>-</v>
      </c>
      <c r="F93" s="258" t="b">
        <v>0</v>
      </c>
      <c r="G93" s="258" t="b">
        <v>0</v>
      </c>
      <c r="H93" s="256" t="str">
        <f>IF(AND(F93,G93),"완료",IF(G93,"진행 완료",IF(F93,"참가 예정","미정")))</f>
        <v>미정</v>
      </c>
      <c r="I93" s="257" t="str">
        <f>'트래블마트 통합'!T16</f>
        <v>TTM+ (Thailand Travel Mart Plus) 2027
6월 둘째 주 (예상)
태국 관광청(TAT) 주관</v>
      </c>
      <c r="J93" s="259"/>
    </row>
    <row r="94" spans="1:10" ht="16.5">
      <c r="A94" s="255" t="str">
        <f>'트래블마트 통합'!T$2</f>
        <v>2027년 6월</v>
      </c>
      <c r="B94" s="256" t="str">
        <f>'트래블마트 통합'!$A18</f>
        <v>싱가포르</v>
      </c>
      <c r="C94" s="256" t="str">
        <f>'트래블마트 통합'!$B18</f>
        <v>마리나베이</v>
      </c>
      <c r="D94" s="257" t="str">
        <f>IFERROR(LEFT('트래블마트 통합'!T18,FIND(CHAR(10),'트래블마트 통합'!T18)-1),'트래블마트 통합'!T18)</f>
        <v>ILTM Asia Pacific 2027 (싱가포르)</v>
      </c>
      <c r="E94" s="256" t="str">
        <f>IF(ISNUMBER(SEARCH("★★★",'트래블마트 통합'!T18)),"★★★",IF(ISNUMBER(SEARCH("★★",'트래블마트 통합'!T18)),"★★",IF(ISNUMBER(SEARCH("★",'트래블마트 통합'!T18)),"★","-")))</f>
        <v>★</v>
      </c>
      <c r="F94" s="258" t="b">
        <v>0</v>
      </c>
      <c r="G94" s="258" t="b">
        <v>0</v>
      </c>
      <c r="H94" s="256" t="str">
        <f>IF(AND(F94,G94),"완료",IF(G94,"진행 완료",IF(F94,"참가 예정","미정")))</f>
        <v>미정</v>
      </c>
      <c r="I94" s="257" t="str">
        <f>'트래블마트 통합'!T18</f>
        <v>ILTM Asia Pacific 2027 (싱가포르)
6월 말 (예상)
[★ 선택] 아시아 럭셔리 여행 최상위 행사</v>
      </c>
      <c r="J94" s="259"/>
    </row>
    <row r="95" spans="1:10" ht="16.5">
      <c r="A95" s="255" t="str">
        <f>'트래블마트 통합'!T$2</f>
        <v>2027년 6월</v>
      </c>
      <c r="B95" s="256" t="str">
        <f>'트래블마트 통합'!$A19</f>
        <v>인도네시아</v>
      </c>
      <c r="C95" s="256" t="str">
        <f>'트래블마트 통합'!$B19</f>
        <v>자카르타</v>
      </c>
      <c r="D95" s="257" t="str">
        <f>IFERROR(LEFT('트래블마트 통합'!T19,FIND(CHAR(10),'트래블마트 통합'!T19)-1),'트래블마트 통합'!T19)</f>
        <v>BBTF (Bali &amp; Beyond Travel Fair) 2027</v>
      </c>
      <c r="E95" s="256" t="str">
        <f>IF(ISNUMBER(SEARCH("★★★",'트래블마트 통합'!T19)),"★★★",IF(ISNUMBER(SEARCH("★★",'트래블마트 통합'!T19)),"★★",IF(ISNUMBER(SEARCH("★",'트래블마트 통합'!T19)),"★","-")))</f>
        <v>-</v>
      </c>
      <c r="F95" s="258" t="b">
        <v>0</v>
      </c>
      <c r="G95" s="258" t="b">
        <v>0</v>
      </c>
      <c r="H95" s="256" t="str">
        <f>IF(AND(F95,G95),"완료",IF(G95,"진행 완료",IF(F95,"참가 예정","미정")))</f>
        <v>미정</v>
      </c>
      <c r="I95" s="257" t="str">
        <f>'트래블마트 통합'!T19</f>
        <v>BBTF (Bali &amp; Beyond Travel Fair) 2027
6월 중 (예상)
Travel Meet Asia 2027 6월 하순 (예상)
호텔 소싱 핵심 행사</v>
      </c>
      <c r="J95" s="259"/>
    </row>
  </sheetData>
  <phoneticPr fontId="3" type="noConversion"/>
  <conditionalFormatting sqref="A4:E67">
    <cfRule type="expression" dxfId="123" priority="3">
      <formula>$G4=TRUE</formula>
    </cfRule>
    <cfRule type="expression" dxfId="122" priority="4">
      <formula>AND($F4=FALSE,$G4=FALSE,$E4="★★★")</formula>
    </cfRule>
  </conditionalFormatting>
  <conditionalFormatting sqref="A68:E95">
    <cfRule type="expression" dxfId="121" priority="1">
      <formula>$G68=TRUE</formula>
    </cfRule>
    <cfRule type="expression" dxfId="120"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O99"/>
  <sheetViews>
    <sheetView workbookViewId="0">
      <pane xSplit="6" ySplit="3" topLeftCell="G4" activePane="bottomRight" state="frozen"/>
      <selection pane="bottomRight" activeCell="I9" sqref="I9"/>
      <selection pane="bottomLeft"/>
      <selection pane="topRight"/>
    </sheetView>
  </sheetViews>
  <sheetFormatPr defaultRowHeight="16.5"/>
  <cols>
    <col min="1" max="1" width="5.625" style="342" customWidth="1"/>
    <col min="2" max="2" width="11.5" style="342" customWidth="1"/>
    <col min="3" max="3" width="10.875" style="342" customWidth="1"/>
    <col min="4" max="4" width="12.5" style="342" customWidth="1"/>
    <col min="5" max="5" width="20.25" style="342" customWidth="1"/>
    <col min="6" max="6" width="15.125" style="342" customWidth="1"/>
    <col min="7" max="7" width="9.5" style="342" bestFit="1" customWidth="1"/>
    <col min="8" max="8" width="20.125" style="342" customWidth="1"/>
    <col min="9" max="9" width="16" style="342" customWidth="1"/>
    <col min="10" max="10" width="9.375" style="342" customWidth="1"/>
    <col min="11" max="11" width="10.625" style="342" customWidth="1"/>
    <col min="12" max="12" width="8" style="342" customWidth="1"/>
    <col min="13" max="13" width="12.625" style="342" customWidth="1"/>
    <col min="14" max="14" width="8.625" style="342" customWidth="1"/>
    <col min="15" max="15" width="13" style="342" customWidth="1"/>
    <col min="16" max="16" width="13.375" style="342" customWidth="1"/>
    <col min="17" max="18" width="33.375" style="342" customWidth="1"/>
    <col min="19" max="29" width="12.375" style="342" customWidth="1"/>
    <col min="30" max="16384" width="9" style="342"/>
  </cols>
  <sheetData>
    <row r="1" spans="1:41" ht="27.75" customHeight="1">
      <c r="A1" s="421" t="s">
        <v>213</v>
      </c>
      <c r="B1" s="421"/>
      <c r="C1" s="421"/>
      <c r="D1" s="421"/>
      <c r="E1" s="421"/>
      <c r="F1" s="421"/>
      <c r="G1" s="421"/>
      <c r="H1" s="421"/>
      <c r="I1" s="421"/>
      <c r="J1" s="421"/>
      <c r="K1" s="421"/>
      <c r="L1" s="421"/>
      <c r="M1" s="421"/>
      <c r="N1" s="421"/>
      <c r="O1" s="421"/>
      <c r="P1" s="421"/>
      <c r="Q1" s="421"/>
      <c r="R1" s="421"/>
      <c r="S1" s="421"/>
      <c r="T1" s="421"/>
      <c r="U1" s="421"/>
      <c r="V1" s="421"/>
      <c r="W1" s="421"/>
      <c r="X1" s="421"/>
      <c r="Y1" s="421"/>
      <c r="Z1" s="421"/>
      <c r="AA1" s="421"/>
      <c r="AB1" s="421"/>
      <c r="AC1" s="421"/>
      <c r="AD1" s="421"/>
      <c r="AE1" s="357" t="s">
        <v>214</v>
      </c>
    </row>
    <row r="2" spans="1:41">
      <c r="A2" s="422" t="s">
        <v>215</v>
      </c>
      <c r="B2" s="422"/>
      <c r="C2" s="423"/>
      <c r="D2" s="422"/>
      <c r="E2" s="422"/>
      <c r="F2" s="422"/>
      <c r="G2" s="422"/>
      <c r="H2" s="423"/>
      <c r="I2" s="422"/>
      <c r="J2" s="422"/>
      <c r="K2" s="422"/>
      <c r="L2" s="424" t="s">
        <v>216</v>
      </c>
      <c r="M2" s="424"/>
      <c r="N2" s="424"/>
      <c r="O2" s="424"/>
      <c r="P2" s="425" t="s">
        <v>217</v>
      </c>
      <c r="Q2" s="425"/>
      <c r="R2" s="425"/>
      <c r="S2" s="425" t="s">
        <v>218</v>
      </c>
      <c r="T2" s="424"/>
      <c r="U2" s="424"/>
      <c r="V2" s="424"/>
      <c r="W2" s="424"/>
      <c r="X2" s="424"/>
      <c r="Y2" s="424"/>
      <c r="Z2" s="424"/>
      <c r="AA2" s="424"/>
      <c r="AB2" s="424"/>
      <c r="AC2" s="424"/>
      <c r="AE2" s="358" t="s">
        <v>219</v>
      </c>
      <c r="AF2" s="358" t="s">
        <v>220</v>
      </c>
      <c r="AG2" s="358" t="s">
        <v>221</v>
      </c>
      <c r="AH2" s="358" t="s">
        <v>222</v>
      </c>
      <c r="AI2" s="358" t="s">
        <v>223</v>
      </c>
      <c r="AJ2" s="358" t="s">
        <v>224</v>
      </c>
      <c r="AK2" s="358" t="s">
        <v>225</v>
      </c>
      <c r="AL2" s="358" t="s">
        <v>226</v>
      </c>
      <c r="AM2" s="358" t="s">
        <v>227</v>
      </c>
      <c r="AN2" s="358" t="s">
        <v>228</v>
      </c>
      <c r="AO2" s="358" t="s">
        <v>229</v>
      </c>
    </row>
    <row r="3" spans="1:41" ht="57.75" customHeight="1">
      <c r="A3" s="335" t="s">
        <v>230</v>
      </c>
      <c r="B3" s="385" t="s">
        <v>231</v>
      </c>
      <c r="C3" s="335" t="s">
        <v>232</v>
      </c>
      <c r="D3" s="386" t="s">
        <v>233</v>
      </c>
      <c r="E3" s="335" t="s">
        <v>234</v>
      </c>
      <c r="F3" s="335" t="s">
        <v>235</v>
      </c>
      <c r="G3" s="335" t="s">
        <v>236</v>
      </c>
      <c r="H3" s="335" t="s">
        <v>237</v>
      </c>
      <c r="I3" s="386" t="s">
        <v>238</v>
      </c>
      <c r="J3" s="335" t="s">
        <v>239</v>
      </c>
      <c r="K3" s="335" t="s">
        <v>240</v>
      </c>
      <c r="L3" s="336" t="s">
        <v>241</v>
      </c>
      <c r="M3" s="337" t="s">
        <v>242</v>
      </c>
      <c r="N3" s="338" t="s">
        <v>243</v>
      </c>
      <c r="O3" s="338" t="s">
        <v>244</v>
      </c>
      <c r="P3" s="414" t="s">
        <v>245</v>
      </c>
      <c r="Q3" s="415" t="s">
        <v>246</v>
      </c>
      <c r="R3" s="340" t="s">
        <v>247</v>
      </c>
      <c r="S3" s="388" t="s">
        <v>248</v>
      </c>
      <c r="T3" s="387" t="s">
        <v>249</v>
      </c>
      <c r="U3" s="339" t="s">
        <v>250</v>
      </c>
      <c r="V3" s="339" t="s">
        <v>251</v>
      </c>
      <c r="W3" s="339" t="s">
        <v>252</v>
      </c>
      <c r="X3" s="339" t="s">
        <v>253</v>
      </c>
      <c r="Y3" s="339" t="s">
        <v>254</v>
      </c>
      <c r="Z3" s="339" t="s">
        <v>255</v>
      </c>
      <c r="AA3" s="339" t="s">
        <v>256</v>
      </c>
      <c r="AB3" s="340" t="s">
        <v>257</v>
      </c>
      <c r="AC3" s="341" t="s">
        <v>258</v>
      </c>
      <c r="AD3" s="362" t="s">
        <v>259</v>
      </c>
      <c r="AE3" s="360">
        <v>0.2</v>
      </c>
      <c r="AF3" s="360">
        <v>0.3</v>
      </c>
      <c r="AG3" s="360">
        <v>0.4</v>
      </c>
      <c r="AH3" s="360">
        <v>0.45</v>
      </c>
      <c r="AI3" s="360">
        <v>0.5</v>
      </c>
      <c r="AJ3" s="360">
        <v>0.6</v>
      </c>
      <c r="AK3" s="360">
        <v>0.7</v>
      </c>
      <c r="AL3" s="360">
        <v>0.75</v>
      </c>
      <c r="AM3" s="360">
        <v>0.8</v>
      </c>
      <c r="AN3" s="360">
        <v>0.9</v>
      </c>
      <c r="AO3" s="360">
        <v>1</v>
      </c>
    </row>
    <row r="4" spans="1:41" ht="15.75" customHeight="1">
      <c r="A4" s="325">
        <f>IF($E4="","",COUNTA($E$4:$E4))</f>
        <v>1</v>
      </c>
      <c r="B4" s="389" t="str">
        <f>IF($E4="","",IF($M4="","Contact",LOOKUP($L4,$AE$5:$AE$8,$AF$5:$AF$8)))</f>
        <v>Contact</v>
      </c>
      <c r="C4" s="401" t="s">
        <v>260</v>
      </c>
      <c r="D4" s="394" t="s">
        <v>261</v>
      </c>
      <c r="E4" s="343" t="s">
        <v>262</v>
      </c>
      <c r="F4" s="326" t="s">
        <v>263</v>
      </c>
      <c r="G4" s="327" t="s">
        <v>264</v>
      </c>
      <c r="H4" s="401" t="s">
        <v>265</v>
      </c>
      <c r="I4" s="402"/>
      <c r="J4" s="343" t="s">
        <v>266</v>
      </c>
      <c r="K4" s="343" t="s">
        <v>267</v>
      </c>
      <c r="L4" s="328" cm="1">
        <f t="array" ref="L4">IF($E4="","",SUMPRODUCT(MAX(($S4:$AC4&lt;&gt;"")*$AE$3:$AO$3)))</f>
        <v>0</v>
      </c>
      <c r="M4" s="344" t="str">
        <f>IF(COUNT($S4:$AC4)=0,"",MAX($S4:$AC4))</f>
        <v/>
      </c>
      <c r="N4" s="329" t="str">
        <f ca="1">IF($M4="","",TODAY()-$M4)</f>
        <v/>
      </c>
      <c r="O4" s="392" t="str">
        <f>IF($M4="","No Record",IF($L4&gt;=1,"Live",IF($N4&gt;=90,"Stalled 90d+",IF($N4&gt;=60,"Stalled 60d+",IF($N4&gt;=30,"Stalled 30d+","In Progress")))))</f>
        <v>No Record</v>
      </c>
      <c r="P4" s="416"/>
      <c r="Q4" s="417"/>
      <c r="R4" s="417"/>
      <c r="S4" s="408"/>
      <c r="T4" s="330"/>
      <c r="U4" s="330"/>
      <c r="V4" s="330"/>
      <c r="W4" s="330"/>
      <c r="X4" s="330"/>
      <c r="Y4" s="330"/>
      <c r="Z4" s="330"/>
      <c r="AA4" s="330"/>
      <c r="AB4" s="330"/>
      <c r="AC4" s="330"/>
      <c r="AD4" s="363" t="s">
        <v>268</v>
      </c>
    </row>
    <row r="5" spans="1:41" ht="15.75" customHeight="1">
      <c r="A5" s="325">
        <f>IF($E5="","",COUNTA($E$4:$E5))</f>
        <v>2</v>
      </c>
      <c r="B5" s="389" t="str">
        <f>IF($E5="","",IF($M5="","Contact",LOOKUP($L5,$AE$5:$AE$8,$AF$5:$AF$8)))</f>
        <v>In Development</v>
      </c>
      <c r="C5" s="401"/>
      <c r="D5" s="394" t="s">
        <v>269</v>
      </c>
      <c r="E5" s="343" t="s">
        <v>270</v>
      </c>
      <c r="F5" s="331" t="s">
        <v>271</v>
      </c>
      <c r="G5" s="327" t="s">
        <v>264</v>
      </c>
      <c r="H5" s="401" t="s">
        <v>272</v>
      </c>
      <c r="I5" s="402"/>
      <c r="J5" s="343" t="s">
        <v>266</v>
      </c>
      <c r="K5" s="343" t="s">
        <v>267</v>
      </c>
      <c r="L5" s="328" cm="1">
        <f t="array" ref="L5">IF($E5="","",SUMPRODUCT(MAX(($S5:$AC5&lt;&gt;"")*$AE$3:$AO$3)))</f>
        <v>0.45</v>
      </c>
      <c r="M5" s="344">
        <f>IF(COUNT($S5:$AC5)=0,"",MAX($S5:$AC5))</f>
        <v>46237</v>
      </c>
      <c r="N5" s="329">
        <f ca="1">IF($M5="","",TODAY()-$M5)</f>
        <v>25</v>
      </c>
      <c r="O5" s="392" t="str">
        <f ca="1">IF($M5="","No Record",IF($L5&gt;=1,"Live",IF($N5&gt;=90,"Stalled 90d+",IF($N5&gt;=60,"Stalled 60d+",IF($N5&gt;=30,"Stalled 30d+","In Progress")))))</f>
        <v>In Progress</v>
      </c>
      <c r="P5" s="416"/>
      <c r="Q5" s="417"/>
      <c r="R5" s="417"/>
      <c r="S5" s="409">
        <v>45504</v>
      </c>
      <c r="T5" s="330">
        <v>46199</v>
      </c>
      <c r="U5" s="330"/>
      <c r="V5" s="330">
        <v>46237</v>
      </c>
      <c r="W5" s="330"/>
      <c r="X5" s="330"/>
      <c r="Y5" s="330"/>
      <c r="Z5" s="330"/>
      <c r="AA5" s="330"/>
      <c r="AB5" s="330"/>
      <c r="AC5" s="330"/>
      <c r="AD5" s="363" t="s">
        <v>273</v>
      </c>
      <c r="AE5" s="360">
        <v>0.2</v>
      </c>
      <c r="AF5" s="359" t="s">
        <v>274</v>
      </c>
    </row>
    <row r="6" spans="1:41" ht="15.75" customHeight="1">
      <c r="A6" s="325">
        <f>IF($E6="","",COUNTA($E$4:$E6))</f>
        <v>3</v>
      </c>
      <c r="B6" s="389" t="str">
        <f>IF($E6="","",IF($M6="","Contact",LOOKUP($L6,$AE$5:$AE$8,$AF$5:$AF$8)))</f>
        <v>Contact</v>
      </c>
      <c r="C6" s="401"/>
      <c r="D6" s="394" t="s">
        <v>275</v>
      </c>
      <c r="E6" s="343" t="s">
        <v>276</v>
      </c>
      <c r="F6" s="331" t="s">
        <v>271</v>
      </c>
      <c r="G6" s="327" t="s">
        <v>264</v>
      </c>
      <c r="H6" s="401" t="s">
        <v>272</v>
      </c>
      <c r="I6" s="402"/>
      <c r="J6" s="343" t="s">
        <v>266</v>
      </c>
      <c r="K6" s="343" t="s">
        <v>267</v>
      </c>
      <c r="L6" s="328" cm="1">
        <f t="array" ref="L6">IF($E6="","",SUMPRODUCT(MAX(($S6:$AC6&lt;&gt;"")*$AE$3:$AO$3)))</f>
        <v>0</v>
      </c>
      <c r="M6" s="344" t="str">
        <f>IF(COUNT($S6:$AC6)=0,"",MAX($S6:$AC6))</f>
        <v/>
      </c>
      <c r="N6" s="329" t="str">
        <f ca="1">IF($M6="","",TODAY()-$M6)</f>
        <v/>
      </c>
      <c r="O6" s="392" t="str">
        <f>IF($M6="","No Record",IF($L6&gt;=1,"Live",IF($N6&gt;=90,"Stalled 90d+",IF($N6&gt;=60,"Stalled 60d+",IF($N6&gt;=30,"Stalled 30d+","In Progress")))))</f>
        <v>No Record</v>
      </c>
      <c r="P6" s="416"/>
      <c r="Q6" s="417"/>
      <c r="R6" s="417"/>
      <c r="S6" s="409"/>
      <c r="T6" s="330"/>
      <c r="U6" s="330"/>
      <c r="V6" s="330"/>
      <c r="W6" s="330"/>
      <c r="X6" s="330"/>
      <c r="Y6" s="330"/>
      <c r="Z6" s="330"/>
      <c r="AA6" s="330"/>
      <c r="AB6" s="330"/>
      <c r="AC6" s="330"/>
      <c r="AD6" s="363" t="s">
        <v>274</v>
      </c>
      <c r="AE6" s="360">
        <v>0.45</v>
      </c>
      <c r="AF6" s="359" t="s">
        <v>273</v>
      </c>
    </row>
    <row r="7" spans="1:41" ht="15.75" customHeight="1">
      <c r="A7" s="325">
        <f>IF($E7="","",COUNTA($E$4:$E7))</f>
        <v>4</v>
      </c>
      <c r="B7" s="389" t="str">
        <f>IF($E7="","",IF($M7="","Contact",LOOKUP($L7,$AE$5:$AE$8,$AF$5:$AF$8)))</f>
        <v>Contact</v>
      </c>
      <c r="C7" s="401" t="s">
        <v>277</v>
      </c>
      <c r="D7" s="394" t="s">
        <v>275</v>
      </c>
      <c r="E7" s="343" t="s">
        <v>278</v>
      </c>
      <c r="F7" s="331" t="s">
        <v>271</v>
      </c>
      <c r="G7" s="327" t="s">
        <v>279</v>
      </c>
      <c r="H7" s="401" t="s">
        <v>280</v>
      </c>
      <c r="I7" s="402"/>
      <c r="J7" s="343" t="s">
        <v>266</v>
      </c>
      <c r="K7" s="343" t="s">
        <v>267</v>
      </c>
      <c r="L7" s="328" cm="1">
        <f t="array" ref="L7">IF($E7="","",SUMPRODUCT(MAX(($S7:$AC7&lt;&gt;"")*$AE$3:$AO$3)))</f>
        <v>0</v>
      </c>
      <c r="M7" s="344" t="str">
        <f>IF(COUNT($S7:$AC7)=0,"",MAX($S7:$AC7))</f>
        <v/>
      </c>
      <c r="N7" s="329" t="str">
        <f ca="1">IF($M7="","",TODAY()-$M7)</f>
        <v/>
      </c>
      <c r="O7" s="392" t="str">
        <f>IF($M7="","No Record",IF($L7&gt;=1,"Live",IF($N7&gt;=90,"Stalled 90d+",IF($N7&gt;=60,"Stalled 60d+",IF($N7&gt;=30,"Stalled 30d+","In Progress")))))</f>
        <v>No Record</v>
      </c>
      <c r="P7" s="416"/>
      <c r="Q7" s="417"/>
      <c r="R7" s="417"/>
      <c r="S7" s="409"/>
      <c r="T7" s="330"/>
      <c r="U7" s="330"/>
      <c r="V7" s="330"/>
      <c r="W7" s="330"/>
      <c r="X7" s="330"/>
      <c r="Y7" s="330"/>
      <c r="Z7" s="330"/>
      <c r="AA7" s="330"/>
      <c r="AB7" s="330"/>
      <c r="AC7" s="330"/>
      <c r="AD7" s="363" t="s">
        <v>268</v>
      </c>
      <c r="AE7" s="360">
        <v>0.7</v>
      </c>
      <c r="AF7" s="359" t="s">
        <v>281</v>
      </c>
    </row>
    <row r="8" spans="1:41" ht="15.75" customHeight="1">
      <c r="A8" s="325">
        <f>IF($E8="","",COUNTA($E$4:$E8))</f>
        <v>5</v>
      </c>
      <c r="B8" s="389" t="str">
        <f>IF($E8="","",IF($M8="","Contact",LOOKUP($L8,$AE$5:$AE$8,$AF$5:$AF$8)))</f>
        <v>Contact</v>
      </c>
      <c r="C8" s="401"/>
      <c r="D8" s="394" t="s">
        <v>282</v>
      </c>
      <c r="E8" s="343" t="s">
        <v>283</v>
      </c>
      <c r="F8" s="331" t="s">
        <v>271</v>
      </c>
      <c r="G8" s="327" t="s">
        <v>284</v>
      </c>
      <c r="H8" s="401" t="s">
        <v>265</v>
      </c>
      <c r="I8" s="402"/>
      <c r="J8" s="343" t="s">
        <v>266</v>
      </c>
      <c r="K8" s="343" t="s">
        <v>267</v>
      </c>
      <c r="L8" s="328" cm="1">
        <f t="array" ref="L8">IF($E8="","",SUMPRODUCT(MAX(($S8:$AC8&lt;&gt;"")*$AE$3:$AO$3)))</f>
        <v>0</v>
      </c>
      <c r="M8" s="344" t="str">
        <f>IF(COUNT($S8:$AC8)=0,"",MAX($S8:$AC8))</f>
        <v/>
      </c>
      <c r="N8" s="329" t="str">
        <f ca="1">IF($M8="","",TODAY()-$M8)</f>
        <v/>
      </c>
      <c r="O8" s="392" t="str">
        <f>IF($M8="","No Record",IF($L8&gt;=1,"Live",IF($N8&gt;=90,"Stalled 90d+",IF($N8&gt;=60,"Stalled 60d+",IF($N8&gt;=30,"Stalled 30d+","In Progress")))))</f>
        <v>No Record</v>
      </c>
      <c r="P8" s="416"/>
      <c r="Q8" s="417"/>
      <c r="R8" s="417"/>
      <c r="S8" s="409"/>
      <c r="T8" s="330"/>
      <c r="U8" s="330"/>
      <c r="V8" s="330"/>
      <c r="W8" s="330"/>
      <c r="X8" s="330"/>
      <c r="Y8" s="330"/>
      <c r="Z8" s="330"/>
      <c r="AA8" s="330"/>
      <c r="AB8" s="330"/>
      <c r="AC8" s="330"/>
      <c r="AD8" s="363" t="s">
        <v>268</v>
      </c>
      <c r="AE8" s="360">
        <v>0.8</v>
      </c>
      <c r="AF8" s="359" t="s">
        <v>285</v>
      </c>
    </row>
    <row r="9" spans="1:41" ht="15.75" customHeight="1">
      <c r="A9" s="325">
        <f>IF($E9="","",COUNTA($E$4:$E9))</f>
        <v>6</v>
      </c>
      <c r="B9" s="389" t="str">
        <f>IF($E9="","",IF($M9="","Contact",LOOKUP($L9,$AE$5:$AE$8,$AF$5:$AF$8)))</f>
        <v>Contact</v>
      </c>
      <c r="C9" s="401"/>
      <c r="D9" s="394"/>
      <c r="E9" s="343" t="s">
        <v>286</v>
      </c>
      <c r="F9" s="331" t="s">
        <v>271</v>
      </c>
      <c r="G9" s="327" t="s">
        <v>284</v>
      </c>
      <c r="H9" s="401" t="s">
        <v>272</v>
      </c>
      <c r="I9" s="402" t="s">
        <v>276</v>
      </c>
      <c r="J9" s="343" t="s">
        <v>266</v>
      </c>
      <c r="K9" s="343" t="s">
        <v>267</v>
      </c>
      <c r="L9" s="328" cm="1">
        <f t="array" ref="L9">IF($E9="","",SUMPRODUCT(MAX(($S9:$AC9&lt;&gt;"")*$AE$3:$AO$3)))</f>
        <v>0</v>
      </c>
      <c r="M9" s="344"/>
      <c r="N9" s="329"/>
      <c r="O9" s="392" t="str">
        <f>IF($M9="","No Record",IF($L9&gt;=1,"Live",IF($N9&gt;=90,"Stalled 90d+",IF($N9&gt;=60,"Stalled 60d+",IF($N9&gt;=30,"Stalled 30d+","In Progress")))))</f>
        <v>No Record</v>
      </c>
      <c r="P9" s="416"/>
      <c r="Q9" s="417"/>
      <c r="R9" s="417"/>
      <c r="S9" s="409"/>
      <c r="T9" s="330"/>
      <c r="U9" s="330"/>
      <c r="V9" s="330"/>
      <c r="W9" s="330"/>
      <c r="X9" s="330"/>
      <c r="Y9" s="330"/>
      <c r="Z9" s="330"/>
      <c r="AA9" s="330"/>
      <c r="AB9" s="330"/>
      <c r="AC9" s="330"/>
      <c r="AD9" s="363"/>
      <c r="AE9" s="360"/>
      <c r="AF9" s="359"/>
    </row>
    <row r="10" spans="1:41" ht="15.75" customHeight="1">
      <c r="A10" s="325">
        <f>IF($E10="","",COUNTA($E$4:$E10))</f>
        <v>7</v>
      </c>
      <c r="B10" s="389" t="str">
        <f>IF($E10="","",IF($M10="","Contact",LOOKUP($L10,$AE$5:$AE$8,$AF$5:$AF$8)))</f>
        <v>Contact</v>
      </c>
      <c r="C10" s="401"/>
      <c r="D10" s="394" t="s">
        <v>269</v>
      </c>
      <c r="E10" s="343" t="s">
        <v>287</v>
      </c>
      <c r="F10" s="331" t="s">
        <v>271</v>
      </c>
      <c r="G10" s="327" t="s">
        <v>284</v>
      </c>
      <c r="H10" s="401" t="s">
        <v>265</v>
      </c>
      <c r="I10" s="402"/>
      <c r="J10" s="343" t="s">
        <v>266</v>
      </c>
      <c r="K10" s="343" t="s">
        <v>267</v>
      </c>
      <c r="L10" s="328" cm="1">
        <f t="array" ref="L10">IF($E10="","",SUMPRODUCT(MAX(($S10:$AC10&lt;&gt;"")*$AE$3:$AO$3)))</f>
        <v>0</v>
      </c>
      <c r="M10" s="344" t="str">
        <f>IF(COUNT($S10:$AC10)=0,"",MAX($S10:$AC10))</f>
        <v/>
      </c>
      <c r="N10" s="329" t="str">
        <f ca="1">IF($M10="","",TODAY()-$M10)</f>
        <v/>
      </c>
      <c r="O10" s="392" t="str">
        <f>IF($M10="","No Record",IF($L10&gt;=1,"Live",IF($N10&gt;=90,"Stalled 90d+",IF($N10&gt;=60,"Stalled 60d+",IF($N10&gt;=30,"Stalled 30d+","In Progress")))))</f>
        <v>No Record</v>
      </c>
      <c r="P10" s="416"/>
      <c r="Q10" s="417"/>
      <c r="R10" s="417"/>
      <c r="S10" s="409"/>
      <c r="T10" s="330"/>
      <c r="U10" s="330"/>
      <c r="V10" s="330"/>
      <c r="W10" s="330"/>
      <c r="X10" s="330"/>
      <c r="Y10" s="330"/>
      <c r="Z10" s="330"/>
      <c r="AA10" s="330"/>
      <c r="AB10" s="330"/>
      <c r="AC10" s="330"/>
      <c r="AD10" s="363" t="s">
        <v>268</v>
      </c>
      <c r="AE10" s="418" t="s">
        <v>288</v>
      </c>
    </row>
    <row r="11" spans="1:41" ht="15.75" customHeight="1">
      <c r="A11" s="325">
        <f>IF($E11="","",COUNTA($E$4:$E11))</f>
        <v>8</v>
      </c>
      <c r="B11" s="389" t="str">
        <f>IF($E11="","",IF($M11="","Contact",LOOKUP($L11,$AE$5:$AE$8,$AF$5:$AF$8)))</f>
        <v>Contact</v>
      </c>
      <c r="C11" s="401"/>
      <c r="D11" s="394" t="s">
        <v>289</v>
      </c>
      <c r="E11" s="343" t="s">
        <v>290</v>
      </c>
      <c r="F11" s="331" t="s">
        <v>271</v>
      </c>
      <c r="G11" s="327" t="s">
        <v>284</v>
      </c>
      <c r="H11" s="401" t="s">
        <v>265</v>
      </c>
      <c r="I11" s="402"/>
      <c r="J11" s="343" t="s">
        <v>266</v>
      </c>
      <c r="K11" s="343" t="s">
        <v>267</v>
      </c>
      <c r="L11" s="328" cm="1">
        <f t="array" ref="L11">IF($E11="","",SUMPRODUCT(MAX(($S11:$AC11&lt;&gt;"")*$AE$3:$AO$3)))</f>
        <v>0</v>
      </c>
      <c r="M11" s="344" t="str">
        <f>IF(COUNT($S11:$AC11)=0,"",MAX($S11:$AC11))</f>
        <v/>
      </c>
      <c r="N11" s="329" t="str">
        <f ca="1">IF($M11="","",TODAY()-$M11)</f>
        <v/>
      </c>
      <c r="O11" s="392" t="str">
        <f>IF($M11="","No Record",IF($L11&gt;=1,"Live",IF($N11&gt;=90,"Stalled 90d+",IF($N11&gt;=60,"Stalled 60d+",IF($N11&gt;=30,"Stalled 30d+","In Progress")))))</f>
        <v>No Record</v>
      </c>
      <c r="P11" s="416"/>
      <c r="Q11" s="417"/>
      <c r="R11" s="417"/>
      <c r="S11" s="409"/>
      <c r="T11" s="330"/>
      <c r="U11" s="330"/>
      <c r="V11" s="330"/>
      <c r="W11" s="330"/>
      <c r="X11" s="330"/>
      <c r="Y11" s="330"/>
      <c r="Z11" s="330"/>
      <c r="AA11" s="330"/>
      <c r="AB11" s="330"/>
      <c r="AC11" s="330"/>
      <c r="AD11" s="363" t="s">
        <v>268</v>
      </c>
      <c r="AE11" s="419" t="s">
        <v>291</v>
      </c>
      <c r="AF11" s="419" t="s">
        <v>265</v>
      </c>
    </row>
    <row r="12" spans="1:41" ht="15.75" customHeight="1">
      <c r="A12" s="325">
        <f>IF($E12="","",COUNTA($E$4:$E12))</f>
        <v>9</v>
      </c>
      <c r="B12" s="389" t="str">
        <f>IF($E12="","",IF($M12="","Contact",LOOKUP($L12,$AE$5:$AE$8,$AF$5:$AF$8)))</f>
        <v>Contact</v>
      </c>
      <c r="C12" s="401"/>
      <c r="D12" s="395"/>
      <c r="E12" s="343" t="s">
        <v>292</v>
      </c>
      <c r="F12" s="331" t="s">
        <v>271</v>
      </c>
      <c r="G12" s="327" t="s">
        <v>284</v>
      </c>
      <c r="H12" s="401" t="s">
        <v>265</v>
      </c>
      <c r="I12" s="402"/>
      <c r="J12" s="343" t="s">
        <v>266</v>
      </c>
      <c r="K12" s="343" t="s">
        <v>267</v>
      </c>
      <c r="L12" s="328" cm="1">
        <f t="array" ref="L12">IF($E12="","",SUMPRODUCT(MAX(($S12:$AC12&lt;&gt;"")*$AE$3:$AO$3)))</f>
        <v>0</v>
      </c>
      <c r="M12" s="344" t="str">
        <f>IF(COUNT($S12:$AC12)=0,"",MAX($S12:$AC12))</f>
        <v/>
      </c>
      <c r="N12" s="329" t="str">
        <f ca="1">IF($M12="","",TODAY()-$M12)</f>
        <v/>
      </c>
      <c r="O12" s="392" t="str">
        <f>IF($M12="","No Record",IF($L12&gt;=1,"Live",IF($N12&gt;=90,"Stalled 90d+",IF($N12&gt;=60,"Stalled 60d+",IF($N12&gt;=30,"Stalled 30d+","In Progress")))))</f>
        <v>No Record</v>
      </c>
      <c r="P12" s="416"/>
      <c r="Q12" s="417"/>
      <c r="R12" s="417"/>
      <c r="S12" s="409"/>
      <c r="T12" s="330"/>
      <c r="U12" s="330"/>
      <c r="V12" s="330"/>
      <c r="W12" s="330"/>
      <c r="X12" s="330"/>
      <c r="Y12" s="330"/>
      <c r="Z12" s="330"/>
      <c r="AA12" s="330"/>
      <c r="AB12" s="330"/>
      <c r="AC12" s="330"/>
      <c r="AD12" s="363" t="s">
        <v>268</v>
      </c>
      <c r="AE12" s="419" t="s">
        <v>293</v>
      </c>
      <c r="AF12" s="419" t="s">
        <v>272</v>
      </c>
    </row>
    <row r="13" spans="1:41" ht="15.75" customHeight="1">
      <c r="A13" s="325">
        <f>IF($E13="","",COUNTA($E$4:$E13))</f>
        <v>10</v>
      </c>
      <c r="B13" s="389" t="str">
        <f>IF($E13="","",IF($M13="","Contact",LOOKUP($L13,$AE$5:$AE$8,$AF$5:$AF$8)))</f>
        <v>Testing</v>
      </c>
      <c r="C13" s="401"/>
      <c r="D13" s="394" t="s">
        <v>294</v>
      </c>
      <c r="E13" s="343" t="s">
        <v>295</v>
      </c>
      <c r="F13" s="332" t="s">
        <v>296</v>
      </c>
      <c r="G13" s="327" t="s">
        <v>264</v>
      </c>
      <c r="H13" s="401" t="s">
        <v>265</v>
      </c>
      <c r="I13" s="402"/>
      <c r="J13" s="343" t="s">
        <v>297</v>
      </c>
      <c r="K13" s="343" t="s">
        <v>298</v>
      </c>
      <c r="L13" s="328" cm="1">
        <f t="array" ref="L13">IF($E13="","",SUMPRODUCT(MAX(($S13:$AC13&lt;&gt;"")*$AE$3:$AO$3)))</f>
        <v>0.75</v>
      </c>
      <c r="M13" s="344">
        <f>IF(COUNT($S13:$AC13)=0,"",MAX($S13:$AC13))</f>
        <v>45965</v>
      </c>
      <c r="N13" s="329">
        <f ca="1">IF($M13="","",TODAY()-$M13)</f>
        <v>297</v>
      </c>
      <c r="O13" s="392" t="str">
        <f ca="1">IF($M13="","No Record",IF($L13&gt;=1,"Live",IF($N13&gt;=90,"Stalled 90d+",IF($N13&gt;=60,"Stalled 60d+",IF($N13&gt;=30,"Stalled 30d+","In Progress")))))</f>
        <v>Stalled 90d+</v>
      </c>
      <c r="P13" s="416"/>
      <c r="Q13" s="417"/>
      <c r="R13" s="417"/>
      <c r="S13" s="409"/>
      <c r="T13" s="330"/>
      <c r="U13" s="330"/>
      <c r="V13" s="330">
        <v>45962</v>
      </c>
      <c r="W13" s="330">
        <v>45962</v>
      </c>
      <c r="X13" s="330">
        <v>45963</v>
      </c>
      <c r="Y13" s="330">
        <v>45964</v>
      </c>
      <c r="Z13" s="330">
        <v>45965</v>
      </c>
      <c r="AA13" s="330"/>
      <c r="AB13" s="330"/>
      <c r="AC13" s="330"/>
      <c r="AD13" s="363" t="s">
        <v>281</v>
      </c>
      <c r="AE13" s="419" t="s">
        <v>299</v>
      </c>
      <c r="AF13" s="419" t="s">
        <v>280</v>
      </c>
    </row>
    <row r="14" spans="1:41" ht="15.75" customHeight="1">
      <c r="A14" s="325"/>
      <c r="B14" s="389" t="str">
        <f>IF($E14="","",IF($M14="","Contact",LOOKUP($L14,$AE$5:$AE$8,$AF$5:$AF$8)))</f>
        <v>NDA/Contract</v>
      </c>
      <c r="C14" s="401"/>
      <c r="D14" s="394" t="s">
        <v>300</v>
      </c>
      <c r="E14" s="343" t="s">
        <v>301</v>
      </c>
      <c r="F14" s="332" t="s">
        <v>296</v>
      </c>
      <c r="G14" s="327" t="s">
        <v>264</v>
      </c>
      <c r="H14" s="401" t="s">
        <v>272</v>
      </c>
      <c r="I14" s="402"/>
      <c r="J14" s="343" t="s">
        <v>297</v>
      </c>
      <c r="K14" s="343" t="s">
        <v>302</v>
      </c>
      <c r="L14" s="328" cm="1">
        <f t="array" ref="L14">IF($E14="","",SUMPRODUCT(MAX(($S14:$AC14&lt;&gt;"")*$AE$3:$AO$3)))</f>
        <v>0.2</v>
      </c>
      <c r="M14" s="344">
        <f>IF(COUNT($S14:$AC14)=0,"",MAX($S14:$AC14))</f>
        <v>46246</v>
      </c>
      <c r="N14" s="329"/>
      <c r="O14" s="392" t="str">
        <f>IF($M14="","No Record",IF($L14&gt;=1,"Live",IF($N14&gt;=90,"Stalled 90d+",IF($N14&gt;=60,"Stalled 60d+",IF($N14&gt;=30,"Stalled 30d+","In Progress")))))</f>
        <v>In Progress</v>
      </c>
      <c r="P14" s="416"/>
      <c r="Q14" s="417"/>
      <c r="R14" s="417"/>
      <c r="S14" s="409">
        <v>46246</v>
      </c>
      <c r="T14" s="330"/>
      <c r="U14" s="330"/>
      <c r="V14" s="330"/>
      <c r="W14" s="330"/>
      <c r="X14" s="330"/>
      <c r="Y14" s="330"/>
      <c r="Z14" s="330"/>
      <c r="AA14" s="330"/>
      <c r="AB14" s="330"/>
      <c r="AC14" s="330"/>
      <c r="AD14" s="363"/>
    </row>
    <row r="15" spans="1:41" ht="15" customHeight="1">
      <c r="A15" s="325">
        <f>IF($E15="","",COUNTA($E$4:$E15))</f>
        <v>12</v>
      </c>
      <c r="B15" s="389" t="str">
        <f>IF($E15="","",IF($M15="","Contact",LOOKUP($L15,$AE$5:$AE$8,$AF$5:$AF$8)))</f>
        <v>Contact</v>
      </c>
      <c r="C15" s="401"/>
      <c r="D15" s="394" t="s">
        <v>303</v>
      </c>
      <c r="E15" s="343" t="s">
        <v>304</v>
      </c>
      <c r="F15" s="332" t="s">
        <v>296</v>
      </c>
      <c r="G15" s="327" t="s">
        <v>264</v>
      </c>
      <c r="H15" s="401" t="s">
        <v>265</v>
      </c>
      <c r="I15" s="402"/>
      <c r="J15" s="343" t="s">
        <v>297</v>
      </c>
      <c r="K15" s="343" t="s">
        <v>305</v>
      </c>
      <c r="L15" s="328" cm="1">
        <f t="array" ref="L15">IF($E15="","",SUMPRODUCT(MAX(($S15:$AC15&lt;&gt;"")*$AE$3:$AO$3)))</f>
        <v>0</v>
      </c>
      <c r="M15" s="344" t="str">
        <f>IF(COUNT($S15:$AC15)=0,"",MAX($S15:$AC15))</f>
        <v/>
      </c>
      <c r="N15" s="329" t="str">
        <f ca="1">IF($M15="","",TODAY()-$M15)</f>
        <v/>
      </c>
      <c r="O15" s="392" t="str">
        <f>IF($M15="","No Record",IF($L15&gt;=1,"Live",IF($N15&gt;=90,"Stalled 90d+",IF($N15&gt;=60,"Stalled 60d+",IF($N15&gt;=30,"Stalled 30d+","In Progress")))))</f>
        <v>No Record</v>
      </c>
      <c r="P15" s="416"/>
      <c r="Q15" s="417"/>
      <c r="R15" s="417"/>
      <c r="S15" s="409"/>
      <c r="T15" s="330"/>
      <c r="U15" s="330"/>
      <c r="V15" s="330"/>
      <c r="W15" s="330"/>
      <c r="X15" s="330"/>
      <c r="Y15" s="330"/>
      <c r="Z15" s="330"/>
      <c r="AA15" s="330"/>
      <c r="AB15" s="330"/>
      <c r="AC15" s="330"/>
      <c r="AD15" s="363" t="s">
        <v>273</v>
      </c>
    </row>
    <row r="16" spans="1:41">
      <c r="A16" s="325">
        <f>IF($E16="","",COUNTA($E$4:$E16))</f>
        <v>13</v>
      </c>
      <c r="B16" s="389" t="str">
        <f>IF($E16="","",IF($M16="","Contact",LOOKUP($L16,$AE$5:$AE$8,$AF$5:$AF$8)))</f>
        <v>Contact</v>
      </c>
      <c r="C16" s="401"/>
      <c r="D16" s="394" t="s">
        <v>306</v>
      </c>
      <c r="E16" s="343" t="s">
        <v>307</v>
      </c>
      <c r="F16" s="332" t="s">
        <v>296</v>
      </c>
      <c r="G16" s="327" t="s">
        <v>264</v>
      </c>
      <c r="H16" s="401" t="s">
        <v>265</v>
      </c>
      <c r="I16" s="402"/>
      <c r="J16" s="343" t="s">
        <v>297</v>
      </c>
      <c r="K16" s="343" t="s">
        <v>305</v>
      </c>
      <c r="L16" s="328" cm="1">
        <f t="array" ref="L16">IF($E16="","",SUMPRODUCT(MAX(($S16:$AC16&lt;&gt;"")*$AE$3:$AO$3)))</f>
        <v>0</v>
      </c>
      <c r="M16" s="344" t="str">
        <f>IF(COUNT($S16:$AC16)=0,"",MAX($S16:$AC16))</f>
        <v/>
      </c>
      <c r="N16" s="329" t="str">
        <f ca="1">IF($M16="","",TODAY()-$M16)</f>
        <v/>
      </c>
      <c r="O16" s="392" t="str">
        <f>IF($M16="","No Record",IF($L16&gt;=1,"Live",IF($N16&gt;=90,"Stalled 90d+",IF($N16&gt;=60,"Stalled 60d+",IF($N16&gt;=30,"Stalled 30d+","In Progress")))))</f>
        <v>No Record</v>
      </c>
      <c r="P16" s="416"/>
      <c r="Q16" s="417"/>
      <c r="R16" s="417"/>
      <c r="S16" s="409"/>
      <c r="T16" s="330"/>
      <c r="U16" s="330"/>
      <c r="V16" s="330"/>
      <c r="W16" s="330"/>
      <c r="X16" s="330"/>
      <c r="Y16" s="330"/>
      <c r="Z16" s="330"/>
      <c r="AA16" s="330"/>
      <c r="AB16" s="330"/>
      <c r="AC16" s="330"/>
      <c r="AD16" s="363" t="s">
        <v>274</v>
      </c>
    </row>
    <row r="17" spans="1:30" ht="15.75" customHeight="1">
      <c r="A17" s="325">
        <f>IF($E17="","",COUNTA($E$4:$E17))</f>
        <v>14</v>
      </c>
      <c r="B17" s="389" t="str">
        <f>IF($E17="","",IF($M17="","Contact",LOOKUP($L17,$AE$5:$AE$8,$AF$5:$AF$8)))</f>
        <v>Contact</v>
      </c>
      <c r="C17" s="401"/>
      <c r="D17" s="394" t="s">
        <v>308</v>
      </c>
      <c r="E17" s="343" t="s">
        <v>309</v>
      </c>
      <c r="F17" s="332" t="s">
        <v>296</v>
      </c>
      <c r="G17" s="327" t="s">
        <v>264</v>
      </c>
      <c r="H17" s="401" t="s">
        <v>265</v>
      </c>
      <c r="I17" s="402"/>
      <c r="J17" s="343" t="s">
        <v>297</v>
      </c>
      <c r="K17" s="343" t="s">
        <v>305</v>
      </c>
      <c r="L17" s="328" cm="1">
        <f t="array" ref="L17">IF($E17="","",SUMPRODUCT(MAX(($S17:$AC17&lt;&gt;"")*$AE$3:$AO$3)))</f>
        <v>0</v>
      </c>
      <c r="M17" s="344" t="str">
        <f>IF(COUNT($S17:$AC17)=0,"",MAX($S17:$AC17))</f>
        <v/>
      </c>
      <c r="N17" s="329" t="str">
        <f ca="1">IF($M17="","",TODAY()-$M17)</f>
        <v/>
      </c>
      <c r="O17" s="392" t="str">
        <f>IF($M17="","No Record",IF($L17&gt;=1,"Live",IF($N17&gt;=90,"Stalled 90d+",IF($N17&gt;=60,"Stalled 60d+",IF($N17&gt;=30,"Stalled 30d+","In Progress")))))</f>
        <v>No Record</v>
      </c>
      <c r="P17" s="416"/>
      <c r="Q17" s="417"/>
      <c r="R17" s="417"/>
      <c r="S17" s="409"/>
      <c r="T17" s="330"/>
      <c r="U17" s="330"/>
      <c r="V17" s="330"/>
      <c r="W17" s="330"/>
      <c r="X17" s="330"/>
      <c r="Y17" s="330"/>
      <c r="Z17" s="330"/>
      <c r="AA17" s="330"/>
      <c r="AB17" s="330"/>
      <c r="AC17" s="330"/>
      <c r="AD17" s="363" t="s">
        <v>274</v>
      </c>
    </row>
    <row r="18" spans="1:30" ht="15.75" customHeight="1">
      <c r="A18" s="325">
        <f>IF($E18="","",COUNTA($E$4:$E18))</f>
        <v>15</v>
      </c>
      <c r="B18" s="389" t="str">
        <f>IF($E18="","",IF($M18="","Contact",LOOKUP($L18,$AE$5:$AE$8,$AF$5:$AF$8)))</f>
        <v>Contact</v>
      </c>
      <c r="C18" s="401"/>
      <c r="D18" s="394" t="s">
        <v>282</v>
      </c>
      <c r="E18" s="343" t="s">
        <v>310</v>
      </c>
      <c r="F18" s="332" t="s">
        <v>296</v>
      </c>
      <c r="G18" s="327" t="s">
        <v>279</v>
      </c>
      <c r="H18" s="401" t="s">
        <v>280</v>
      </c>
      <c r="I18" s="402" t="s">
        <v>276</v>
      </c>
      <c r="J18" s="343" t="s">
        <v>297</v>
      </c>
      <c r="K18" s="343" t="s">
        <v>305</v>
      </c>
      <c r="L18" s="328" cm="1">
        <f t="array" ref="L18">IF($E18="","",SUMPRODUCT(MAX(($S18:$AC18&lt;&gt;"")*$AE$3:$AO$3)))</f>
        <v>0</v>
      </c>
      <c r="M18" s="344" t="str">
        <f>IF(COUNT($S18:$AC18)=0,"",MAX($S18:$AC18))</f>
        <v/>
      </c>
      <c r="N18" s="329" t="str">
        <f ca="1">IF($M18="","",TODAY()-$M18)</f>
        <v/>
      </c>
      <c r="O18" s="392" t="str">
        <f>IF($M18="","No Record",IF($L18&gt;=1,"Live",IF($N18&gt;=90,"Stalled 90d+",IF($N18&gt;=60,"Stalled 60d+",IF($N18&gt;=30,"Stalled 30d+","In Progress")))))</f>
        <v>No Record</v>
      </c>
      <c r="P18" s="416"/>
      <c r="Q18" s="417"/>
      <c r="R18" s="417"/>
      <c r="S18" s="409"/>
      <c r="T18" s="330"/>
      <c r="U18" s="330"/>
      <c r="V18" s="330"/>
      <c r="W18" s="330"/>
      <c r="X18" s="330"/>
      <c r="Y18" s="330"/>
      <c r="Z18" s="330"/>
      <c r="AA18" s="330"/>
      <c r="AB18" s="330"/>
      <c r="AC18" s="330"/>
      <c r="AD18" s="363" t="s">
        <v>274</v>
      </c>
    </row>
    <row r="19" spans="1:30" ht="15.75" customHeight="1">
      <c r="A19" s="325">
        <f>IF($E19="","",COUNTA($E$4:$E19))</f>
        <v>16</v>
      </c>
      <c r="B19" s="389" t="str">
        <f>IF($E19="","",IF($M19="","Contact",LOOKUP($L19,$AE$5:$AE$8,$AF$5:$AF$8)))</f>
        <v>In Development</v>
      </c>
      <c r="C19" s="401"/>
      <c r="D19" s="394" t="s">
        <v>308</v>
      </c>
      <c r="E19" s="343" t="s">
        <v>311</v>
      </c>
      <c r="F19" s="332" t="s">
        <v>296</v>
      </c>
      <c r="G19" s="327" t="s">
        <v>264</v>
      </c>
      <c r="H19" s="401" t="s">
        <v>280</v>
      </c>
      <c r="I19" s="402"/>
      <c r="J19" s="343" t="s">
        <v>297</v>
      </c>
      <c r="K19" s="343" t="s">
        <v>305</v>
      </c>
      <c r="L19" s="328" cm="1">
        <f t="array" ref="L19">IF($E19="","",SUMPRODUCT(MAX(($S19:$AC19&lt;&gt;"")*$AE$3:$AO$3)))</f>
        <v>0.5</v>
      </c>
      <c r="M19" s="344">
        <f>IF(COUNT($S19:$AC19)=0,"",MAX($S19:$AC19))</f>
        <v>46253</v>
      </c>
      <c r="N19" s="329">
        <f ca="1">IF($M19="","",TODAY()-$M19)</f>
        <v>9</v>
      </c>
      <c r="O19" s="392" t="str">
        <f ca="1">IF($M19="","No Record",IF($L19&gt;=1,"Live",IF($N19&gt;=90,"Stalled 90d+",IF($N19&gt;=60,"Stalled 60d+",IF($N19&gt;=30,"Stalled 30d+","In Progress")))))</f>
        <v>In Progress</v>
      </c>
      <c r="P19" s="416"/>
      <c r="Q19" s="417"/>
      <c r="R19" s="417"/>
      <c r="S19" s="409">
        <v>46252</v>
      </c>
      <c r="T19" s="330">
        <v>46253</v>
      </c>
      <c r="U19" s="330"/>
      <c r="V19" s="330">
        <v>46253</v>
      </c>
      <c r="W19" s="330">
        <v>46253</v>
      </c>
      <c r="X19" s="330"/>
      <c r="Y19" s="330"/>
      <c r="Z19" s="330"/>
      <c r="AA19" s="330"/>
      <c r="AB19" s="330"/>
      <c r="AC19" s="330"/>
      <c r="AD19" s="363" t="s">
        <v>274</v>
      </c>
    </row>
    <row r="20" spans="1:30" ht="15.75" customHeight="1">
      <c r="A20" s="325">
        <f>IF($E20="","",COUNTA($E$4:$E20))</f>
        <v>17</v>
      </c>
      <c r="B20" s="389" t="str">
        <f>IF($E20="","",IF($M20="","Contact",LOOKUP($L20,$AE$5:$AE$8,$AF$5:$AF$8)))</f>
        <v>NDA/Contract</v>
      </c>
      <c r="C20" s="401"/>
      <c r="D20" s="394" t="s">
        <v>282</v>
      </c>
      <c r="E20" s="343" t="s">
        <v>312</v>
      </c>
      <c r="F20" s="332" t="s">
        <v>296</v>
      </c>
      <c r="G20" s="327" t="s">
        <v>279</v>
      </c>
      <c r="H20" s="401" t="s">
        <v>280</v>
      </c>
      <c r="I20" s="402"/>
      <c r="J20" s="343" t="s">
        <v>297</v>
      </c>
      <c r="K20" s="343" t="s">
        <v>305</v>
      </c>
      <c r="L20" s="328" cm="1">
        <f t="array" ref="L20">IF($E20="","",SUMPRODUCT(MAX(($S20:$AC20&lt;&gt;"")*$AE$3:$AO$3)))</f>
        <v>0.2</v>
      </c>
      <c r="M20" s="344">
        <f>IF(COUNT($S20:$AC20)=0,"",MAX($S20:$AC20))</f>
        <v>45898</v>
      </c>
      <c r="N20" s="329">
        <f ca="1">IF($M20="","",TODAY()-$M20)</f>
        <v>364</v>
      </c>
      <c r="O20" s="392" t="str">
        <f ca="1">IF($M20="","No Record",IF($L20&gt;=1,"Live",IF($N20&gt;=90,"Stalled 90d+",IF($N20&gt;=60,"Stalled 60d+",IF($N20&gt;=30,"Stalled 30d+","In Progress")))))</f>
        <v>Stalled 90d+</v>
      </c>
      <c r="P20" s="416"/>
      <c r="Q20" s="417"/>
      <c r="R20" s="417"/>
      <c r="S20" s="409">
        <v>45898</v>
      </c>
      <c r="T20" s="330"/>
      <c r="U20" s="330"/>
      <c r="V20" s="330"/>
      <c r="W20" s="330"/>
      <c r="X20" s="330"/>
      <c r="Y20" s="330"/>
      <c r="Z20" s="330"/>
      <c r="AA20" s="330"/>
      <c r="AB20" s="330"/>
      <c r="AC20" s="330"/>
      <c r="AD20" s="363" t="s">
        <v>274</v>
      </c>
    </row>
    <row r="21" spans="1:30" ht="15.75" customHeight="1">
      <c r="A21" s="325">
        <f>IF($E21="","",COUNTA($E$4:$E21))</f>
        <v>18</v>
      </c>
      <c r="B21" s="389" t="str">
        <f>IF($E21="","",IF($M21="","Contact",LOOKUP($L21,$AE$5:$AE$8,$AF$5:$AF$8)))</f>
        <v>Contact</v>
      </c>
      <c r="C21" s="401"/>
      <c r="D21" s="394" t="s">
        <v>313</v>
      </c>
      <c r="E21" s="343" t="s">
        <v>314</v>
      </c>
      <c r="F21" s="332" t="s">
        <v>296</v>
      </c>
      <c r="G21" s="327" t="s">
        <v>279</v>
      </c>
      <c r="H21" s="401" t="s">
        <v>280</v>
      </c>
      <c r="I21" s="402" t="s">
        <v>276</v>
      </c>
      <c r="J21" s="343" t="s">
        <v>297</v>
      </c>
      <c r="K21" s="343" t="s">
        <v>305</v>
      </c>
      <c r="L21" s="328" cm="1">
        <f t="array" ref="L21">IF($E21="","",SUMPRODUCT(MAX(($S21:$AC21&lt;&gt;"")*$AE$3:$AO$3)))</f>
        <v>0</v>
      </c>
      <c r="M21" s="344" t="str">
        <f>IF(COUNT($S21:$AC21)=0,"",MAX($S21:$AC21))</f>
        <v/>
      </c>
      <c r="N21" s="329" t="str">
        <f ca="1">IF($M21="","",TODAY()-$M21)</f>
        <v/>
      </c>
      <c r="O21" s="392" t="str">
        <f>IF($M21="","No Record",IF($L21&gt;=1,"Live",IF($N21&gt;=90,"Stalled 90d+",IF($N21&gt;=60,"Stalled 60d+",IF($N21&gt;=30,"Stalled 30d+","In Progress")))))</f>
        <v>No Record</v>
      </c>
      <c r="P21" s="416"/>
      <c r="Q21" s="417"/>
      <c r="R21" s="417"/>
      <c r="S21" s="409"/>
      <c r="T21" s="330"/>
      <c r="U21" s="330"/>
      <c r="V21" s="330"/>
      <c r="W21" s="330"/>
      <c r="X21" s="330"/>
      <c r="Y21" s="330"/>
      <c r="Z21" s="330"/>
      <c r="AA21" s="330"/>
      <c r="AB21" s="330"/>
      <c r="AC21" s="330"/>
      <c r="AD21" s="363" t="s">
        <v>274</v>
      </c>
    </row>
    <row r="22" spans="1:30" ht="15.75" customHeight="1">
      <c r="A22" s="325">
        <f>IF($E22="","",COUNTA($E$4:$E22))</f>
        <v>19</v>
      </c>
      <c r="B22" s="389" t="str">
        <f>IF($E22="","",IF($M22="","Contact",LOOKUP($L22,$AE$5:$AE$8,$AF$5:$AF$8)))</f>
        <v>Contact</v>
      </c>
      <c r="C22" s="401"/>
      <c r="D22" s="394" t="s">
        <v>151</v>
      </c>
      <c r="E22" s="343" t="s">
        <v>315</v>
      </c>
      <c r="F22" s="332" t="s">
        <v>296</v>
      </c>
      <c r="G22" s="327" t="s">
        <v>279</v>
      </c>
      <c r="H22" s="401" t="s">
        <v>280</v>
      </c>
      <c r="I22" s="402"/>
      <c r="J22" s="343" t="s">
        <v>297</v>
      </c>
      <c r="K22" s="343" t="s">
        <v>305</v>
      </c>
      <c r="L22" s="328" cm="1">
        <f t="array" ref="L22">IF($E22="","",SUMPRODUCT(MAX(($S22:$AC22&lt;&gt;"")*$AE$3:$AO$3)))</f>
        <v>0</v>
      </c>
      <c r="M22" s="344" t="str">
        <f>IF(COUNT($S22:$AC22)=0,"",MAX($S22:$AC22))</f>
        <v/>
      </c>
      <c r="N22" s="329" t="str">
        <f ca="1">IF($M22="","",TODAY()-$M22)</f>
        <v/>
      </c>
      <c r="O22" s="392" t="str">
        <f>IF($M22="","No Record",IF($L22&gt;=1,"Live",IF($N22&gt;=90,"Stalled 90d+",IF($N22&gt;=60,"Stalled 60d+",IF($N22&gt;=30,"Stalled 30d+","In Progress")))))</f>
        <v>No Record</v>
      </c>
      <c r="P22" s="416"/>
      <c r="Q22" s="417"/>
      <c r="R22" s="417"/>
      <c r="S22" s="409"/>
      <c r="T22" s="330"/>
      <c r="U22" s="330"/>
      <c r="V22" s="330"/>
      <c r="W22" s="330"/>
      <c r="X22" s="330"/>
      <c r="Y22" s="330"/>
      <c r="Z22" s="330"/>
      <c r="AA22" s="330"/>
      <c r="AB22" s="330"/>
      <c r="AC22" s="330"/>
      <c r="AD22" s="363" t="s">
        <v>274</v>
      </c>
    </row>
    <row r="23" spans="1:30" ht="15.75" customHeight="1">
      <c r="A23" s="325">
        <f>IF($E23="","",COUNTA($E$4:$E23))</f>
        <v>20</v>
      </c>
      <c r="B23" s="389" t="str">
        <f>IF($E23="","",IF($M23="","Contact",LOOKUP($L23,$AE$5:$AE$8,$AF$5:$AF$8)))</f>
        <v>Live</v>
      </c>
      <c r="C23" s="401"/>
      <c r="D23" s="394" t="s">
        <v>261</v>
      </c>
      <c r="E23" s="343" t="s">
        <v>316</v>
      </c>
      <c r="F23" s="332" t="s">
        <v>296</v>
      </c>
      <c r="G23" s="327" t="s">
        <v>264</v>
      </c>
      <c r="H23" s="401" t="s">
        <v>280</v>
      </c>
      <c r="I23" s="402"/>
      <c r="J23" s="343" t="s">
        <v>297</v>
      </c>
      <c r="K23" s="343" t="s">
        <v>302</v>
      </c>
      <c r="L23" s="328" cm="1">
        <f t="array" ref="L23">IF($E23="","",SUMPRODUCT(MAX(($S23:$AC23&lt;&gt;"")*$AE$3:$AO$3)))</f>
        <v>0.8</v>
      </c>
      <c r="M23" s="344">
        <f>IF(COUNT($S23:$AC23)=0,"",MAX($S23:$AC23))</f>
        <v>46253</v>
      </c>
      <c r="N23" s="329">
        <f ca="1">IF($M23="","",TODAY()-$M23)</f>
        <v>9</v>
      </c>
      <c r="O23" s="392" t="str">
        <f ca="1">IF($M23="","No Record",IF($L23&gt;=1,"Live",IF($N23&gt;=90,"Stalled 90d+",IF($N23&gt;=60,"Stalled 60d+",IF($N23&gt;=30,"Stalled 30d+","In Progress")))))</f>
        <v>In Progress</v>
      </c>
      <c r="P23" s="416"/>
      <c r="Q23" s="417"/>
      <c r="R23" s="417"/>
      <c r="S23" s="409"/>
      <c r="T23" s="330"/>
      <c r="U23" s="330"/>
      <c r="V23" s="330"/>
      <c r="W23" s="330"/>
      <c r="X23" s="330"/>
      <c r="Y23" s="330"/>
      <c r="Z23" s="330">
        <v>46253</v>
      </c>
      <c r="AA23" s="330">
        <v>46253</v>
      </c>
      <c r="AB23" s="330"/>
      <c r="AC23" s="330"/>
      <c r="AD23" s="363" t="s">
        <v>268</v>
      </c>
    </row>
    <row r="24" spans="1:30" ht="15.75" customHeight="1">
      <c r="A24" s="325">
        <f>IF($E24="","",COUNTA($E$4:$E24))</f>
        <v>21</v>
      </c>
      <c r="B24" s="389" t="str">
        <f>IF($E24="","",IF($M24="","Contact",LOOKUP($L24,$AE$5:$AE$8,$AF$5:$AF$8)))</f>
        <v>Contact</v>
      </c>
      <c r="C24" s="401"/>
      <c r="D24" s="394" t="s">
        <v>275</v>
      </c>
      <c r="E24" s="343" t="s">
        <v>317</v>
      </c>
      <c r="F24" s="332" t="s">
        <v>296</v>
      </c>
      <c r="G24" s="327" t="s">
        <v>264</v>
      </c>
      <c r="H24" s="401" t="s">
        <v>265</v>
      </c>
      <c r="I24" s="402" t="s">
        <v>276</v>
      </c>
      <c r="J24" s="343" t="s">
        <v>297</v>
      </c>
      <c r="K24" s="343" t="s">
        <v>302</v>
      </c>
      <c r="L24" s="328" cm="1">
        <f t="array" ref="L24">IF($E24="","",SUMPRODUCT(MAX(($S24:$AC24&lt;&gt;"")*$AE$3:$AO$3)))</f>
        <v>0</v>
      </c>
      <c r="M24" s="344" t="str">
        <f>IF(COUNT($S24:$AC24)=0,"",MAX($S24:$AC24))</f>
        <v/>
      </c>
      <c r="N24" s="329" t="str">
        <f ca="1">IF($M24="","",TODAY()-$M24)</f>
        <v/>
      </c>
      <c r="O24" s="392" t="str">
        <f>IF($M24="","No Record",IF($L24&gt;=1,"Live",IF($N24&gt;=90,"Stalled 90d+",IF($N24&gt;=60,"Stalled 60d+",IF($N24&gt;=30,"Stalled 30d+","In Progress")))))</f>
        <v>No Record</v>
      </c>
      <c r="P24" s="416"/>
      <c r="Q24" s="417"/>
      <c r="R24" s="417"/>
      <c r="S24" s="409"/>
      <c r="T24" s="330"/>
      <c r="U24" s="330"/>
      <c r="V24" s="330"/>
      <c r="W24" s="330"/>
      <c r="X24" s="330"/>
      <c r="Y24" s="330"/>
      <c r="Z24" s="330"/>
      <c r="AA24" s="330"/>
      <c r="AB24" s="330"/>
      <c r="AC24" s="330"/>
      <c r="AD24" s="363" t="s">
        <v>268</v>
      </c>
    </row>
    <row r="25" spans="1:30" ht="15.75" customHeight="1">
      <c r="A25" s="325">
        <f>IF($E25="","",COUNTA($E$4:$E25))</f>
        <v>22</v>
      </c>
      <c r="B25" s="389" t="str">
        <f>IF($E25="","",IF($M25="","Contact",LOOKUP($L25,$AE$5:$AE$8,$AF$5:$AF$8)))</f>
        <v>Contact</v>
      </c>
      <c r="C25" s="401"/>
      <c r="D25" s="394" t="s">
        <v>151</v>
      </c>
      <c r="E25" s="343" t="s">
        <v>318</v>
      </c>
      <c r="F25" s="332" t="s">
        <v>296</v>
      </c>
      <c r="G25" s="327" t="s">
        <v>264</v>
      </c>
      <c r="H25" s="401" t="s">
        <v>265</v>
      </c>
      <c r="I25" s="402"/>
      <c r="J25" s="343" t="s">
        <v>297</v>
      </c>
      <c r="K25" s="343" t="s">
        <v>302</v>
      </c>
      <c r="L25" s="328" cm="1">
        <f t="array" ref="L25">IF($E25="","",SUMPRODUCT(MAX(($S25:$AC25&lt;&gt;"")*$AE$3:$AO$3)))</f>
        <v>0</v>
      </c>
      <c r="M25" s="344" t="str">
        <f>IF(COUNT($S25:$AC25)=0,"",MAX($S25:$AC25))</f>
        <v/>
      </c>
      <c r="N25" s="329" t="str">
        <f ca="1">IF($M25="","",TODAY()-$M25)</f>
        <v/>
      </c>
      <c r="O25" s="392" t="str">
        <f>IF($M25="","No Record",IF($L25&gt;=1,"Live",IF($N25&gt;=90,"Stalled 90d+",IF($N25&gt;=60,"Stalled 60d+",IF($N25&gt;=30,"Stalled 30d+","In Progress")))))</f>
        <v>No Record</v>
      </c>
      <c r="P25" s="416"/>
      <c r="Q25" s="417"/>
      <c r="R25" s="417"/>
      <c r="S25" s="409"/>
      <c r="T25" s="330"/>
      <c r="U25" s="330"/>
      <c r="V25" s="330"/>
      <c r="W25" s="330"/>
      <c r="X25" s="330"/>
      <c r="Y25" s="330"/>
      <c r="Z25" s="330"/>
      <c r="AA25" s="330"/>
      <c r="AB25" s="330"/>
      <c r="AC25" s="330"/>
      <c r="AD25" s="363" t="s">
        <v>268</v>
      </c>
    </row>
    <row r="26" spans="1:30" ht="15.75" customHeight="1">
      <c r="A26" s="325">
        <f>IF($E26="","",COUNTA($E$4:$E26))</f>
        <v>23</v>
      </c>
      <c r="B26" s="389" t="str">
        <f>IF($E26="","",IF($M26="","Contact",LOOKUP($L26,$AE$5:$AE$8,$AF$5:$AF$8)))</f>
        <v>NDA/Contract</v>
      </c>
      <c r="C26" s="401"/>
      <c r="D26" s="394" t="s">
        <v>319</v>
      </c>
      <c r="E26" s="343" t="s">
        <v>320</v>
      </c>
      <c r="F26" s="332" t="s">
        <v>296</v>
      </c>
      <c r="G26" s="327" t="s">
        <v>264</v>
      </c>
      <c r="H26" s="401" t="s">
        <v>280</v>
      </c>
      <c r="I26" s="402" t="s">
        <v>321</v>
      </c>
      <c r="J26" s="343" t="s">
        <v>297</v>
      </c>
      <c r="K26" s="343" t="s">
        <v>298</v>
      </c>
      <c r="L26" s="328" cm="1">
        <f t="array" ref="L26">IF($E26="","",SUMPRODUCT(MAX(($S26:$AC26&lt;&gt;"")*$AE$3:$AO$3)))</f>
        <v>0.2</v>
      </c>
      <c r="M26" s="344">
        <f>IF(COUNT($S26:$AC26)=0,"",MAX($S26:$AC26))</f>
        <v>45912</v>
      </c>
      <c r="N26" s="329">
        <f ca="1">IF($M26="","",TODAY()-$M26)</f>
        <v>350</v>
      </c>
      <c r="O26" s="392" t="str">
        <f ca="1">IF($M26="","No Record",IF($L26&gt;=1,"Live",IF($N26&gt;=90,"Stalled 90d+",IF($N26&gt;=60,"Stalled 60d+",IF($N26&gt;=30,"Stalled 30d+","In Progress")))))</f>
        <v>Stalled 90d+</v>
      </c>
      <c r="P26" s="416"/>
      <c r="Q26" s="417"/>
      <c r="R26" s="417"/>
      <c r="S26" s="409">
        <v>45912</v>
      </c>
      <c r="T26" s="330"/>
      <c r="U26" s="330"/>
      <c r="V26" s="330"/>
      <c r="W26" s="330"/>
      <c r="X26" s="330"/>
      <c r="Y26" s="330"/>
      <c r="Z26" s="330"/>
      <c r="AA26" s="330"/>
      <c r="AB26" s="330"/>
      <c r="AC26" s="330"/>
      <c r="AD26" s="363" t="s">
        <v>274</v>
      </c>
    </row>
    <row r="27" spans="1:30" ht="15.75" customHeight="1">
      <c r="A27" s="325">
        <f>IF($E27="","",COUNTA($E$4:$E27))</f>
        <v>24</v>
      </c>
      <c r="B27" s="389" t="str">
        <f>IF($E27="","",IF($M27="","Contact",LOOKUP($L27,$AE$5:$AE$8,$AF$5:$AF$8)))</f>
        <v>In Development</v>
      </c>
      <c r="C27" s="401"/>
      <c r="D27" s="394" t="s">
        <v>319</v>
      </c>
      <c r="E27" s="343" t="s">
        <v>322</v>
      </c>
      <c r="F27" s="332" t="s">
        <v>296</v>
      </c>
      <c r="G27" s="327" t="s">
        <v>264</v>
      </c>
      <c r="H27" s="401" t="s">
        <v>280</v>
      </c>
      <c r="I27" s="402"/>
      <c r="J27" s="343" t="s">
        <v>297</v>
      </c>
      <c r="K27" s="343" t="s">
        <v>298</v>
      </c>
      <c r="L27" s="328" cm="1">
        <f t="array" ref="L27">IF($E27="","",SUMPRODUCT(MAX(($S27:$AC27&lt;&gt;"")*$AE$3:$AO$3)))</f>
        <v>0.5</v>
      </c>
      <c r="M27" s="344">
        <f>IF(COUNT($S27:$AC27)=0,"",MAX($S27:$AC27))</f>
        <v>45993</v>
      </c>
      <c r="N27" s="329">
        <f ca="1">IF($M27="","",TODAY()-$M27)</f>
        <v>269</v>
      </c>
      <c r="O27" s="392" t="str">
        <f ca="1">IF($M27="","No Record",IF($L27&gt;=1,"Live",IF($N27&gt;=90,"Stalled 90d+",IF($N27&gt;=60,"Stalled 60d+",IF($N27&gt;=30,"Stalled 30d+","In Progress")))))</f>
        <v>Stalled 90d+</v>
      </c>
      <c r="P27" s="416"/>
      <c r="Q27" s="417"/>
      <c r="R27" s="417"/>
      <c r="S27" s="409"/>
      <c r="T27" s="330">
        <v>45946</v>
      </c>
      <c r="U27" s="330"/>
      <c r="V27" s="330">
        <v>45992</v>
      </c>
      <c r="W27" s="330">
        <v>45993</v>
      </c>
      <c r="X27" s="330"/>
      <c r="Y27" s="330"/>
      <c r="Z27" s="330"/>
      <c r="AA27" s="330"/>
      <c r="AB27" s="330"/>
      <c r="AC27" s="330"/>
      <c r="AD27" s="363" t="s">
        <v>274</v>
      </c>
    </row>
    <row r="28" spans="1:30" ht="15.75" customHeight="1">
      <c r="A28" s="325">
        <f>IF($E28="","",COUNTA($E$4:$E28))</f>
        <v>25</v>
      </c>
      <c r="B28" s="389" t="str">
        <f>IF($E28="","",IF($M28="","Contact",LOOKUP($L28,$AE$5:$AE$8,$AF$5:$AF$8)))</f>
        <v>In Development</v>
      </c>
      <c r="C28" s="401"/>
      <c r="D28" s="394" t="s">
        <v>319</v>
      </c>
      <c r="E28" s="343" t="s">
        <v>323</v>
      </c>
      <c r="F28" s="332" t="s">
        <v>296</v>
      </c>
      <c r="G28" s="327" t="s">
        <v>264</v>
      </c>
      <c r="H28" s="401" t="s">
        <v>280</v>
      </c>
      <c r="I28" s="402"/>
      <c r="J28" s="343" t="s">
        <v>297</v>
      </c>
      <c r="K28" s="343" t="s">
        <v>298</v>
      </c>
      <c r="L28" s="328" cm="1">
        <f t="array" ref="L28">IF($E28="","",SUMPRODUCT(MAX(($S28:$AC28&lt;&gt;"")*$AE$3:$AO$3)))</f>
        <v>0.5</v>
      </c>
      <c r="M28" s="344">
        <f>IF(COUNT($S28:$AC28)=0,"",MAX($S28:$AC28))</f>
        <v>46235</v>
      </c>
      <c r="N28" s="329">
        <f ca="1">IF($M28="","",TODAY()-$M28)</f>
        <v>27</v>
      </c>
      <c r="O28" s="392" t="str">
        <f ca="1">IF($M28="","No Record",IF($L28&gt;=1,"Live",IF($N28&gt;=90,"Stalled 90d+",IF($N28&gt;=60,"Stalled 60d+",IF($N28&gt;=30,"Stalled 30d+","In Progress")))))</f>
        <v>In Progress</v>
      </c>
      <c r="P28" s="416"/>
      <c r="Q28" s="417"/>
      <c r="R28" s="417"/>
      <c r="S28" s="409"/>
      <c r="T28" s="330"/>
      <c r="U28" s="330"/>
      <c r="V28" s="330"/>
      <c r="W28" s="330">
        <v>46235</v>
      </c>
      <c r="X28" s="330"/>
      <c r="Y28" s="330"/>
      <c r="Z28" s="330"/>
      <c r="AA28" s="330"/>
      <c r="AB28" s="330"/>
      <c r="AC28" s="330"/>
      <c r="AD28" s="363" t="s">
        <v>273</v>
      </c>
    </row>
    <row r="29" spans="1:30" ht="15.75" customHeight="1">
      <c r="A29" s="325">
        <f>IF($E29="","",COUNTA($E$4:$E29))</f>
        <v>26</v>
      </c>
      <c r="B29" s="389" t="str">
        <f>IF($E29="","",IF($M29="","Contact",LOOKUP($L29,$AE$5:$AE$8,$AF$5:$AF$8)))</f>
        <v>NDA/Contract</v>
      </c>
      <c r="C29" s="401"/>
      <c r="D29" s="394" t="s">
        <v>269</v>
      </c>
      <c r="E29" s="343" t="s">
        <v>324</v>
      </c>
      <c r="F29" s="332" t="s">
        <v>296</v>
      </c>
      <c r="G29" s="327" t="s">
        <v>284</v>
      </c>
      <c r="H29" s="401" t="s">
        <v>280</v>
      </c>
      <c r="I29" s="402"/>
      <c r="J29" s="343" t="s">
        <v>297</v>
      </c>
      <c r="K29" s="343" t="s">
        <v>298</v>
      </c>
      <c r="L29" s="328" cm="1">
        <f t="array" ref="L29">IF($E29="","",SUMPRODUCT(MAX(($S29:$AC29&lt;&gt;"")*$AE$3:$AO$3)))</f>
        <v>0.2</v>
      </c>
      <c r="M29" s="344">
        <f>IF(COUNT($S29:$AC29)=0,"",MAX($S29:$AC29))</f>
        <v>45908</v>
      </c>
      <c r="N29" s="329">
        <f ca="1">IF($M29="","",TODAY()-$M29)</f>
        <v>354</v>
      </c>
      <c r="O29" s="392" t="str">
        <f ca="1">IF($M29="","No Record",IF($L29&gt;=1,"Live",IF($N29&gt;=90,"Stalled 90d+",IF($N29&gt;=60,"Stalled 60d+",IF($N29&gt;=30,"Stalled 30d+","In Progress")))))</f>
        <v>Stalled 90d+</v>
      </c>
      <c r="P29" s="416"/>
      <c r="Q29" s="417"/>
      <c r="R29" s="417"/>
      <c r="S29" s="409">
        <v>45908</v>
      </c>
      <c r="T29" s="330"/>
      <c r="U29" s="330"/>
      <c r="V29" s="330"/>
      <c r="W29" s="330"/>
      <c r="X29" s="330"/>
      <c r="Y29" s="330"/>
      <c r="Z29" s="330"/>
      <c r="AA29" s="330"/>
      <c r="AB29" s="330"/>
      <c r="AC29" s="330"/>
      <c r="AD29" s="363" t="s">
        <v>268</v>
      </c>
    </row>
    <row r="30" spans="1:30" ht="15.75" customHeight="1">
      <c r="A30" s="325">
        <f>IF($E30="","",COUNTA($E$4:$E30))</f>
        <v>27</v>
      </c>
      <c r="B30" s="389" t="str">
        <f>IF($E30="","",IF($M30="","Contact",LOOKUP($L30,$AE$5:$AE$8,$AF$5:$AF$8)))</f>
        <v>NDA/Contract</v>
      </c>
      <c r="C30" s="401"/>
      <c r="D30" s="394" t="s">
        <v>269</v>
      </c>
      <c r="E30" s="343" t="s">
        <v>325</v>
      </c>
      <c r="F30" s="332" t="s">
        <v>296</v>
      </c>
      <c r="G30" s="327" t="s">
        <v>284</v>
      </c>
      <c r="H30" s="401" t="s">
        <v>280</v>
      </c>
      <c r="I30" s="402"/>
      <c r="J30" s="343" t="s">
        <v>297</v>
      </c>
      <c r="K30" s="343" t="s">
        <v>298</v>
      </c>
      <c r="L30" s="328" cm="1">
        <f t="array" ref="L30">IF($E30="","",SUMPRODUCT(MAX(($S30:$AC30&lt;&gt;"")*$AE$3:$AO$3)))</f>
        <v>0.2</v>
      </c>
      <c r="M30" s="344">
        <f>IF(COUNT($S30:$AC30)=0,"",MAX($S30:$AC30))</f>
        <v>45957</v>
      </c>
      <c r="N30" s="329">
        <f ca="1">IF($M30="","",TODAY()-$M30)</f>
        <v>305</v>
      </c>
      <c r="O30" s="392" t="str">
        <f ca="1">IF($M30="","No Record",IF($L30&gt;=1,"Live",IF($N30&gt;=90,"Stalled 90d+",IF($N30&gt;=60,"Stalled 60d+",IF($N30&gt;=30,"Stalled 30d+","In Progress")))))</f>
        <v>Stalled 90d+</v>
      </c>
      <c r="P30" s="416"/>
      <c r="Q30" s="417"/>
      <c r="R30" s="417"/>
      <c r="S30" s="409">
        <v>45957</v>
      </c>
      <c r="T30" s="330"/>
      <c r="U30" s="330"/>
      <c r="V30" s="330"/>
      <c r="W30" s="330"/>
      <c r="X30" s="330"/>
      <c r="Y30" s="330"/>
      <c r="Z30" s="330"/>
      <c r="AA30" s="330"/>
      <c r="AB30" s="330"/>
      <c r="AC30" s="330"/>
      <c r="AD30" s="363" t="s">
        <v>268</v>
      </c>
    </row>
    <row r="31" spans="1:30" ht="15.75" customHeight="1">
      <c r="A31" s="325">
        <f>IF($E31="","",COUNTA($E$4:$E31))</f>
        <v>28</v>
      </c>
      <c r="B31" s="389" t="str">
        <f>IF($E31="","",IF($M31="","Contact",LOOKUP($L31,$AE$5:$AE$8,$AF$5:$AF$8)))</f>
        <v>NDA/Contract</v>
      </c>
      <c r="C31" s="401"/>
      <c r="D31" s="394" t="s">
        <v>326</v>
      </c>
      <c r="E31" s="343" t="s">
        <v>327</v>
      </c>
      <c r="F31" s="332" t="s">
        <v>296</v>
      </c>
      <c r="G31" s="327" t="s">
        <v>279</v>
      </c>
      <c r="H31" s="401" t="s">
        <v>280</v>
      </c>
      <c r="I31" s="402"/>
      <c r="J31" s="343" t="s">
        <v>297</v>
      </c>
      <c r="K31" s="343" t="s">
        <v>302</v>
      </c>
      <c r="L31" s="328" cm="1">
        <f t="array" ref="L31">IF($E31="","",SUMPRODUCT(MAX(($S31:$AC31&lt;&gt;"")*$AE$3:$AO$3)))</f>
        <v>0.3</v>
      </c>
      <c r="M31" s="344">
        <f>IF(COUNT($S31:$AC31)=0,"",MAX($S31:$AC31))</f>
        <v>46001</v>
      </c>
      <c r="N31" s="329">
        <f ca="1">IF($M31="","",TODAY()-$M31)</f>
        <v>261</v>
      </c>
      <c r="O31" s="392" t="str">
        <f ca="1">IF($M31="","No Record",IF($L31&gt;=1,"Live",IF($N31&gt;=90,"Stalled 90d+",IF($N31&gt;=60,"Stalled 60d+",IF($N31&gt;=30,"Stalled 30d+","In Progress")))))</f>
        <v>Stalled 90d+</v>
      </c>
      <c r="P31" s="416"/>
      <c r="Q31" s="417"/>
      <c r="R31" s="417"/>
      <c r="S31" s="409"/>
      <c r="T31" s="330">
        <v>46001</v>
      </c>
      <c r="U31" s="330"/>
      <c r="V31" s="330"/>
      <c r="W31" s="330"/>
      <c r="X31" s="330"/>
      <c r="Y31" s="330"/>
      <c r="Z31" s="330"/>
      <c r="AA31" s="330"/>
      <c r="AB31" s="330"/>
      <c r="AC31" s="330"/>
      <c r="AD31" s="363" t="s">
        <v>268</v>
      </c>
    </row>
    <row r="32" spans="1:30" ht="15.75" customHeight="1">
      <c r="A32" s="325">
        <f>IF($E32="","",COUNTA($E$4:$E32))</f>
        <v>29</v>
      </c>
      <c r="B32" s="389" t="str">
        <f>IF($E32="","",IF($M32="","Contact",LOOKUP($L32,$AE$5:$AE$8,$AF$5:$AF$8)))</f>
        <v>In Development</v>
      </c>
      <c r="C32" s="401"/>
      <c r="D32" s="394" t="s">
        <v>269</v>
      </c>
      <c r="E32" s="343" t="s">
        <v>328</v>
      </c>
      <c r="F32" s="332" t="s">
        <v>296</v>
      </c>
      <c r="G32" s="327" t="s">
        <v>264</v>
      </c>
      <c r="H32" s="401" t="s">
        <v>280</v>
      </c>
      <c r="I32" s="402"/>
      <c r="J32" s="343" t="s">
        <v>297</v>
      </c>
      <c r="K32" s="343" t="s">
        <v>298</v>
      </c>
      <c r="L32" s="328" cm="1">
        <f t="array" ref="L32">IF($E32="","",SUMPRODUCT(MAX(($S32:$AC32&lt;&gt;"")*$AE$3:$AO$3)))</f>
        <v>0.5</v>
      </c>
      <c r="M32" s="344">
        <f>IF(COUNT($S32:$AC32)=0,"",MAX($S32:$AC32))</f>
        <v>46246</v>
      </c>
      <c r="N32" s="329">
        <f ca="1">IF($M32="","",TODAY()-$M32)</f>
        <v>16</v>
      </c>
      <c r="O32" s="392" t="str">
        <f ca="1">IF($M32="","No Record",IF($L32&gt;=1,"Live",IF($N32&gt;=90,"Stalled 90d+",IF($N32&gt;=60,"Stalled 60d+",IF($N32&gt;=30,"Stalled 30d+","In Progress")))))</f>
        <v>In Progress</v>
      </c>
      <c r="P32" s="416"/>
      <c r="Q32" s="417"/>
      <c r="R32" s="417"/>
      <c r="S32" s="409">
        <v>46242</v>
      </c>
      <c r="T32" s="330">
        <v>46243</v>
      </c>
      <c r="U32" s="330">
        <v>46244</v>
      </c>
      <c r="V32" s="330">
        <v>46245</v>
      </c>
      <c r="W32" s="330">
        <v>46246</v>
      </c>
      <c r="X32" s="330"/>
      <c r="Y32" s="330"/>
      <c r="Z32" s="330"/>
      <c r="AA32" s="330"/>
      <c r="AB32" s="330"/>
      <c r="AC32" s="330"/>
      <c r="AD32" s="363" t="s">
        <v>273</v>
      </c>
    </row>
    <row r="33" spans="1:30" ht="15.75" customHeight="1">
      <c r="A33" s="325">
        <f>IF($E33="","",COUNTA($E$4:$E33))</f>
        <v>30</v>
      </c>
      <c r="B33" s="389" t="str">
        <f>IF($E33="","",IF($M33="","Contact",LOOKUP($L33,$AE$5:$AE$8,$AF$5:$AF$8)))</f>
        <v>Contact</v>
      </c>
      <c r="C33" s="401"/>
      <c r="D33" s="394" t="s">
        <v>269</v>
      </c>
      <c r="E33" s="343" t="s">
        <v>329</v>
      </c>
      <c r="F33" s="332" t="s">
        <v>296</v>
      </c>
      <c r="G33" s="327" t="s">
        <v>264</v>
      </c>
      <c r="H33" s="401" t="s">
        <v>280</v>
      </c>
      <c r="I33" s="402"/>
      <c r="J33" s="343" t="s">
        <v>297</v>
      </c>
      <c r="K33" s="343" t="s">
        <v>330</v>
      </c>
      <c r="L33" s="328" cm="1">
        <f t="array" ref="L33">IF($E33="","",SUMPRODUCT(MAX(($S33:$AC33&lt;&gt;"")*$AE$3:$AO$3)))</f>
        <v>0</v>
      </c>
      <c r="M33" s="344" t="str">
        <f>IF(COUNT($S33:$AC33)=0,"",MAX($S33:$AC33))</f>
        <v/>
      </c>
      <c r="N33" s="329" t="str">
        <f ca="1">IF($M33="","",TODAY()-$M33)</f>
        <v/>
      </c>
      <c r="O33" s="392" t="str">
        <f>IF($M33="","No Record",IF($L33&gt;=1,"Live",IF($N33&gt;=90,"Stalled 90d+",IF($N33&gt;=60,"Stalled 60d+",IF($N33&gt;=30,"Stalled 30d+","In Progress")))))</f>
        <v>No Record</v>
      </c>
      <c r="P33" s="416"/>
      <c r="Q33" s="417"/>
      <c r="R33" s="417"/>
      <c r="S33" s="409"/>
      <c r="T33" s="330"/>
      <c r="U33" s="330"/>
      <c r="V33" s="330"/>
      <c r="W33" s="330"/>
      <c r="X33" s="330"/>
      <c r="Y33" s="330"/>
      <c r="Z33" s="330"/>
      <c r="AA33" s="330"/>
      <c r="AB33" s="330"/>
      <c r="AC33" s="330"/>
      <c r="AD33" s="363" t="s">
        <v>274</v>
      </c>
    </row>
    <row r="34" spans="1:30" ht="15.75" customHeight="1">
      <c r="A34" s="325">
        <f>IF($E34="","",COUNTA($E$4:$E34))</f>
        <v>31</v>
      </c>
      <c r="B34" s="389" t="str">
        <f>IF($E34="","",IF($M34="","Contact",LOOKUP($L34,$AE$5:$AE$8,$AF$5:$AF$8)))</f>
        <v>In Development</v>
      </c>
      <c r="C34" s="401"/>
      <c r="D34" s="394" t="s">
        <v>269</v>
      </c>
      <c r="E34" s="343" t="s">
        <v>331</v>
      </c>
      <c r="F34" s="332" t="s">
        <v>296</v>
      </c>
      <c r="G34" s="327" t="s">
        <v>264</v>
      </c>
      <c r="H34" s="401" t="s">
        <v>280</v>
      </c>
      <c r="I34" s="402"/>
      <c r="J34" s="343" t="s">
        <v>297</v>
      </c>
      <c r="K34" s="343" t="s">
        <v>298</v>
      </c>
      <c r="L34" s="328" cm="1">
        <f t="array" ref="L34">IF($E34="","",SUMPRODUCT(MAX(($S34:$AC34&lt;&gt;"")*$AE$3:$AO$3)))</f>
        <v>0.5</v>
      </c>
      <c r="M34" s="344">
        <f>IF(COUNT($S34:$AC34)=0,"",MAX($S34:$AC34))</f>
        <v>45971</v>
      </c>
      <c r="N34" s="329">
        <f ca="1">IF($M34="","",TODAY()-$M34)</f>
        <v>291</v>
      </c>
      <c r="O34" s="392" t="str">
        <f ca="1">IF($M34="","No Record",IF($L34&gt;=1,"Live",IF($N34&gt;=90,"Stalled 90d+",IF($N34&gt;=60,"Stalled 60d+",IF($N34&gt;=30,"Stalled 30d+","In Progress")))))</f>
        <v>Stalled 90d+</v>
      </c>
      <c r="P34" s="416"/>
      <c r="Q34" s="417"/>
      <c r="R34" s="417"/>
      <c r="S34" s="409">
        <v>45971</v>
      </c>
      <c r="T34" s="330">
        <v>45971</v>
      </c>
      <c r="U34" s="330">
        <v>45971</v>
      </c>
      <c r="V34" s="330">
        <v>45971</v>
      </c>
      <c r="W34" s="330">
        <v>45971</v>
      </c>
      <c r="X34" s="330"/>
      <c r="Y34" s="330"/>
      <c r="Z34" s="330"/>
      <c r="AA34" s="330"/>
      <c r="AB34" s="330"/>
      <c r="AC34" s="330"/>
      <c r="AD34" s="363" t="s">
        <v>273</v>
      </c>
    </row>
    <row r="35" spans="1:30" ht="15.75" customHeight="1">
      <c r="A35" s="325">
        <f>IF($E35="","",COUNTA($E$4:$E35))</f>
        <v>32</v>
      </c>
      <c r="B35" s="389" t="str">
        <f>IF($E35="","",IF($M35="","Contact",LOOKUP($L35,$AE$5:$AE$8,$AF$5:$AF$8)))</f>
        <v>Contact</v>
      </c>
      <c r="C35" s="401"/>
      <c r="D35" s="394" t="s">
        <v>269</v>
      </c>
      <c r="E35" s="343" t="s">
        <v>332</v>
      </c>
      <c r="F35" s="332" t="s">
        <v>296</v>
      </c>
      <c r="G35" s="327" t="s">
        <v>279</v>
      </c>
      <c r="H35" s="401" t="s">
        <v>280</v>
      </c>
      <c r="I35" s="402"/>
      <c r="J35" s="343" t="s">
        <v>297</v>
      </c>
      <c r="K35" s="343" t="s">
        <v>298</v>
      </c>
      <c r="L35" s="328" cm="1">
        <f t="array" ref="L35">IF($E35="","",SUMPRODUCT(MAX(($S35:$AC35&lt;&gt;"")*$AE$3:$AO$3)))</f>
        <v>0</v>
      </c>
      <c r="M35" s="344" t="str">
        <f>IF(COUNT($S35:$AC35)=0,"",MAX($S35:$AC35))</f>
        <v/>
      </c>
      <c r="N35" s="329" t="str">
        <f ca="1">IF($M35="","",TODAY()-$M35)</f>
        <v/>
      </c>
      <c r="O35" s="392" t="str">
        <f>IF($M35="","No Record",IF($L35&gt;=1,"Live",IF($N35&gt;=90,"Stalled 90d+",IF($N35&gt;=60,"Stalled 60d+",IF($N35&gt;=30,"Stalled 30d+","In Progress")))))</f>
        <v>No Record</v>
      </c>
      <c r="P35" s="416"/>
      <c r="Q35" s="417"/>
      <c r="R35" s="417"/>
      <c r="S35" s="409"/>
      <c r="T35" s="330"/>
      <c r="U35" s="330"/>
      <c r="V35" s="330"/>
      <c r="W35" s="330"/>
      <c r="X35" s="330"/>
      <c r="Y35" s="330"/>
      <c r="Z35" s="330"/>
      <c r="AA35" s="330"/>
      <c r="AB35" s="330"/>
      <c r="AC35" s="330"/>
      <c r="AD35" s="363" t="s">
        <v>274</v>
      </c>
    </row>
    <row r="36" spans="1:30" ht="15.75" customHeight="1">
      <c r="A36" s="325">
        <f>IF($E36="","",COUNTA($E$4:$E36))</f>
        <v>33</v>
      </c>
      <c r="B36" s="389" t="str">
        <f>IF($E36="","",IF($M36="","Contact",LOOKUP($L36,$AE$5:$AE$8,$AF$5:$AF$8)))</f>
        <v>Contact</v>
      </c>
      <c r="C36" s="401"/>
      <c r="D36" s="394" t="s">
        <v>306</v>
      </c>
      <c r="E36" s="343" t="s">
        <v>333</v>
      </c>
      <c r="F36" s="332" t="s">
        <v>296</v>
      </c>
      <c r="G36" s="327" t="s">
        <v>264</v>
      </c>
      <c r="H36" s="401" t="s">
        <v>265</v>
      </c>
      <c r="I36" s="402"/>
      <c r="J36" s="343" t="s">
        <v>297</v>
      </c>
      <c r="K36" s="343" t="s">
        <v>305</v>
      </c>
      <c r="L36" s="328" cm="1">
        <f t="array" ref="L36">IF($E36="","",SUMPRODUCT(MAX(($S36:$AC36&lt;&gt;"")*$AE$3:$AO$3)))</f>
        <v>0</v>
      </c>
      <c r="M36" s="344" t="str">
        <f>IF(COUNT($S36:$AC36)=0,"",MAX($S36:$AC36))</f>
        <v/>
      </c>
      <c r="N36" s="329" t="str">
        <f ca="1">IF($M36="","",TODAY()-$M36)</f>
        <v/>
      </c>
      <c r="O36" s="392" t="str">
        <f>IF($M36="","No Record",IF($L36&gt;=1,"Live",IF($N36&gt;=90,"Stalled 90d+",IF($N36&gt;=60,"Stalled 60d+",IF($N36&gt;=30,"Stalled 30d+","In Progress")))))</f>
        <v>No Record</v>
      </c>
      <c r="P36" s="416"/>
      <c r="Q36" s="417"/>
      <c r="R36" s="417"/>
      <c r="S36" s="409"/>
      <c r="T36" s="330"/>
      <c r="U36" s="330"/>
      <c r="V36" s="330"/>
      <c r="W36" s="330"/>
      <c r="X36" s="330"/>
      <c r="Y36" s="330"/>
      <c r="Z36" s="330"/>
      <c r="AA36" s="330"/>
      <c r="AB36" s="330"/>
      <c r="AC36" s="330"/>
      <c r="AD36" s="363" t="s">
        <v>274</v>
      </c>
    </row>
    <row r="37" spans="1:30" ht="15.75" customHeight="1">
      <c r="A37" s="325">
        <f>IF($E37="","",COUNTA($E$4:$E37))</f>
        <v>34</v>
      </c>
      <c r="B37" s="389" t="str">
        <f>IF($E37="","",IF($M37="","Contact",LOOKUP($L37,$AE$5:$AE$8,$AF$5:$AF$8)))</f>
        <v>Contact</v>
      </c>
      <c r="C37" s="401"/>
      <c r="D37" s="394" t="s">
        <v>326</v>
      </c>
      <c r="E37" s="343" t="s">
        <v>334</v>
      </c>
      <c r="F37" s="332" t="s">
        <v>296</v>
      </c>
      <c r="G37" s="327" t="s">
        <v>264</v>
      </c>
      <c r="H37" s="401" t="s">
        <v>280</v>
      </c>
      <c r="I37" s="402"/>
      <c r="J37" s="343" t="s">
        <v>297</v>
      </c>
      <c r="K37" s="343" t="s">
        <v>302</v>
      </c>
      <c r="L37" s="328" cm="1">
        <f t="array" ref="L37">IF($E37="","",SUMPRODUCT(MAX(($S37:$AC37&lt;&gt;"")*$AE$3:$AO$3)))</f>
        <v>0</v>
      </c>
      <c r="M37" s="344" t="str">
        <f>IF(COUNT($S37:$AC37)=0,"",MAX($S37:$AC37))</f>
        <v/>
      </c>
      <c r="N37" s="329" t="str">
        <f ca="1">IF($M37="","",TODAY()-$M37)</f>
        <v/>
      </c>
      <c r="O37" s="392" t="str">
        <f>IF($M37="","No Record",IF($L37&gt;=1,"Live",IF($N37&gt;=90,"Stalled 90d+",IF($N37&gt;=60,"Stalled 60d+",IF($N37&gt;=30,"Stalled 30d+","In Progress")))))</f>
        <v>No Record</v>
      </c>
      <c r="P37" s="416"/>
      <c r="Q37" s="417"/>
      <c r="R37" s="417"/>
      <c r="S37" s="409"/>
      <c r="T37" s="330"/>
      <c r="U37" s="330"/>
      <c r="V37" s="330"/>
      <c r="W37" s="330"/>
      <c r="X37" s="330"/>
      <c r="Y37" s="330"/>
      <c r="Z37" s="330"/>
      <c r="AA37" s="330"/>
      <c r="AB37" s="330"/>
      <c r="AC37" s="330"/>
      <c r="AD37" s="363" t="s">
        <v>274</v>
      </c>
    </row>
    <row r="38" spans="1:30" ht="15.75" customHeight="1">
      <c r="A38" s="325">
        <f>IF($E38="","",COUNTA($E$4:$E38))</f>
        <v>35</v>
      </c>
      <c r="B38" s="389" t="str">
        <f>IF($E38="","",IF($M38="","Contact",LOOKUP($L38,$AE$5:$AE$8,$AF$5:$AF$8)))</f>
        <v>Contact</v>
      </c>
      <c r="C38" s="401"/>
      <c r="D38" s="394" t="s">
        <v>269</v>
      </c>
      <c r="E38" s="343" t="s">
        <v>335</v>
      </c>
      <c r="F38" s="332" t="s">
        <v>296</v>
      </c>
      <c r="G38" s="327" t="s">
        <v>279</v>
      </c>
      <c r="H38" s="401" t="s">
        <v>280</v>
      </c>
      <c r="I38" s="402"/>
      <c r="J38" s="343" t="s">
        <v>297</v>
      </c>
      <c r="K38" s="343" t="s">
        <v>298</v>
      </c>
      <c r="L38" s="328" cm="1">
        <f t="array" ref="L38">IF($E38="","",SUMPRODUCT(MAX(($S38:$AC38&lt;&gt;"")*$AE$3:$AO$3)))</f>
        <v>0</v>
      </c>
      <c r="M38" s="344" t="str">
        <f>IF(COUNT($S38:$AC38)=0,"",MAX($S38:$AC38))</f>
        <v/>
      </c>
      <c r="N38" s="329" t="str">
        <f ca="1">IF($M38="","",TODAY()-$M38)</f>
        <v/>
      </c>
      <c r="O38" s="392" t="str">
        <f>IF($M38="","No Record",IF($L38&gt;=1,"Live",IF($N38&gt;=90,"Stalled 90d+",IF($N38&gt;=60,"Stalled 60d+",IF($N38&gt;=30,"Stalled 30d+","In Progress")))))</f>
        <v>No Record</v>
      </c>
      <c r="P38" s="416"/>
      <c r="Q38" s="417"/>
      <c r="R38" s="417"/>
      <c r="S38" s="409"/>
      <c r="T38" s="330"/>
      <c r="U38" s="330"/>
      <c r="V38" s="330"/>
      <c r="W38" s="330"/>
      <c r="X38" s="330"/>
      <c r="Y38" s="330"/>
      <c r="Z38" s="330"/>
      <c r="AA38" s="330"/>
      <c r="AB38" s="330"/>
      <c r="AC38" s="330"/>
      <c r="AD38" s="363" t="s">
        <v>274</v>
      </c>
    </row>
    <row r="39" spans="1:30" ht="15.75" customHeight="1">
      <c r="A39" s="325">
        <f>IF($E39="","",COUNTA($E$4:$E39))</f>
        <v>36</v>
      </c>
      <c r="B39" s="389" t="str">
        <f>IF($E39="","",IF($M39="","Contact",LOOKUP($L39,$AE$5:$AE$8,$AF$5:$AF$8)))</f>
        <v>Contact</v>
      </c>
      <c r="C39" s="401"/>
      <c r="D39" s="394" t="s">
        <v>269</v>
      </c>
      <c r="E39" s="343" t="s">
        <v>336</v>
      </c>
      <c r="F39" s="332" t="s">
        <v>296</v>
      </c>
      <c r="G39" s="327" t="s">
        <v>264</v>
      </c>
      <c r="H39" s="401" t="s">
        <v>280</v>
      </c>
      <c r="I39" s="402"/>
      <c r="J39" s="343" t="s">
        <v>297</v>
      </c>
      <c r="K39" s="343" t="s">
        <v>298</v>
      </c>
      <c r="L39" s="328" cm="1">
        <f t="array" ref="L39">IF($E39="","",SUMPRODUCT(MAX(($S39:$AC39&lt;&gt;"")*$AE$3:$AO$3)))</f>
        <v>0</v>
      </c>
      <c r="M39" s="344" t="str">
        <f>IF(COUNT($S39:$AC39)=0,"",MAX($S39:$AC39))</f>
        <v/>
      </c>
      <c r="N39" s="329" t="str">
        <f ca="1">IF($M39="","",TODAY()-$M39)</f>
        <v/>
      </c>
      <c r="O39" s="392" t="str">
        <f>IF($M39="","No Record",IF($L39&gt;=1,"Live",IF($N39&gt;=90,"Stalled 90d+",IF($N39&gt;=60,"Stalled 60d+",IF($N39&gt;=30,"Stalled 30d+","In Progress")))))</f>
        <v>No Record</v>
      </c>
      <c r="P39" s="416"/>
      <c r="Q39" s="417"/>
      <c r="R39" s="417"/>
      <c r="S39" s="409"/>
      <c r="T39" s="330"/>
      <c r="U39" s="330"/>
      <c r="V39" s="330"/>
      <c r="W39" s="330"/>
      <c r="X39" s="330"/>
      <c r="Y39" s="330"/>
      <c r="Z39" s="330"/>
      <c r="AA39" s="330"/>
      <c r="AB39" s="330"/>
      <c r="AC39" s="330"/>
      <c r="AD39" s="363" t="s">
        <v>274</v>
      </c>
    </row>
    <row r="40" spans="1:30" ht="15.75" customHeight="1">
      <c r="A40" s="325">
        <f>IF($E40="","",COUNTA($E$4:$E40))</f>
        <v>37</v>
      </c>
      <c r="B40" s="389" t="str">
        <f>IF($E40="","",IF($M40="","Contact",LOOKUP($L40,$AE$5:$AE$8,$AF$5:$AF$8)))</f>
        <v>Contact</v>
      </c>
      <c r="C40" s="401"/>
      <c r="D40" s="394" t="s">
        <v>269</v>
      </c>
      <c r="E40" s="343" t="s">
        <v>337</v>
      </c>
      <c r="F40" s="332" t="s">
        <v>296</v>
      </c>
      <c r="G40" s="327" t="s">
        <v>264</v>
      </c>
      <c r="H40" s="401" t="s">
        <v>280</v>
      </c>
      <c r="I40" s="402"/>
      <c r="J40" s="343" t="s">
        <v>297</v>
      </c>
      <c r="K40" s="343" t="s">
        <v>298</v>
      </c>
      <c r="L40" s="328" cm="1">
        <f t="array" ref="L40">IF($E40="","",SUMPRODUCT(MAX(($S40:$AC40&lt;&gt;"")*$AE$3:$AO$3)))</f>
        <v>0</v>
      </c>
      <c r="M40" s="344" t="str">
        <f>IF(COUNT($S40:$AC40)=0,"",MAX($S40:$AC40))</f>
        <v/>
      </c>
      <c r="N40" s="329" t="str">
        <f ca="1">IF($M40="","",TODAY()-$M40)</f>
        <v/>
      </c>
      <c r="O40" s="392" t="str">
        <f>IF($M40="","No Record",IF($L40&gt;=1,"Live",IF($N40&gt;=90,"Stalled 90d+",IF($N40&gt;=60,"Stalled 60d+",IF($N40&gt;=30,"Stalled 30d+","In Progress")))))</f>
        <v>No Record</v>
      </c>
      <c r="P40" s="416"/>
      <c r="Q40" s="417"/>
      <c r="R40" s="417"/>
      <c r="S40" s="409"/>
      <c r="T40" s="330"/>
      <c r="U40" s="330"/>
      <c r="V40" s="330"/>
      <c r="W40" s="330"/>
      <c r="X40" s="330"/>
      <c r="Y40" s="330"/>
      <c r="Z40" s="330"/>
      <c r="AA40" s="330"/>
      <c r="AB40" s="330"/>
      <c r="AC40" s="330"/>
      <c r="AD40" s="363" t="s">
        <v>274</v>
      </c>
    </row>
    <row r="41" spans="1:30" ht="15.75" customHeight="1">
      <c r="A41" s="325">
        <f>IF($E41="","",COUNTA($E$4:$E41))</f>
        <v>38</v>
      </c>
      <c r="B41" s="389" t="str">
        <f>IF($E41="","",IF($M41="","Contact",LOOKUP($L41,$AE$5:$AE$8,$AF$5:$AF$8)))</f>
        <v>NDA/Contract</v>
      </c>
      <c r="C41" s="401"/>
      <c r="D41" s="394" t="s">
        <v>269</v>
      </c>
      <c r="E41" s="343" t="s">
        <v>338</v>
      </c>
      <c r="F41" s="332" t="s">
        <v>296</v>
      </c>
      <c r="G41" s="327" t="s">
        <v>264</v>
      </c>
      <c r="H41" s="401" t="s">
        <v>280</v>
      </c>
      <c r="I41" s="402"/>
      <c r="J41" s="343" t="s">
        <v>297</v>
      </c>
      <c r="K41" s="343" t="s">
        <v>298</v>
      </c>
      <c r="L41" s="328" cm="1">
        <f t="array" ref="L41">IF($E41="","",SUMPRODUCT(MAX(($S41:$AC41&lt;&gt;"")*$AE$3:$AO$3)))</f>
        <v>0.2</v>
      </c>
      <c r="M41" s="344">
        <f>IF(COUNT($S41:$AC41)=0,"",MAX($S41:$AC41))</f>
        <v>46275</v>
      </c>
      <c r="N41" s="329">
        <f ca="1">IF($M41="","",TODAY()-$M41)</f>
        <v>-13</v>
      </c>
      <c r="O41" s="392" t="str">
        <f ca="1">IF($M41="","No Record",IF($L41&gt;=1,"Live",IF($N41&gt;=90,"Stalled 90d+",IF($N41&gt;=60,"Stalled 60d+",IF($N41&gt;=30,"Stalled 30d+","In Progress")))))</f>
        <v>In Progress</v>
      </c>
      <c r="P41" s="416"/>
      <c r="Q41" s="417"/>
      <c r="R41" s="417"/>
      <c r="S41" s="409">
        <v>46275</v>
      </c>
      <c r="T41" s="330"/>
      <c r="U41" s="330"/>
      <c r="V41" s="330"/>
      <c r="W41" s="330"/>
      <c r="X41" s="330"/>
      <c r="Y41" s="330"/>
      <c r="Z41" s="330"/>
      <c r="AA41" s="330"/>
      <c r="AB41" s="330"/>
      <c r="AC41" s="330"/>
      <c r="AD41" s="363" t="s">
        <v>274</v>
      </c>
    </row>
    <row r="42" spans="1:30" ht="15.75" customHeight="1">
      <c r="A42" s="325">
        <f>IF($E42="","",COUNTA($E$4:$E42))</f>
        <v>39</v>
      </c>
      <c r="B42" s="389" t="str">
        <f>IF($E42="","",IF($M42="","Contact",LOOKUP($L42,$AE$5:$AE$8,$AF$5:$AF$8)))</f>
        <v>In Development</v>
      </c>
      <c r="C42" s="401"/>
      <c r="D42" s="394" t="s">
        <v>326</v>
      </c>
      <c r="E42" s="343" t="s">
        <v>339</v>
      </c>
      <c r="F42" s="332" t="s">
        <v>296</v>
      </c>
      <c r="G42" s="327" t="s">
        <v>264</v>
      </c>
      <c r="H42" s="401" t="s">
        <v>280</v>
      </c>
      <c r="I42" s="402"/>
      <c r="J42" s="343" t="s">
        <v>297</v>
      </c>
      <c r="K42" s="343" t="s">
        <v>302</v>
      </c>
      <c r="L42" s="328" cm="1">
        <f t="array" ref="L42">IF($E42="","",SUMPRODUCT(MAX(($S42:$AC42&lt;&gt;"")*$AE$3:$AO$3)))</f>
        <v>0.5</v>
      </c>
      <c r="M42" s="344">
        <f>IF(COUNT($S42:$AC42)=0,"",MAX($S42:$AC42))</f>
        <v>46223</v>
      </c>
      <c r="N42" s="329">
        <f ca="1">IF($M42="","",TODAY()-$M42)</f>
        <v>39</v>
      </c>
      <c r="O42" s="392" t="str">
        <f ca="1">IF($M42="","No Record",IF($L42&gt;=1,"Live",IF($N42&gt;=90,"Stalled 90d+",IF($N42&gt;=60,"Stalled 60d+",IF($N42&gt;=30,"Stalled 30d+","In Progress")))))</f>
        <v>Stalled 30d+</v>
      </c>
      <c r="P42" s="416"/>
      <c r="Q42" s="417"/>
      <c r="R42" s="417"/>
      <c r="S42" s="409">
        <v>46178</v>
      </c>
      <c r="T42" s="330">
        <v>46223</v>
      </c>
      <c r="U42" s="330">
        <v>46223</v>
      </c>
      <c r="V42" s="330">
        <v>46223</v>
      </c>
      <c r="W42" s="330">
        <v>46219</v>
      </c>
      <c r="X42" s="330"/>
      <c r="Y42" s="330"/>
      <c r="Z42" s="330"/>
      <c r="AA42" s="330"/>
      <c r="AB42" s="330"/>
      <c r="AC42" s="330"/>
      <c r="AD42" s="363" t="s">
        <v>274</v>
      </c>
    </row>
    <row r="43" spans="1:30" ht="15.75" customHeight="1">
      <c r="A43" s="325">
        <f>IF($E43="","",COUNTA($E$4:$E43))</f>
        <v>40</v>
      </c>
      <c r="B43" s="389" t="str">
        <f>IF($E43="","",IF($M43="","Contact",LOOKUP($L43,$AE$5:$AE$8,$AF$5:$AF$8)))</f>
        <v>Contact</v>
      </c>
      <c r="C43" s="401"/>
      <c r="D43" s="394" t="s">
        <v>269</v>
      </c>
      <c r="E43" s="343" t="s">
        <v>340</v>
      </c>
      <c r="F43" s="332" t="s">
        <v>296</v>
      </c>
      <c r="G43" s="327" t="s">
        <v>279</v>
      </c>
      <c r="H43" s="401" t="s">
        <v>280</v>
      </c>
      <c r="I43" s="402"/>
      <c r="J43" s="343" t="s">
        <v>297</v>
      </c>
      <c r="K43" s="343" t="s">
        <v>298</v>
      </c>
      <c r="L43" s="328" cm="1">
        <f t="array" ref="L43">IF($E43="","",SUMPRODUCT(MAX(($S43:$AC43&lt;&gt;"")*$AE$3:$AO$3)))</f>
        <v>0</v>
      </c>
      <c r="M43" s="344" t="str">
        <f>IF(COUNT($S43:$AC43)=0,"",MAX($S43:$AC43))</f>
        <v/>
      </c>
      <c r="N43" s="329" t="str">
        <f ca="1">IF($M43="","",TODAY()-$M43)</f>
        <v/>
      </c>
      <c r="O43" s="392" t="str">
        <f>IF($M43="","No Record",IF($L43&gt;=1,"Live",IF($N43&gt;=90,"Stalled 90d+",IF($N43&gt;=60,"Stalled 60d+",IF($N43&gt;=30,"Stalled 30d+","In Progress")))))</f>
        <v>No Record</v>
      </c>
      <c r="P43" s="416"/>
      <c r="Q43" s="417"/>
      <c r="R43" s="417"/>
      <c r="S43" s="409"/>
      <c r="T43" s="330"/>
      <c r="U43" s="330"/>
      <c r="V43" s="330"/>
      <c r="W43" s="330"/>
      <c r="X43" s="330"/>
      <c r="Y43" s="330"/>
      <c r="Z43" s="330"/>
      <c r="AA43" s="330"/>
      <c r="AB43" s="330"/>
      <c r="AC43" s="330"/>
      <c r="AD43" s="363" t="s">
        <v>274</v>
      </c>
    </row>
    <row r="44" spans="1:30" ht="15.75" customHeight="1">
      <c r="A44" s="325">
        <f>IF($E44="","",COUNTA($E$4:$E44))</f>
        <v>41</v>
      </c>
      <c r="B44" s="389" t="str">
        <f>IF($E44="","",IF($M44="","Contact",LOOKUP($L44,$AE$5:$AE$8,$AF$5:$AF$8)))</f>
        <v>In Development</v>
      </c>
      <c r="C44" s="401"/>
      <c r="D44" s="394" t="s">
        <v>269</v>
      </c>
      <c r="E44" s="343" t="s">
        <v>341</v>
      </c>
      <c r="F44" s="332" t="s">
        <v>296</v>
      </c>
      <c r="G44" s="327" t="s">
        <v>279</v>
      </c>
      <c r="H44" s="401" t="s">
        <v>280</v>
      </c>
      <c r="I44" s="402"/>
      <c r="J44" s="343" t="s">
        <v>297</v>
      </c>
      <c r="K44" s="343" t="s">
        <v>298</v>
      </c>
      <c r="L44" s="328" cm="1">
        <f t="array" ref="L44">IF($E44="","",SUMPRODUCT(MAX(($S44:$AC44&lt;&gt;"")*$AE$3:$AO$3)))</f>
        <v>0.5</v>
      </c>
      <c r="M44" s="344">
        <f>IF(COUNT($S44:$AC44)=0,"",MAX($S44:$AC44))</f>
        <v>46248</v>
      </c>
      <c r="N44" s="329">
        <f ca="1">IF($M44="","",TODAY()-$M44)</f>
        <v>14</v>
      </c>
      <c r="O44" s="392" t="str">
        <f ca="1">IF($M44="","No Record",IF($L44&gt;=1,"Live",IF($N44&gt;=90,"Stalled 90d+",IF($N44&gt;=60,"Stalled 60d+",IF($N44&gt;=30,"Stalled 30d+","In Progress")))))</f>
        <v>In Progress</v>
      </c>
      <c r="P44" s="416"/>
      <c r="Q44" s="417"/>
      <c r="R44" s="417"/>
      <c r="S44" s="409">
        <v>46244</v>
      </c>
      <c r="T44" s="330">
        <v>46245</v>
      </c>
      <c r="U44" s="330">
        <v>46246</v>
      </c>
      <c r="V44" s="330">
        <v>46247</v>
      </c>
      <c r="W44" s="330">
        <v>46248</v>
      </c>
      <c r="X44" s="330"/>
      <c r="Y44" s="330"/>
      <c r="Z44" s="330"/>
      <c r="AA44" s="330"/>
      <c r="AB44" s="330"/>
      <c r="AC44" s="330"/>
      <c r="AD44" s="363" t="s">
        <v>274</v>
      </c>
    </row>
    <row r="45" spans="1:30" ht="15.75" customHeight="1">
      <c r="A45" s="325">
        <f>IF($E45="","",COUNTA($E$4:$E45))</f>
        <v>42</v>
      </c>
      <c r="B45" s="389" t="str">
        <f>IF($E45="","",IF($M45="","Contact",LOOKUP($L45,$AE$5:$AE$8,$AF$5:$AF$8)))</f>
        <v>Contact</v>
      </c>
      <c r="C45" s="401"/>
      <c r="D45" s="394" t="s">
        <v>269</v>
      </c>
      <c r="E45" s="343" t="s">
        <v>342</v>
      </c>
      <c r="F45" s="332" t="s">
        <v>296</v>
      </c>
      <c r="G45" s="327" t="s">
        <v>279</v>
      </c>
      <c r="H45" s="401" t="s">
        <v>280</v>
      </c>
      <c r="I45" s="402"/>
      <c r="J45" s="343" t="s">
        <v>297</v>
      </c>
      <c r="K45" s="343" t="s">
        <v>298</v>
      </c>
      <c r="L45" s="328" cm="1">
        <f t="array" ref="L45">IF($E45="","",SUMPRODUCT(MAX(($S45:$AC45&lt;&gt;"")*$AE$3:$AO$3)))</f>
        <v>0</v>
      </c>
      <c r="M45" s="344" t="str">
        <f>IF(COUNT($S45:$AC45)=0,"",MAX($S45:$AC45))</f>
        <v/>
      </c>
      <c r="N45" s="329" t="str">
        <f ca="1">IF($M45="","",TODAY()-$M45)</f>
        <v/>
      </c>
      <c r="O45" s="392" t="str">
        <f>IF($M45="","No Record",IF($L45&gt;=1,"Live",IF($N45&gt;=90,"Stalled 90d+",IF($N45&gt;=60,"Stalled 60d+",IF($N45&gt;=30,"Stalled 30d+","In Progress")))))</f>
        <v>No Record</v>
      </c>
      <c r="P45" s="416"/>
      <c r="Q45" s="417"/>
      <c r="R45" s="417"/>
      <c r="S45" s="409"/>
      <c r="T45" s="330"/>
      <c r="U45" s="330"/>
      <c r="V45" s="330"/>
      <c r="W45" s="330"/>
      <c r="X45" s="330"/>
      <c r="Y45" s="330"/>
      <c r="Z45" s="330"/>
      <c r="AA45" s="330"/>
      <c r="AB45" s="330"/>
      <c r="AC45" s="330"/>
      <c r="AD45" s="363" t="s">
        <v>274</v>
      </c>
    </row>
    <row r="46" spans="1:30" ht="15.75" customHeight="1">
      <c r="A46" s="325">
        <f>IF($E46="","",COUNTA($E$4:$E46))</f>
        <v>43</v>
      </c>
      <c r="B46" s="389" t="str">
        <f>IF($E46="","",IF($M46="","Contact",LOOKUP($L46,$AE$5:$AE$8,$AF$5:$AF$8)))</f>
        <v>In Development</v>
      </c>
      <c r="C46" s="401"/>
      <c r="D46" s="394" t="s">
        <v>269</v>
      </c>
      <c r="E46" s="343" t="s">
        <v>343</v>
      </c>
      <c r="F46" s="332" t="s">
        <v>296</v>
      </c>
      <c r="G46" s="327" t="s">
        <v>279</v>
      </c>
      <c r="H46" s="401" t="s">
        <v>280</v>
      </c>
      <c r="I46" s="402"/>
      <c r="J46" s="343" t="s">
        <v>297</v>
      </c>
      <c r="K46" s="343" t="s">
        <v>298</v>
      </c>
      <c r="L46" s="328" cm="1">
        <f t="array" ref="L46">IF($E46="","",SUMPRODUCT(MAX(($S46:$AC46&lt;&gt;"")*$AE$3:$AO$3)))</f>
        <v>0.5</v>
      </c>
      <c r="M46" s="344">
        <f>IF(COUNT($S46:$AC46)=0,"",MAX($S46:$AC46))</f>
        <v>46248</v>
      </c>
      <c r="N46" s="329">
        <f ca="1">IF($M46="","",TODAY()-$M46)</f>
        <v>14</v>
      </c>
      <c r="O46" s="392" t="str">
        <f ca="1">IF($M46="","No Record",IF($L46&gt;=1,"Live",IF($N46&gt;=90,"Stalled 90d+",IF($N46&gt;=60,"Stalled 60d+",IF($N46&gt;=30,"Stalled 30d+","In Progress")))))</f>
        <v>In Progress</v>
      </c>
      <c r="P46" s="416"/>
      <c r="Q46" s="417"/>
      <c r="R46" s="417"/>
      <c r="S46" s="409">
        <v>46244</v>
      </c>
      <c r="T46" s="330">
        <v>46245</v>
      </c>
      <c r="U46" s="330">
        <v>46246</v>
      </c>
      <c r="V46" s="330">
        <v>46247</v>
      </c>
      <c r="W46" s="330">
        <v>46248</v>
      </c>
      <c r="X46" s="330"/>
      <c r="Y46" s="330"/>
      <c r="Z46" s="330"/>
      <c r="AA46" s="330"/>
      <c r="AB46" s="330"/>
      <c r="AC46" s="330"/>
      <c r="AD46" s="363" t="s">
        <v>274</v>
      </c>
    </row>
    <row r="47" spans="1:30" ht="15.75" customHeight="1">
      <c r="A47" s="325">
        <f>IF($E47="","",COUNTA($E$4:$E47))</f>
        <v>44</v>
      </c>
      <c r="B47" s="389" t="str">
        <f>IF($E47="","",IF($M47="","Contact",LOOKUP($L47,$AE$5:$AE$8,$AF$5:$AF$8)))</f>
        <v>In Development</v>
      </c>
      <c r="C47" s="401"/>
      <c r="D47" s="394" t="s">
        <v>269</v>
      </c>
      <c r="E47" s="343" t="s">
        <v>344</v>
      </c>
      <c r="F47" s="332" t="s">
        <v>296</v>
      </c>
      <c r="G47" s="327" t="s">
        <v>279</v>
      </c>
      <c r="H47" s="401" t="s">
        <v>280</v>
      </c>
      <c r="I47" s="402"/>
      <c r="J47" s="343" t="s">
        <v>297</v>
      </c>
      <c r="K47" s="343" t="s">
        <v>298</v>
      </c>
      <c r="L47" s="328" cm="1">
        <f t="array" ref="L47">IF($E47="","",SUMPRODUCT(MAX(($S47:$AC47&lt;&gt;"")*$AE$3:$AO$3)))</f>
        <v>0.5</v>
      </c>
      <c r="M47" s="344">
        <f>IF(COUNT($S47:$AC47)=0,"",MAX($S47:$AC47))</f>
        <v>46248</v>
      </c>
      <c r="N47" s="329">
        <f ca="1">IF($M47="","",TODAY()-$M47)</f>
        <v>14</v>
      </c>
      <c r="O47" s="392" t="str">
        <f ca="1">IF($M47="","No Record",IF($L47&gt;=1,"Live",IF($N47&gt;=90,"Stalled 90d+",IF($N47&gt;=60,"Stalled 60d+",IF($N47&gt;=30,"Stalled 30d+","In Progress")))))</f>
        <v>In Progress</v>
      </c>
      <c r="P47" s="416"/>
      <c r="Q47" s="417"/>
      <c r="R47" s="417"/>
      <c r="S47" s="409">
        <v>46244</v>
      </c>
      <c r="T47" s="330">
        <v>46245</v>
      </c>
      <c r="U47" s="330">
        <v>46246</v>
      </c>
      <c r="V47" s="330">
        <v>46247</v>
      </c>
      <c r="W47" s="330">
        <v>46248</v>
      </c>
      <c r="X47" s="330"/>
      <c r="Y47" s="330"/>
      <c r="Z47" s="330"/>
      <c r="AA47" s="330"/>
      <c r="AB47" s="330"/>
      <c r="AC47" s="330"/>
      <c r="AD47" s="363" t="s">
        <v>274</v>
      </c>
    </row>
    <row r="48" spans="1:30" ht="15.75" customHeight="1">
      <c r="A48" s="325">
        <f>IF($E48="","",COUNTA($E$4:$E48))</f>
        <v>45</v>
      </c>
      <c r="B48" s="389" t="str">
        <f>IF($E48="","",IF($M48="","Contact",LOOKUP($L48,$AE$5:$AE$8,$AF$5:$AF$8)))</f>
        <v>Contact</v>
      </c>
      <c r="C48" s="401"/>
      <c r="D48" s="394" t="s">
        <v>269</v>
      </c>
      <c r="E48" s="343" t="s">
        <v>345</v>
      </c>
      <c r="F48" s="332" t="s">
        <v>296</v>
      </c>
      <c r="G48" s="327" t="s">
        <v>264</v>
      </c>
      <c r="H48" s="401" t="s">
        <v>280</v>
      </c>
      <c r="I48" s="402"/>
      <c r="J48" s="343" t="s">
        <v>297</v>
      </c>
      <c r="K48" s="343" t="s">
        <v>298</v>
      </c>
      <c r="L48" s="328" cm="1">
        <f t="array" ref="L48">IF($E48="","",SUMPRODUCT(MAX(($S48:$AC48&lt;&gt;"")*$AE$3:$AO$3)))</f>
        <v>0</v>
      </c>
      <c r="M48" s="344" t="str">
        <f>IF(COUNT($S48:$AC48)=0,"",MAX($S48:$AC48))</f>
        <v/>
      </c>
      <c r="N48" s="329" t="str">
        <f ca="1">IF($M48="","",TODAY()-$M48)</f>
        <v/>
      </c>
      <c r="O48" s="392" t="str">
        <f>IF($M48="","No Record",IF($L48&gt;=1,"Live",IF($N48&gt;=90,"Stalled 90d+",IF($N48&gt;=60,"Stalled 60d+",IF($N48&gt;=30,"Stalled 30d+","In Progress")))))</f>
        <v>No Record</v>
      </c>
      <c r="P48" s="416"/>
      <c r="Q48" s="417"/>
      <c r="R48" s="417"/>
      <c r="S48" s="409"/>
      <c r="T48" s="330"/>
      <c r="U48" s="330"/>
      <c r="V48" s="330"/>
      <c r="W48" s="330"/>
      <c r="X48" s="330"/>
      <c r="Y48" s="330"/>
      <c r="Z48" s="330"/>
      <c r="AA48" s="330"/>
      <c r="AB48" s="330"/>
      <c r="AC48" s="330"/>
      <c r="AD48" s="363" t="s">
        <v>274</v>
      </c>
    </row>
    <row r="49" spans="1:30" ht="15.75" customHeight="1">
      <c r="A49" s="325">
        <f>IF($E49="","",COUNTA($E$4:$E49))</f>
        <v>46</v>
      </c>
      <c r="B49" s="390" t="str">
        <f>IF($E49="","",IF($M49="","Contact",LOOKUP($L49,$AE$5:$AE$8,$AF$5:$AF$8)))</f>
        <v>Contact</v>
      </c>
      <c r="C49" s="401"/>
      <c r="D49" s="396" t="s">
        <v>269</v>
      </c>
      <c r="E49" s="383" t="s">
        <v>346</v>
      </c>
      <c r="F49" s="382" t="s">
        <v>296</v>
      </c>
      <c r="G49" s="327" t="s">
        <v>279</v>
      </c>
      <c r="H49" s="401" t="s">
        <v>280</v>
      </c>
      <c r="I49" s="403"/>
      <c r="J49" s="117" t="s">
        <v>297</v>
      </c>
      <c r="K49" s="383" t="s">
        <v>298</v>
      </c>
      <c r="L49" s="381" cm="1">
        <f t="array" ref="L49">IF($E49="","",SUMPRODUCT(MAX(($S49:$AC49&lt;&gt;"")*$AE$3:$AO$3)))</f>
        <v>0</v>
      </c>
      <c r="M49" s="380" t="str">
        <f>IF(COUNT($S49:$AC49)=0,"",MAX($S49:$AC49))</f>
        <v/>
      </c>
      <c r="N49" s="379" t="str">
        <f ca="1">IF($M49="","",TODAY()-$M49)</f>
        <v/>
      </c>
      <c r="O49" s="406" t="str">
        <f>IF($M49="","No Record",IF($L49&gt;=1,"Live",IF($N49&gt;=90,"Stalled 90d+",IF($N49&gt;=60,"Stalled 60d+",IF($N49&gt;=30,"Stalled 30d+","In Progress")))))</f>
        <v>No Record</v>
      </c>
      <c r="P49" s="416"/>
      <c r="Q49" s="417"/>
      <c r="R49" s="417"/>
      <c r="S49" s="410"/>
      <c r="T49" s="377"/>
      <c r="U49" s="377"/>
      <c r="V49" s="378"/>
      <c r="W49" s="378"/>
      <c r="X49" s="378"/>
      <c r="Y49" s="378"/>
      <c r="Z49" s="378"/>
      <c r="AA49" s="377"/>
      <c r="AB49" s="378"/>
      <c r="AC49" s="377"/>
      <c r="AD49" s="363" t="s">
        <v>268</v>
      </c>
    </row>
    <row r="50" spans="1:30" ht="15.75" customHeight="1">
      <c r="A50" s="325">
        <f>IF($E50="","",COUNTA($E$4:$E50))</f>
        <v>47</v>
      </c>
      <c r="B50" s="391" t="str">
        <f>IF($E50="","",IF($M50="","Contact",LOOKUP($L50,$AE$5:$AE$8,$AF$5:$AF$8)))</f>
        <v>Contact</v>
      </c>
      <c r="C50" s="401"/>
      <c r="D50" s="397" t="s">
        <v>326</v>
      </c>
      <c r="E50" s="117" t="s">
        <v>347</v>
      </c>
      <c r="F50" s="345" t="s">
        <v>296</v>
      </c>
      <c r="G50" s="327" t="s">
        <v>279</v>
      </c>
      <c r="H50" s="401" t="s">
        <v>280</v>
      </c>
      <c r="I50" s="404"/>
      <c r="J50" s="117" t="s">
        <v>297</v>
      </c>
      <c r="K50" s="343" t="s">
        <v>305</v>
      </c>
      <c r="L50" s="352" cm="1">
        <f t="array" ref="L50">IF($E50="","",SUMPRODUCT(MAX(($S50:$AC50&lt;&gt;"")*$AE$3:$AO$3)))</f>
        <v>0</v>
      </c>
      <c r="M50" s="120" t="str">
        <f>IF(COUNT($S50:$AC50)=0,"",MAX($S50:$AC50))</f>
        <v/>
      </c>
      <c r="N50" s="361" t="str">
        <f ca="1">IF($M50="","",TODAY()-$M50)</f>
        <v/>
      </c>
      <c r="O50" s="407" t="str">
        <f>IF($M50="","No Record",IF($L50&gt;=1,"Live",IF($N50&gt;=90,"Stalled 90d+",IF($N50&gt;=60,"Stalled 60d+",IF($N50&gt;=30,"Stalled 30d+","In Progress")))))</f>
        <v>No Record</v>
      </c>
      <c r="P50" s="416"/>
      <c r="Q50" s="417"/>
      <c r="R50" s="417"/>
      <c r="S50" s="411"/>
      <c r="T50" s="354"/>
      <c r="U50" s="354"/>
      <c r="V50" s="353"/>
      <c r="W50" s="353"/>
      <c r="X50" s="353"/>
      <c r="Y50" s="353"/>
      <c r="Z50" s="353"/>
      <c r="AA50" s="354"/>
      <c r="AB50" s="353"/>
      <c r="AC50" s="354"/>
      <c r="AD50" s="363" t="s">
        <v>268</v>
      </c>
    </row>
    <row r="51" spans="1:30" ht="15.75" customHeight="1">
      <c r="A51" s="325">
        <f>IF($E51="","",COUNTA($E$4:$E51))</f>
        <v>48</v>
      </c>
      <c r="B51" s="391" t="str">
        <f>IF($E51="","",IF($M51="","Contact",LOOKUP($L51,$AE$5:$AE$8,$AF$5:$AF$8)))</f>
        <v>NDA/Contract</v>
      </c>
      <c r="C51" s="401"/>
      <c r="D51" s="397" t="s">
        <v>326</v>
      </c>
      <c r="E51" s="117" t="s">
        <v>348</v>
      </c>
      <c r="F51" s="345" t="s">
        <v>296</v>
      </c>
      <c r="G51" s="327" t="s">
        <v>279</v>
      </c>
      <c r="H51" s="401" t="s">
        <v>280</v>
      </c>
      <c r="I51" s="404"/>
      <c r="J51" s="117" t="s">
        <v>297</v>
      </c>
      <c r="K51" s="343" t="s">
        <v>305</v>
      </c>
      <c r="L51" s="352" cm="1">
        <f t="array" ref="L51">IF($E51="","",SUMPRODUCT(MAX(($S51:$AC51&lt;&gt;"")*$AE$3:$AO$3)))</f>
        <v>0.4</v>
      </c>
      <c r="M51" s="120">
        <f>IF(COUNT($S51:$AC51)=0,"",MAX($S51:$AC51))</f>
        <v>46212</v>
      </c>
      <c r="N51" s="361">
        <f ca="1">IF($M51="","",TODAY()-$M51)</f>
        <v>50</v>
      </c>
      <c r="O51" s="407" t="str">
        <f ca="1">IF($M51="","No Record",IF($L51&gt;=1,"Live",IF($N51&gt;=90,"Stalled 90d+",IF($N51&gt;=60,"Stalled 60d+",IF($N51&gt;=30,"Stalled 30d+","In Progress")))))</f>
        <v>Stalled 30d+</v>
      </c>
      <c r="P51" s="416"/>
      <c r="Q51" s="417"/>
      <c r="R51" s="417"/>
      <c r="S51" s="411">
        <v>46212</v>
      </c>
      <c r="T51" s="354">
        <v>46212</v>
      </c>
      <c r="U51" s="354">
        <v>46212</v>
      </c>
      <c r="V51" s="353"/>
      <c r="W51" s="353"/>
      <c r="X51" s="353"/>
      <c r="Y51" s="353"/>
      <c r="Z51" s="353"/>
      <c r="AA51" s="354"/>
      <c r="AB51" s="353"/>
      <c r="AC51" s="354"/>
      <c r="AD51" s="363" t="s">
        <v>274</v>
      </c>
    </row>
    <row r="52" spans="1:30" ht="15.75" customHeight="1">
      <c r="A52" s="325">
        <f>IF($E52="","",COUNTA($E$4:$E52))</f>
        <v>49</v>
      </c>
      <c r="B52" s="391" t="str">
        <f>IF($E52="","",IF($M52="","Contact",LOOKUP($L52,$AE$5:$AE$8,$AF$5:$AF$8)))</f>
        <v>Contact</v>
      </c>
      <c r="C52" s="401"/>
      <c r="D52" s="394" t="s">
        <v>269</v>
      </c>
      <c r="E52" s="117" t="s">
        <v>349</v>
      </c>
      <c r="F52" s="345" t="s">
        <v>296</v>
      </c>
      <c r="G52" s="327" t="s">
        <v>284</v>
      </c>
      <c r="H52" s="401" t="s">
        <v>280</v>
      </c>
      <c r="I52" s="404"/>
      <c r="J52" s="117" t="s">
        <v>297</v>
      </c>
      <c r="K52" s="117" t="s">
        <v>298</v>
      </c>
      <c r="L52" s="352" cm="1">
        <f t="array" ref="L52">IF($E52="","",SUMPRODUCT(MAX(($S52:$AC52&lt;&gt;"")*$AE$3:$AO$3)))</f>
        <v>0</v>
      </c>
      <c r="M52" s="120" t="str">
        <f>IF(COUNT($S52:$AC52)=0,"",MAX($S52:$AC52))</f>
        <v/>
      </c>
      <c r="N52" s="361" t="str">
        <f ca="1">IF($M52="","",TODAY()-$M52)</f>
        <v/>
      </c>
      <c r="O52" s="407" t="str">
        <f>IF($M52="","No Record",IF($L52&gt;=1,"Live",IF($N52&gt;=90,"Stalled 90d+",IF($N52&gt;=60,"Stalled 60d+",IF($N52&gt;=30,"Stalled 30d+","In Progress")))))</f>
        <v>No Record</v>
      </c>
      <c r="P52" s="416"/>
      <c r="Q52" s="417"/>
      <c r="R52" s="417"/>
      <c r="S52" s="411"/>
      <c r="T52" s="354"/>
      <c r="U52" s="354"/>
      <c r="V52" s="353"/>
      <c r="W52" s="353"/>
      <c r="X52" s="353"/>
      <c r="Y52" s="353"/>
      <c r="Z52" s="353"/>
      <c r="AA52" s="354"/>
      <c r="AB52" s="353"/>
      <c r="AC52" s="354"/>
      <c r="AD52" s="363" t="s">
        <v>268</v>
      </c>
    </row>
    <row r="53" spans="1:30" ht="15.75" customHeight="1">
      <c r="A53" s="325">
        <f>IF($E53="","",COUNTA($E$4:$E53))</f>
        <v>50</v>
      </c>
      <c r="B53" s="391" t="str">
        <f>IF($E53="","",IF($M53="","Contact",LOOKUP($L53,$AE$5:$AE$8,$AF$5:$AF$8)))</f>
        <v>NDA/Contract</v>
      </c>
      <c r="C53" s="401"/>
      <c r="D53" s="394" t="s">
        <v>269</v>
      </c>
      <c r="E53" s="117" t="s">
        <v>350</v>
      </c>
      <c r="F53" s="345" t="s">
        <v>296</v>
      </c>
      <c r="G53" s="327" t="s">
        <v>284</v>
      </c>
      <c r="H53" s="401" t="s">
        <v>280</v>
      </c>
      <c r="I53" s="404"/>
      <c r="J53" s="117" t="s">
        <v>297</v>
      </c>
      <c r="K53" s="117" t="s">
        <v>298</v>
      </c>
      <c r="L53" s="352" cm="1">
        <f t="array" ref="L53">IF($E53="","",SUMPRODUCT(MAX(($S53:$AC53&lt;&gt;"")*$AE$3:$AO$3)))</f>
        <v>0.2</v>
      </c>
      <c r="M53" s="120">
        <f>IF(COUNT($S53:$AC53)=0,"",MAX($S53:$AC53))</f>
        <v>46027</v>
      </c>
      <c r="N53" s="361">
        <f ca="1">IF($M53="","",TODAY()-$M53)</f>
        <v>235</v>
      </c>
      <c r="O53" s="407" t="str">
        <f ca="1">IF($M53="","No Record",IF($L53&gt;=1,"Live",IF($N53&gt;=90,"Stalled 90d+",IF($N53&gt;=60,"Stalled 60d+",IF($N53&gt;=30,"Stalled 30d+","In Progress")))))</f>
        <v>Stalled 90d+</v>
      </c>
      <c r="P53" s="416"/>
      <c r="Q53" s="417"/>
      <c r="R53" s="417"/>
      <c r="S53" s="411">
        <v>46027</v>
      </c>
      <c r="T53" s="354"/>
      <c r="U53" s="354"/>
      <c r="V53" s="353"/>
      <c r="W53" s="353"/>
      <c r="X53" s="353"/>
      <c r="Y53" s="353"/>
      <c r="Z53" s="353"/>
      <c r="AA53" s="354"/>
      <c r="AB53" s="353"/>
      <c r="AC53" s="354"/>
      <c r="AD53" s="363" t="s">
        <v>274</v>
      </c>
    </row>
    <row r="54" spans="1:30" ht="15.75" customHeight="1">
      <c r="A54" s="325">
        <f>IF($E54="","",COUNTA($E$4:$E54))</f>
        <v>51</v>
      </c>
      <c r="B54" s="389" t="str">
        <f>IF($E54="","",IF($M54="","Contact",LOOKUP($L54,$AE$5:$AE$8,$AF$5:$AF$8)))</f>
        <v>Contact</v>
      </c>
      <c r="C54" s="401"/>
      <c r="D54" s="394" t="s">
        <v>306</v>
      </c>
      <c r="E54" s="343" t="s">
        <v>307</v>
      </c>
      <c r="F54" s="384" t="s">
        <v>351</v>
      </c>
      <c r="G54" s="327" t="s">
        <v>264</v>
      </c>
      <c r="H54" s="401" t="s">
        <v>265</v>
      </c>
      <c r="I54" s="402"/>
      <c r="J54" s="343" t="s">
        <v>266</v>
      </c>
      <c r="K54" s="343" t="s">
        <v>267</v>
      </c>
      <c r="L54" s="328" cm="1">
        <f t="array" ref="L54">IF($E54="","",SUMPRODUCT(MAX(($S54:$AC54&lt;&gt;"")*$AE$3:$AO$3)))</f>
        <v>0</v>
      </c>
      <c r="M54" s="344" t="str">
        <f>IF(COUNT($S54:$AC54)=0,"",MAX($S54:$AC54))</f>
        <v/>
      </c>
      <c r="N54" s="329" t="str">
        <f ca="1">IF($M54="","",TODAY()-$M54)</f>
        <v/>
      </c>
      <c r="O54" s="392" t="str">
        <f>IF($M54="","No Record",IF($L54&gt;=1,"Live",IF($N54&gt;=90,"Stalled 90d+",IF($N54&gt;=60,"Stalled 60d+",IF($N54&gt;=30,"Stalled 30d+","In Progress")))))</f>
        <v>No Record</v>
      </c>
      <c r="P54" s="416"/>
      <c r="Q54" s="417"/>
      <c r="R54" s="417"/>
      <c r="S54" s="409"/>
      <c r="T54" s="330"/>
      <c r="U54" s="330"/>
      <c r="V54" s="330"/>
      <c r="W54" s="330"/>
      <c r="X54" s="330"/>
      <c r="Y54" s="330"/>
      <c r="Z54" s="330"/>
      <c r="AA54" s="330"/>
      <c r="AB54" s="330"/>
      <c r="AC54" s="330"/>
      <c r="AD54" s="363" t="s">
        <v>274</v>
      </c>
    </row>
    <row r="55" spans="1:30" ht="15.75" customHeight="1">
      <c r="A55" s="325">
        <f>IF($E55="","",COUNTA($E$4:$E55))</f>
        <v>52</v>
      </c>
      <c r="B55" s="389" t="str">
        <f>IF($E55="","",IF($M55="","Contact",LOOKUP($L55,$AE$5:$AE$8,$AF$5:$AF$8)))</f>
        <v>Contact</v>
      </c>
      <c r="C55" s="401"/>
      <c r="D55" s="394" t="s">
        <v>308</v>
      </c>
      <c r="E55" s="343" t="s">
        <v>352</v>
      </c>
      <c r="F55" s="384" t="s">
        <v>351</v>
      </c>
      <c r="G55" s="327" t="s">
        <v>279</v>
      </c>
      <c r="H55" s="401" t="s">
        <v>265</v>
      </c>
      <c r="I55" s="402"/>
      <c r="J55" s="343" t="s">
        <v>266</v>
      </c>
      <c r="K55" s="343" t="s">
        <v>267</v>
      </c>
      <c r="L55" s="328" cm="1">
        <f t="array" ref="L55">IF($E55="","",SUMPRODUCT(MAX(($S55:$AC55&lt;&gt;"")*$AE$3:$AO$3)))</f>
        <v>0</v>
      </c>
      <c r="M55" s="344" t="str">
        <f>IF(COUNT($S55:$AC55)=0,"",MAX($S55:$AC55))</f>
        <v/>
      </c>
      <c r="N55" s="329" t="str">
        <f ca="1">IF($M55="","",TODAY()-$M55)</f>
        <v/>
      </c>
      <c r="O55" s="392" t="str">
        <f>IF($M55="","No Record",IF($L55&gt;=1,"Live",IF($N55&gt;=90,"Stalled 90d+",IF($N55&gt;=60,"Stalled 60d+",IF($N55&gt;=30,"Stalled 30d+","In Progress")))))</f>
        <v>No Record</v>
      </c>
      <c r="P55" s="416"/>
      <c r="Q55" s="417"/>
      <c r="R55" s="417"/>
      <c r="S55" s="409"/>
      <c r="T55" s="330"/>
      <c r="U55" s="330"/>
      <c r="V55" s="330"/>
      <c r="W55" s="330"/>
      <c r="X55" s="330"/>
      <c r="Y55" s="330"/>
      <c r="Z55" s="330"/>
      <c r="AA55" s="330"/>
      <c r="AB55" s="330"/>
      <c r="AC55" s="330"/>
      <c r="AD55" s="363" t="s">
        <v>268</v>
      </c>
    </row>
    <row r="56" spans="1:30" ht="15.75" customHeight="1">
      <c r="A56" s="325">
        <f>IF($E56="","",COUNTA($E$4:$E56))</f>
        <v>53</v>
      </c>
      <c r="B56" s="389" t="str">
        <f>IF($E56="","",IF($M56="","Contact",LOOKUP($L56,$AE$5:$AE$8,$AF$5:$AF$8)))</f>
        <v>Contact</v>
      </c>
      <c r="C56" s="401"/>
      <c r="D56" s="394" t="s">
        <v>275</v>
      </c>
      <c r="E56" s="343" t="s">
        <v>353</v>
      </c>
      <c r="F56" s="384" t="s">
        <v>351</v>
      </c>
      <c r="G56" s="327" t="s">
        <v>264</v>
      </c>
      <c r="H56" s="401" t="s">
        <v>265</v>
      </c>
      <c r="I56" s="402"/>
      <c r="J56" s="343" t="s">
        <v>266</v>
      </c>
      <c r="K56" s="343" t="s">
        <v>267</v>
      </c>
      <c r="L56" s="328" cm="1">
        <f t="array" ref="L56">IF($E56="","",SUMPRODUCT(MAX(($S56:$AC56&lt;&gt;"")*$AE$3:$AO$3)))</f>
        <v>0</v>
      </c>
      <c r="M56" s="344" t="str">
        <f>IF(COUNT($S56:$AC56)=0,"",MAX($S56:$AC56))</f>
        <v/>
      </c>
      <c r="N56" s="329" t="str">
        <f ca="1">IF($M56="","",TODAY()-$M56)</f>
        <v/>
      </c>
      <c r="O56" s="392" t="str">
        <f>IF($M56="","No Record",IF($L56&gt;=1,"Live",IF($N56&gt;=90,"Stalled 90d+",IF($N56&gt;=60,"Stalled 60d+",IF($N56&gt;=30,"Stalled 30d+","In Progress")))))</f>
        <v>No Record</v>
      </c>
      <c r="P56" s="416"/>
      <c r="Q56" s="417"/>
      <c r="R56" s="417"/>
      <c r="S56" s="409"/>
      <c r="T56" s="330"/>
      <c r="U56" s="330"/>
      <c r="V56" s="330"/>
      <c r="W56" s="330"/>
      <c r="X56" s="330"/>
      <c r="Y56" s="330"/>
      <c r="Z56" s="330"/>
      <c r="AA56" s="330"/>
      <c r="AB56" s="330"/>
      <c r="AC56" s="330"/>
      <c r="AD56" s="363" t="s">
        <v>274</v>
      </c>
    </row>
    <row r="57" spans="1:30" ht="15.75" customHeight="1">
      <c r="A57" s="325">
        <f>IF($E57="","",COUNTA($E$4:$E57))</f>
        <v>54</v>
      </c>
      <c r="B57" s="389" t="str">
        <f>IF($E57="","",IF($M57="","Contact",LOOKUP($L57,$AE$5:$AE$8,$AF$5:$AF$8)))</f>
        <v>Contact</v>
      </c>
      <c r="C57" s="401"/>
      <c r="D57" s="395"/>
      <c r="E57" s="343" t="s">
        <v>354</v>
      </c>
      <c r="F57" s="384" t="s">
        <v>351</v>
      </c>
      <c r="G57" s="327" t="s">
        <v>279</v>
      </c>
      <c r="H57" s="401" t="s">
        <v>280</v>
      </c>
      <c r="I57" s="402"/>
      <c r="J57" s="343" t="s">
        <v>266</v>
      </c>
      <c r="K57" s="343" t="s">
        <v>267</v>
      </c>
      <c r="L57" s="328" cm="1">
        <f t="array" ref="L57">IF($E57="","",SUMPRODUCT(MAX(($S57:$AC57&lt;&gt;"")*$AE$3:$AO$3)))</f>
        <v>0</v>
      </c>
      <c r="M57" s="344" t="str">
        <f>IF(COUNT($S57:$AC57)=0,"",MAX($S57:$AC57))</f>
        <v/>
      </c>
      <c r="N57" s="329" t="str">
        <f ca="1">IF($M57="","",TODAY()-$M57)</f>
        <v/>
      </c>
      <c r="O57" s="392" t="str">
        <f>IF($M57="","No Record",IF($L57&gt;=1,"Live",IF($N57&gt;=90,"Stalled 90d+",IF($N57&gt;=60,"Stalled 60d+",IF($N57&gt;=30,"Stalled 30d+","In Progress")))))</f>
        <v>No Record</v>
      </c>
      <c r="P57" s="416"/>
      <c r="Q57" s="417"/>
      <c r="R57" s="417"/>
      <c r="S57" s="409"/>
      <c r="T57" s="330"/>
      <c r="U57" s="330"/>
      <c r="V57" s="330"/>
      <c r="W57" s="330"/>
      <c r="X57" s="330"/>
      <c r="Y57" s="330"/>
      <c r="Z57" s="330"/>
      <c r="AA57" s="330"/>
      <c r="AB57" s="330"/>
      <c r="AC57" s="330"/>
      <c r="AD57" s="363" t="s">
        <v>268</v>
      </c>
    </row>
    <row r="58" spans="1:30" ht="15.75" customHeight="1">
      <c r="A58" s="325">
        <f>IF($E58="","",COUNTA($E$4:$E58))</f>
        <v>55</v>
      </c>
      <c r="B58" s="389" t="str">
        <f>IF($E58="","",IF($M58="","Contact",LOOKUP($L58,$AE$5:$AE$8,$AF$5:$AF$8)))</f>
        <v>Contact</v>
      </c>
      <c r="C58" s="401"/>
      <c r="D58" s="394" t="s">
        <v>313</v>
      </c>
      <c r="E58" s="343" t="s">
        <v>355</v>
      </c>
      <c r="F58" s="384" t="s">
        <v>351</v>
      </c>
      <c r="G58" s="327" t="s">
        <v>279</v>
      </c>
      <c r="H58" s="401" t="s">
        <v>280</v>
      </c>
      <c r="I58" s="402"/>
      <c r="J58" s="343" t="s">
        <v>266</v>
      </c>
      <c r="K58" s="343" t="s">
        <v>267</v>
      </c>
      <c r="L58" s="328" cm="1">
        <f t="array" ref="L58">IF($E58="","",SUMPRODUCT(MAX(($S58:$AC58&lt;&gt;"")*$AE$3:$AO$3)))</f>
        <v>0</v>
      </c>
      <c r="M58" s="344" t="str">
        <f>IF(COUNT($S58:$AC58)=0,"",MAX($S58:$AC58))</f>
        <v/>
      </c>
      <c r="N58" s="329" t="str">
        <f ca="1">IF($M58="","",TODAY()-$M58)</f>
        <v/>
      </c>
      <c r="O58" s="392" t="str">
        <f>IF($M58="","No Record",IF($L58&gt;=1,"Live",IF($N58&gt;=90,"Stalled 90d+",IF($N58&gt;=60,"Stalled 60d+",IF($N58&gt;=30,"Stalled 30d+","In Progress")))))</f>
        <v>No Record</v>
      </c>
      <c r="P58" s="416"/>
      <c r="Q58" s="417"/>
      <c r="R58" s="417"/>
      <c r="S58" s="409"/>
      <c r="T58" s="330"/>
      <c r="U58" s="330"/>
      <c r="V58" s="330"/>
      <c r="W58" s="330"/>
      <c r="X58" s="330"/>
      <c r="Y58" s="330"/>
      <c r="Z58" s="330"/>
      <c r="AA58" s="330"/>
      <c r="AB58" s="330"/>
      <c r="AC58" s="330"/>
      <c r="AD58" s="363" t="s">
        <v>274</v>
      </c>
    </row>
    <row r="59" spans="1:30" ht="15.75" customHeight="1">
      <c r="A59" s="325">
        <f>IF($E59="","",COUNTA($E$4:$E59))</f>
        <v>56</v>
      </c>
      <c r="B59" s="389" t="str">
        <f>IF($E59="","",IF($M59="","Contact",LOOKUP($L59,$AE$5:$AE$8,$AF$5:$AF$8)))</f>
        <v>Contact</v>
      </c>
      <c r="C59" s="401"/>
      <c r="D59" s="394" t="s">
        <v>275</v>
      </c>
      <c r="E59" s="343" t="s">
        <v>356</v>
      </c>
      <c r="F59" s="384" t="s">
        <v>351</v>
      </c>
      <c r="G59" s="327" t="s">
        <v>279</v>
      </c>
      <c r="H59" s="401" t="s">
        <v>280</v>
      </c>
      <c r="I59" s="402"/>
      <c r="J59" s="343" t="s">
        <v>266</v>
      </c>
      <c r="K59" s="343" t="s">
        <v>267</v>
      </c>
      <c r="L59" s="328" cm="1">
        <f t="array" ref="L59">IF($E59="","",SUMPRODUCT(MAX(($S59:$AC59&lt;&gt;"")*$AE$3:$AO$3)))</f>
        <v>0</v>
      </c>
      <c r="M59" s="344" t="str">
        <f>IF(COUNT($S59:$AC59)=0,"",MAX($S59:$AC59))</f>
        <v/>
      </c>
      <c r="N59" s="329" t="str">
        <f ca="1">IF($M59="","",TODAY()-$M59)</f>
        <v/>
      </c>
      <c r="O59" s="392" t="str">
        <f>IF($M59="","No Record",IF($L59&gt;=1,"Live",IF($N59&gt;=90,"Stalled 90d+",IF($N59&gt;=60,"Stalled 60d+",IF($N59&gt;=30,"Stalled 30d+","In Progress")))))</f>
        <v>No Record</v>
      </c>
      <c r="P59" s="416"/>
      <c r="Q59" s="417"/>
      <c r="R59" s="417"/>
      <c r="S59" s="409"/>
      <c r="T59" s="330"/>
      <c r="U59" s="330"/>
      <c r="V59" s="330"/>
      <c r="W59" s="330"/>
      <c r="X59" s="330"/>
      <c r="Y59" s="330"/>
      <c r="Z59" s="330"/>
      <c r="AA59" s="330"/>
      <c r="AB59" s="330"/>
      <c r="AC59" s="330"/>
      <c r="AD59" s="363" t="s">
        <v>268</v>
      </c>
    </row>
    <row r="60" spans="1:30" ht="15.75" customHeight="1">
      <c r="A60" s="325">
        <f>IF($E60="","",COUNTA($E$4:$E60))</f>
        <v>57</v>
      </c>
      <c r="B60" s="389" t="str">
        <f>IF($E60="","",IF($M60="","Contact",LOOKUP($L60,$AE$5:$AE$8,$AF$5:$AF$8)))</f>
        <v>NDA/Contract</v>
      </c>
      <c r="C60" s="401"/>
      <c r="D60" s="394" t="s">
        <v>357</v>
      </c>
      <c r="E60" s="343" t="s">
        <v>358</v>
      </c>
      <c r="F60" s="384" t="s">
        <v>351</v>
      </c>
      <c r="G60" s="327" t="s">
        <v>279</v>
      </c>
      <c r="H60" s="401" t="s">
        <v>265</v>
      </c>
      <c r="I60" s="402"/>
      <c r="J60" s="343" t="s">
        <v>266</v>
      </c>
      <c r="K60" s="343" t="s">
        <v>267</v>
      </c>
      <c r="L60" s="328" cm="1">
        <f t="array" ref="L60">IF($E60="","",SUMPRODUCT(MAX(($S60:$AC60&lt;&gt;"")*$AE$3:$AO$3)))</f>
        <v>0.2</v>
      </c>
      <c r="M60" s="344">
        <f>IF(COUNT($S60:$AC60)=0,"",MAX($S60:$AC60))</f>
        <v>46213</v>
      </c>
      <c r="N60" s="329">
        <f ca="1">IF($M60="","",TODAY()-$M60)</f>
        <v>49</v>
      </c>
      <c r="O60" s="392" t="str">
        <f ca="1">IF($M60="","No Record",IF($L60&gt;=1,"Live",IF($N60&gt;=90,"Stalled 90d+",IF($N60&gt;=60,"Stalled 60d+",IF($N60&gt;=30,"Stalled 30d+","In Progress")))))</f>
        <v>Stalled 30d+</v>
      </c>
      <c r="P60" s="416"/>
      <c r="Q60" s="417"/>
      <c r="R60" s="417"/>
      <c r="S60" s="409">
        <v>46213</v>
      </c>
      <c r="T60" s="330"/>
      <c r="U60" s="330"/>
      <c r="V60" s="330"/>
      <c r="W60" s="330"/>
      <c r="X60" s="330"/>
      <c r="Y60" s="330"/>
      <c r="Z60" s="330"/>
      <c r="AA60" s="330"/>
      <c r="AB60" s="330"/>
      <c r="AC60" s="330"/>
      <c r="AD60" s="363" t="s">
        <v>274</v>
      </c>
    </row>
    <row r="61" spans="1:30" ht="15.75" customHeight="1">
      <c r="A61" s="325">
        <f>IF($E61="","",COUNTA($E$4:$E61))</f>
        <v>58</v>
      </c>
      <c r="B61" s="389" t="str">
        <f>IF($E61="","",IF($M61="","Contact",LOOKUP($L61,$AE$5:$AE$8,$AF$5:$AF$8)))</f>
        <v>Contact</v>
      </c>
      <c r="C61" s="401"/>
      <c r="D61" s="394" t="s">
        <v>303</v>
      </c>
      <c r="E61" s="343" t="s">
        <v>359</v>
      </c>
      <c r="F61" s="384" t="s">
        <v>351</v>
      </c>
      <c r="G61" s="327" t="s">
        <v>264</v>
      </c>
      <c r="H61" s="401" t="s">
        <v>265</v>
      </c>
      <c r="I61" s="402"/>
      <c r="J61" s="343" t="s">
        <v>266</v>
      </c>
      <c r="K61" s="343" t="s">
        <v>267</v>
      </c>
      <c r="L61" s="328" cm="1">
        <f t="array" ref="L61">IF($E61="","",SUMPRODUCT(MAX(($S61:$AC61&lt;&gt;"")*$AE$3:$AO$3)))</f>
        <v>0</v>
      </c>
      <c r="M61" s="344" t="str">
        <f>IF(COUNT($S61:$AC61)=0,"",MAX($S61:$AC61))</f>
        <v/>
      </c>
      <c r="N61" s="329" t="str">
        <f ca="1">IF($M61="","",TODAY()-$M61)</f>
        <v/>
      </c>
      <c r="O61" s="392" t="str">
        <f>IF($M61="","No Record",IF($L61&gt;=1,"Live",IF($N61&gt;=90,"Stalled 90d+",IF($N61&gt;=60,"Stalled 60d+",IF($N61&gt;=30,"Stalled 30d+","In Progress")))))</f>
        <v>No Record</v>
      </c>
      <c r="P61" s="416"/>
      <c r="Q61" s="417"/>
      <c r="R61" s="417"/>
      <c r="S61" s="409"/>
      <c r="T61" s="330"/>
      <c r="U61" s="330"/>
      <c r="V61" s="330"/>
      <c r="W61" s="330"/>
      <c r="X61" s="330"/>
      <c r="Y61" s="330"/>
      <c r="Z61" s="330"/>
      <c r="AA61" s="330"/>
      <c r="AB61" s="330"/>
      <c r="AC61" s="330"/>
      <c r="AD61" s="363" t="s">
        <v>274</v>
      </c>
    </row>
    <row r="62" spans="1:30" ht="15.75" customHeight="1">
      <c r="A62" s="325">
        <f>IF($E62="","",COUNTA($E$4:$E62))</f>
        <v>59</v>
      </c>
      <c r="B62" s="389" t="str">
        <f>IF($E62="","",IF($M62="","Contact",LOOKUP($L62,$AE$5:$AE$8,$AF$5:$AF$8)))</f>
        <v>Contact</v>
      </c>
      <c r="C62" s="401"/>
      <c r="D62" s="394" t="s">
        <v>360</v>
      </c>
      <c r="E62" s="343" t="s">
        <v>361</v>
      </c>
      <c r="F62" s="384" t="s">
        <v>351</v>
      </c>
      <c r="G62" s="327" t="s">
        <v>279</v>
      </c>
      <c r="H62" s="401" t="s">
        <v>265</v>
      </c>
      <c r="I62" s="402"/>
      <c r="J62" s="343" t="s">
        <v>266</v>
      </c>
      <c r="K62" s="343" t="s">
        <v>267</v>
      </c>
      <c r="L62" s="328" cm="1">
        <f t="array" ref="L62">IF($E62="","",SUMPRODUCT(MAX(($S62:$AC62&lt;&gt;"")*$AE$3:$AO$3)))</f>
        <v>0</v>
      </c>
      <c r="M62" s="344" t="str">
        <f>IF(COUNT($S62:$AC62)=0,"",MAX($S62:$AC62))</f>
        <v/>
      </c>
      <c r="N62" s="329" t="str">
        <f ca="1">IF($M62="","",TODAY()-$M62)</f>
        <v/>
      </c>
      <c r="O62" s="392" t="str">
        <f>IF($M62="","No Record",IF($L62&gt;=1,"Live",IF($N62&gt;=90,"Stalled 90d+",IF($N62&gt;=60,"Stalled 60d+",IF($N62&gt;=30,"Stalled 30d+","In Progress")))))</f>
        <v>No Record</v>
      </c>
      <c r="P62" s="416"/>
      <c r="Q62" s="417"/>
      <c r="R62" s="417"/>
      <c r="S62" s="409"/>
      <c r="T62" s="330"/>
      <c r="U62" s="330"/>
      <c r="V62" s="330"/>
      <c r="W62" s="330"/>
      <c r="X62" s="330"/>
      <c r="Y62" s="330"/>
      <c r="Z62" s="330"/>
      <c r="AA62" s="330"/>
      <c r="AB62" s="330"/>
      <c r="AC62" s="330"/>
      <c r="AD62" s="363" t="s">
        <v>268</v>
      </c>
    </row>
    <row r="63" spans="1:30" ht="15.75" customHeight="1">
      <c r="A63" s="325">
        <f>IF($E63="","",COUNTA($E$4:$E63))</f>
        <v>60</v>
      </c>
      <c r="B63" s="389" t="str">
        <f>IF($E63="","",IF($M63="","Contact",LOOKUP($L63,$AE$5:$AE$8,$AF$5:$AF$8)))</f>
        <v>Contact</v>
      </c>
      <c r="C63" s="401"/>
      <c r="D63" s="394" t="s">
        <v>269</v>
      </c>
      <c r="E63" s="343" t="s">
        <v>362</v>
      </c>
      <c r="F63" s="384" t="s">
        <v>351</v>
      </c>
      <c r="G63" s="327" t="s">
        <v>279</v>
      </c>
      <c r="H63" s="401" t="s">
        <v>265</v>
      </c>
      <c r="I63" s="402"/>
      <c r="J63" s="343" t="s">
        <v>266</v>
      </c>
      <c r="K63" s="343" t="s">
        <v>267</v>
      </c>
      <c r="L63" s="328" cm="1">
        <f t="array" ref="L63">IF($E63="","",SUMPRODUCT(MAX(($S63:$AC63&lt;&gt;"")*$AE$3:$AO$3)))</f>
        <v>0</v>
      </c>
      <c r="M63" s="344" t="str">
        <f>IF(COUNT($S63:$AC63)=0,"",MAX($S63:$AC63))</f>
        <v/>
      </c>
      <c r="N63" s="329" t="str">
        <f ca="1">IF($M63="","",TODAY()-$M63)</f>
        <v/>
      </c>
      <c r="O63" s="392" t="str">
        <f>IF($M63="","No Record",IF($L63&gt;=1,"Live",IF($N63&gt;=90,"Stalled 90d+",IF($N63&gt;=60,"Stalled 60d+",IF($N63&gt;=30,"Stalled 30d+","In Progress")))))</f>
        <v>No Record</v>
      </c>
      <c r="P63" s="416"/>
      <c r="Q63" s="417"/>
      <c r="R63" s="417"/>
      <c r="S63" s="409"/>
      <c r="T63" s="330"/>
      <c r="U63" s="330"/>
      <c r="V63" s="330"/>
      <c r="W63" s="330"/>
      <c r="X63" s="330"/>
      <c r="Y63" s="330"/>
      <c r="Z63" s="330"/>
      <c r="AA63" s="330"/>
      <c r="AB63" s="330"/>
      <c r="AC63" s="330"/>
      <c r="AD63" s="363" t="s">
        <v>268</v>
      </c>
    </row>
    <row r="64" spans="1:30" ht="15.75" customHeight="1">
      <c r="A64" s="325">
        <f>IF($E64="","",COUNTA($E$4:$E64))</f>
        <v>61</v>
      </c>
      <c r="B64" s="389" t="str">
        <f>IF($E64="","",IF($M64="","Contact",LOOKUP($L64,$AE$5:$AE$8,$AF$5:$AF$8)))</f>
        <v>Contact</v>
      </c>
      <c r="C64" s="401"/>
      <c r="D64" s="395" t="s">
        <v>319</v>
      </c>
      <c r="E64" s="343" t="s">
        <v>363</v>
      </c>
      <c r="F64" s="384" t="s">
        <v>351</v>
      </c>
      <c r="G64" s="327" t="s">
        <v>264</v>
      </c>
      <c r="H64" s="401" t="s">
        <v>265</v>
      </c>
      <c r="I64" s="402"/>
      <c r="J64" s="343" t="s">
        <v>266</v>
      </c>
      <c r="K64" s="343" t="s">
        <v>267</v>
      </c>
      <c r="L64" s="328" cm="1">
        <f t="array" ref="L64">IF($E64="","",SUMPRODUCT(MAX(($S64:$AC64&lt;&gt;"")*$AE$3:$AO$3)))</f>
        <v>0</v>
      </c>
      <c r="M64" s="344" t="str">
        <f>IF(COUNT($S64:$AC64)=0,"",MAX($S64:$AC64))</f>
        <v/>
      </c>
      <c r="N64" s="329" t="str">
        <f ca="1">IF($M64="","",TODAY()-$M64)</f>
        <v/>
      </c>
      <c r="O64" s="392" t="str">
        <f>IF($M64="","No Record",IF($L64&gt;=1,"Live",IF($N64&gt;=90,"Stalled 90d+",IF($N64&gt;=60,"Stalled 60d+",IF($N64&gt;=30,"Stalled 30d+","In Progress")))))</f>
        <v>No Record</v>
      </c>
      <c r="P64" s="416"/>
      <c r="Q64" s="417"/>
      <c r="R64" s="417"/>
      <c r="S64" s="409"/>
      <c r="T64" s="330"/>
      <c r="U64" s="330"/>
      <c r="V64" s="330"/>
      <c r="W64" s="330"/>
      <c r="X64" s="330"/>
      <c r="Y64" s="330"/>
      <c r="Z64" s="330"/>
      <c r="AA64" s="330"/>
      <c r="AB64" s="330"/>
      <c r="AC64" s="330"/>
      <c r="AD64" s="363" t="s">
        <v>268</v>
      </c>
    </row>
    <row r="65" spans="1:30" ht="15.75" customHeight="1">
      <c r="A65" s="325">
        <f>IF($E65="","",COUNTA($E$4:$E65))</f>
        <v>62</v>
      </c>
      <c r="B65" s="389" t="str">
        <f>IF($E65="","",IF($M65="","Contact",LOOKUP($L65,$AE$5:$AE$8,$AF$5:$AF$8)))</f>
        <v>NDA/Contract</v>
      </c>
      <c r="C65" s="401"/>
      <c r="D65" s="394" t="s">
        <v>300</v>
      </c>
      <c r="E65" s="343" t="s">
        <v>301</v>
      </c>
      <c r="F65" s="384" t="s">
        <v>351</v>
      </c>
      <c r="G65" s="327" t="s">
        <v>284</v>
      </c>
      <c r="H65" s="401" t="s">
        <v>265</v>
      </c>
      <c r="I65" s="402"/>
      <c r="J65" s="343" t="s">
        <v>266</v>
      </c>
      <c r="K65" s="343" t="s">
        <v>267</v>
      </c>
      <c r="L65" s="328" cm="1">
        <f t="array" ref="L65">IF($E65="","",SUMPRODUCT(MAX(($S65:$AC65&lt;&gt;"")*$AE$3:$AO$3)))</f>
        <v>0.2</v>
      </c>
      <c r="M65" s="344">
        <f>IF(COUNT($S65:$AC65)=0,"",MAX($S65:$AC65))</f>
        <v>46246</v>
      </c>
      <c r="N65" s="329">
        <f ca="1">IF($M65="","",TODAY()-$M65)</f>
        <v>16</v>
      </c>
      <c r="O65" s="392" t="str">
        <f ca="1">IF($M65="","No Record",IF($L65&gt;=1,"Live",IF($N65&gt;=90,"Stalled 90d+",IF($N65&gt;=60,"Stalled 60d+",IF($N65&gt;=30,"Stalled 30d+","In Progress")))))</f>
        <v>In Progress</v>
      </c>
      <c r="P65" s="416"/>
      <c r="Q65" s="417"/>
      <c r="R65" s="417"/>
      <c r="S65" s="409">
        <v>46246</v>
      </c>
      <c r="T65" s="330"/>
      <c r="U65" s="330"/>
      <c r="V65" s="330"/>
      <c r="W65" s="330"/>
      <c r="X65" s="330"/>
      <c r="Y65" s="330"/>
      <c r="Z65" s="330"/>
      <c r="AA65" s="330"/>
      <c r="AB65" s="330"/>
      <c r="AC65" s="330"/>
      <c r="AD65" s="363" t="s">
        <v>274</v>
      </c>
    </row>
    <row r="66" spans="1:30" ht="15.75" customHeight="1">
      <c r="A66" s="325">
        <f>IF($E66="","",COUNTA($E$4:$E66))</f>
        <v>63</v>
      </c>
      <c r="B66" s="389" t="str">
        <f>IF($E66="","",IF($M66="","Contact",LOOKUP($L66,$AE$5:$AE$8,$AF$5:$AF$8)))</f>
        <v>Contact</v>
      </c>
      <c r="C66" s="401"/>
      <c r="D66" s="394" t="s">
        <v>360</v>
      </c>
      <c r="E66" s="343" t="s">
        <v>364</v>
      </c>
      <c r="F66" s="420" t="s">
        <v>365</v>
      </c>
      <c r="G66" s="327" t="s">
        <v>284</v>
      </c>
      <c r="H66" s="401" t="s">
        <v>265</v>
      </c>
      <c r="I66" s="402"/>
      <c r="J66" s="343" t="s">
        <v>266</v>
      </c>
      <c r="K66" s="343" t="s">
        <v>267</v>
      </c>
      <c r="L66" s="328" cm="1">
        <f t="array" ref="L66">IF($E66="","",SUMPRODUCT(MAX(($S66:$AC66&lt;&gt;"")*$AE$3:$AO$3)))</f>
        <v>0</v>
      </c>
      <c r="M66" s="344" t="str">
        <f>IF(COUNT($S66:$AC66)=0,"",MAX($S66:$AC66))</f>
        <v/>
      </c>
      <c r="N66" s="329" t="str">
        <f ca="1">IF($M66="","",TODAY()-$M66)</f>
        <v/>
      </c>
      <c r="O66" s="392" t="str">
        <f>IF($M66="","No Record",IF($L66&gt;=1,"Live",IF($N66&gt;=90,"Stalled 90d+",IF($N66&gt;=60,"Stalled 60d+",IF($N66&gt;=30,"Stalled 30d+","In Progress")))))</f>
        <v>No Record</v>
      </c>
      <c r="P66" s="416"/>
      <c r="Q66" s="417"/>
      <c r="R66" s="417"/>
      <c r="S66" s="409"/>
      <c r="T66" s="330"/>
      <c r="U66" s="330"/>
      <c r="V66" s="330"/>
      <c r="W66" s="330"/>
      <c r="X66" s="330"/>
      <c r="Y66" s="330"/>
      <c r="Z66" s="330"/>
      <c r="AA66" s="330"/>
      <c r="AB66" s="330"/>
      <c r="AC66" s="330"/>
      <c r="AD66" s="363" t="s">
        <v>273</v>
      </c>
    </row>
    <row r="67" spans="1:30" ht="15.75" customHeight="1">
      <c r="A67" s="325">
        <f>IF($E67="","",COUNTA($E$4:$E67))</f>
        <v>64</v>
      </c>
      <c r="B67" s="389" t="str">
        <f>IF($E67="","",IF($M67="","Contact",LOOKUP($L67,$AE$5:$AE$8,$AF$5:$AF$8)))</f>
        <v>Contact</v>
      </c>
      <c r="C67" s="401"/>
      <c r="D67" s="394" t="s">
        <v>360</v>
      </c>
      <c r="E67" s="343" t="s">
        <v>366</v>
      </c>
      <c r="F67" s="420" t="s">
        <v>365</v>
      </c>
      <c r="G67" s="327" t="s">
        <v>284</v>
      </c>
      <c r="H67" s="401" t="s">
        <v>265</v>
      </c>
      <c r="I67" s="402"/>
      <c r="J67" s="343" t="s">
        <v>266</v>
      </c>
      <c r="K67" s="343" t="s">
        <v>267</v>
      </c>
      <c r="L67" s="328" cm="1">
        <f t="array" ref="L67">IF($E67="","",SUMPRODUCT(MAX(($S67:$AC67&lt;&gt;"")*$AE$3:$AO$3)))</f>
        <v>0</v>
      </c>
      <c r="M67" s="344" t="str">
        <f>IF(COUNT($S67:$AC67)=0,"",MAX($S67:$AC67))</f>
        <v/>
      </c>
      <c r="N67" s="329" t="str">
        <f ca="1">IF($M67="","",TODAY()-$M67)</f>
        <v/>
      </c>
      <c r="O67" s="392" t="str">
        <f>IF($M67="","No Record",IF($L67&gt;=1,"Live",IF($N67&gt;=90,"Stalled 90d+",IF($N67&gt;=60,"Stalled 60d+",IF($N67&gt;=30,"Stalled 30d+","In Progress")))))</f>
        <v>No Record</v>
      </c>
      <c r="P67" s="416"/>
      <c r="Q67" s="417"/>
      <c r="R67" s="417"/>
      <c r="S67" s="409"/>
      <c r="T67" s="330"/>
      <c r="U67" s="330"/>
      <c r="V67" s="330"/>
      <c r="W67" s="330"/>
      <c r="X67" s="330"/>
      <c r="Y67" s="330"/>
      <c r="Z67" s="330"/>
      <c r="AA67" s="330"/>
      <c r="AB67" s="330"/>
      <c r="AC67" s="330"/>
      <c r="AD67" s="363" t="s">
        <v>268</v>
      </c>
    </row>
    <row r="68" spans="1:30" ht="15.75" customHeight="1">
      <c r="A68" s="325">
        <f>IF($E68="","",COUNTA($E$4:$E68))</f>
        <v>65</v>
      </c>
      <c r="B68" s="389" t="str">
        <f>IF($E68="","",IF($M68="","Contact",LOOKUP($L68,$AE$5:$AE$8,$AF$5:$AF$8)))</f>
        <v>Contact</v>
      </c>
      <c r="C68" s="401"/>
      <c r="D68" s="394" t="s">
        <v>360</v>
      </c>
      <c r="E68" s="343" t="s">
        <v>367</v>
      </c>
      <c r="F68" s="420" t="s">
        <v>365</v>
      </c>
      <c r="G68" s="327" t="s">
        <v>284</v>
      </c>
      <c r="H68" s="401" t="s">
        <v>265</v>
      </c>
      <c r="I68" s="402"/>
      <c r="J68" s="343" t="s">
        <v>266</v>
      </c>
      <c r="K68" s="343" t="s">
        <v>267</v>
      </c>
      <c r="L68" s="328" cm="1">
        <f t="array" ref="L68">IF($E68="","",SUMPRODUCT(MAX(($S68:$AC68&lt;&gt;"")*$AE$3:$AO$3)))</f>
        <v>0</v>
      </c>
      <c r="M68" s="344" t="str">
        <f>IF(COUNT($S68:$AC68)=0,"",MAX($S68:$AC68))</f>
        <v/>
      </c>
      <c r="N68" s="329" t="str">
        <f ca="1">IF($M68="","",TODAY()-$M68)</f>
        <v/>
      </c>
      <c r="O68" s="392" t="str">
        <f>IF($M68="","No Record",IF($L68&gt;=1,"Live",IF($N68&gt;=90,"Stalled 90d+",IF($N68&gt;=60,"Stalled 60d+",IF($N68&gt;=30,"Stalled 30d+","In Progress")))))</f>
        <v>No Record</v>
      </c>
      <c r="P68" s="416"/>
      <c r="Q68" s="417"/>
      <c r="R68" s="417"/>
      <c r="S68" s="409"/>
      <c r="T68" s="330"/>
      <c r="U68" s="330"/>
      <c r="V68" s="330"/>
      <c r="W68" s="330"/>
      <c r="X68" s="330"/>
      <c r="Y68" s="330"/>
      <c r="Z68" s="330"/>
      <c r="AA68" s="330"/>
      <c r="AB68" s="330"/>
      <c r="AC68" s="330"/>
      <c r="AD68" s="363" t="s">
        <v>268</v>
      </c>
    </row>
    <row r="69" spans="1:30">
      <c r="A69" s="325">
        <f>IF($E69="","",COUNTA($E$4:$E69))</f>
        <v>66</v>
      </c>
      <c r="B69" s="391" t="str">
        <f>IF($E69="","",IF($M69="","Contact",LOOKUP($L69,$AE$5:$AE$8,$AF$5:$AF$8)))</f>
        <v>Live</v>
      </c>
      <c r="C69" s="401"/>
      <c r="D69" s="397" t="s">
        <v>282</v>
      </c>
      <c r="E69" s="117" t="s">
        <v>368</v>
      </c>
      <c r="F69" s="345" t="s">
        <v>296</v>
      </c>
      <c r="G69" s="117"/>
      <c r="H69" s="401" t="s">
        <v>265</v>
      </c>
      <c r="I69" s="404"/>
      <c r="J69" s="117" t="s">
        <v>297</v>
      </c>
      <c r="K69" s="117" t="s">
        <v>302</v>
      </c>
      <c r="L69" s="352" cm="1">
        <f t="array" ref="L69">IF($E69="","",SUMPRODUCT(MAX(($S69:$AC69&lt;&gt;"")*$AE$3:$AO$3)))</f>
        <v>1</v>
      </c>
      <c r="M69" s="120">
        <f>IF(COUNT($S69:$AC69)=0,"",MAX($S69:$AC69))</f>
        <v>43845</v>
      </c>
      <c r="N69" s="361">
        <f ca="1">IF($M69="","",TODAY()-$M69)</f>
        <v>2417</v>
      </c>
      <c r="O69" s="407" t="str">
        <f>IF($M69="","No Record",IF($L69&gt;=1,"Live",IF($N69&gt;=90,"Stalled 90d+",IF($N69&gt;=60,"Stalled 60d+",IF($N69&gt;=30,"Stalled 30d+","In Progress")))))</f>
        <v>Live</v>
      </c>
      <c r="P69" s="416"/>
      <c r="Q69" s="417"/>
      <c r="R69" s="417"/>
      <c r="S69" s="411"/>
      <c r="T69" s="354"/>
      <c r="U69" s="354"/>
      <c r="V69" s="353"/>
      <c r="W69" s="353"/>
      <c r="X69" s="353"/>
      <c r="Y69" s="353"/>
      <c r="Z69" s="353"/>
      <c r="AA69" s="354"/>
      <c r="AB69" s="353"/>
      <c r="AC69" s="354">
        <v>43845</v>
      </c>
      <c r="AD69" s="363" t="s">
        <v>268</v>
      </c>
    </row>
    <row r="70" spans="1:30">
      <c r="A70" s="325">
        <f>IF($E70="","",COUNTA($E$4:$E70))</f>
        <v>67</v>
      </c>
      <c r="B70" s="391" t="str">
        <f>IF($E70="","",IF($M70="","Contact",LOOKUP($L70,$AE$5:$AE$8,$AF$5:$AF$8)))</f>
        <v>Live</v>
      </c>
      <c r="C70" s="401"/>
      <c r="D70" s="397" t="s">
        <v>269</v>
      </c>
      <c r="E70" s="117" t="s">
        <v>369</v>
      </c>
      <c r="F70" s="345" t="s">
        <v>296</v>
      </c>
      <c r="G70" s="117"/>
      <c r="H70" s="401" t="s">
        <v>265</v>
      </c>
      <c r="I70" s="404"/>
      <c r="J70" s="117" t="s">
        <v>297</v>
      </c>
      <c r="K70" s="117" t="s">
        <v>298</v>
      </c>
      <c r="L70" s="352" cm="1">
        <f t="array" ref="L70">IF($E70="","",SUMPRODUCT(MAX(($S70:$AC70&lt;&gt;"")*$AE$3:$AO$3)))</f>
        <v>1</v>
      </c>
      <c r="M70" s="120">
        <f>IF(COUNT($S70:$AC70)=0,"",MAX($S70:$AC70))</f>
        <v>45959</v>
      </c>
      <c r="N70" s="361">
        <f ca="1">IF($M70="","",TODAY()-$M70)</f>
        <v>303</v>
      </c>
      <c r="O70" s="407" t="str">
        <f>IF($M70="","No Record",IF($L70&gt;=1,"Live",IF($N70&gt;=90,"Stalled 90d+",IF($N70&gt;=60,"Stalled 60d+",IF($N70&gt;=30,"Stalled 30d+","In Progress")))))</f>
        <v>Live</v>
      </c>
      <c r="P70" s="416"/>
      <c r="Q70" s="417"/>
      <c r="R70" s="417"/>
      <c r="S70" s="411"/>
      <c r="T70" s="354"/>
      <c r="U70" s="354"/>
      <c r="V70" s="353"/>
      <c r="W70" s="353"/>
      <c r="X70" s="353"/>
      <c r="Y70" s="353"/>
      <c r="Z70" s="353"/>
      <c r="AA70" s="354"/>
      <c r="AB70" s="353"/>
      <c r="AC70" s="354">
        <v>45959</v>
      </c>
      <c r="AD70" s="363" t="s">
        <v>268</v>
      </c>
    </row>
    <row r="71" spans="1:30">
      <c r="A71" s="325">
        <f>IF($E71="","",COUNTA($E$4:$E71))</f>
        <v>68</v>
      </c>
      <c r="B71" s="391" t="str">
        <f>IF($E71="","",IF($M71="","Contact",LOOKUP($L71,$AE$5:$AE$8,$AF$5:$AF$8)))</f>
        <v>Live</v>
      </c>
      <c r="C71" s="401"/>
      <c r="D71" s="397" t="s">
        <v>269</v>
      </c>
      <c r="E71" s="117" t="s">
        <v>370</v>
      </c>
      <c r="F71" s="345" t="s">
        <v>296</v>
      </c>
      <c r="G71" s="117"/>
      <c r="H71" s="401" t="s">
        <v>265</v>
      </c>
      <c r="I71" s="404"/>
      <c r="J71" s="117" t="s">
        <v>297</v>
      </c>
      <c r="K71" s="117" t="s">
        <v>298</v>
      </c>
      <c r="L71" s="352" cm="1">
        <f t="array" ref="L71">IF($E71="","",SUMPRODUCT(MAX(($S71:$AC71&lt;&gt;"")*$AE$3:$AO$3)))</f>
        <v>1</v>
      </c>
      <c r="M71" s="120">
        <f>IF(COUNT($S71:$AC71)=0,"",MAX($S71:$AC71))</f>
        <v>45959</v>
      </c>
      <c r="N71" s="361">
        <f ca="1">IF($M71="","",TODAY()-$M71)</f>
        <v>303</v>
      </c>
      <c r="O71" s="407" t="str">
        <f>IF($M71="","No Record",IF($L71&gt;=1,"Live",IF($N71&gt;=90,"Stalled 90d+",IF($N71&gt;=60,"Stalled 60d+",IF($N71&gt;=30,"Stalled 30d+","In Progress")))))</f>
        <v>Live</v>
      </c>
      <c r="P71" s="416"/>
      <c r="Q71" s="417"/>
      <c r="R71" s="417"/>
      <c r="S71" s="411"/>
      <c r="T71" s="354">
        <v>43892</v>
      </c>
      <c r="U71" s="354"/>
      <c r="V71" s="353"/>
      <c r="W71" s="353"/>
      <c r="X71" s="353"/>
      <c r="Y71" s="353"/>
      <c r="Z71" s="353"/>
      <c r="AA71" s="354"/>
      <c r="AB71" s="353"/>
      <c r="AC71" s="354">
        <v>45959</v>
      </c>
      <c r="AD71" s="363" t="s">
        <v>268</v>
      </c>
    </row>
    <row r="72" spans="1:30">
      <c r="A72" s="325">
        <f>IF($E72="","",COUNTA($E$4:$E72))</f>
        <v>69</v>
      </c>
      <c r="B72" s="391" t="str">
        <f>IF($E72="","",IF($M72="","Contact",LOOKUP($L72,$AE$5:$AE$8,$AF$5:$AF$8)))</f>
        <v>Live</v>
      </c>
      <c r="C72" s="401"/>
      <c r="D72" s="397" t="s">
        <v>261</v>
      </c>
      <c r="E72" s="117" t="s">
        <v>371</v>
      </c>
      <c r="F72" s="345" t="s">
        <v>296</v>
      </c>
      <c r="G72" s="117"/>
      <c r="H72" s="401" t="s">
        <v>280</v>
      </c>
      <c r="I72" s="404"/>
      <c r="J72" s="117" t="s">
        <v>297</v>
      </c>
      <c r="K72" s="117" t="s">
        <v>302</v>
      </c>
      <c r="L72" s="352" cm="1">
        <f t="array" ref="L72">IF($E72="","",SUMPRODUCT(MAX(($S72:$AC72&lt;&gt;"")*$AE$3:$AO$3)))</f>
        <v>1</v>
      </c>
      <c r="M72" s="120">
        <f>IF(COUNT($S72:$AC72)=0,"",MAX($S72:$AC72))</f>
        <v>45959</v>
      </c>
      <c r="N72" s="361">
        <f ca="1">IF($M72="","",TODAY()-$M72)</f>
        <v>303</v>
      </c>
      <c r="O72" s="407" t="str">
        <f>IF($M72="","No Record",IF($L72&gt;=1,"Live",IF($N72&gt;=90,"Stalled 90d+",IF($N72&gt;=60,"Stalled 60d+",IF($N72&gt;=30,"Stalled 30d+","In Progress")))))</f>
        <v>Live</v>
      </c>
      <c r="P72" s="416"/>
      <c r="Q72" s="417"/>
      <c r="R72" s="417"/>
      <c r="S72" s="411"/>
      <c r="T72" s="354"/>
      <c r="U72" s="354"/>
      <c r="V72" s="353"/>
      <c r="W72" s="353"/>
      <c r="X72" s="353"/>
      <c r="Y72" s="353"/>
      <c r="Z72" s="353"/>
      <c r="AA72" s="354"/>
      <c r="AB72" s="353"/>
      <c r="AC72" s="354">
        <v>45959</v>
      </c>
      <c r="AD72" s="363" t="s">
        <v>268</v>
      </c>
    </row>
    <row r="73" spans="1:30">
      <c r="A73" s="325">
        <f>IF($E73="","",COUNTA($E$4:$E73))</f>
        <v>70</v>
      </c>
      <c r="B73" s="391" t="str">
        <f>IF($E73="","",IF($M73="","Contact",LOOKUP($L73,$AE$5:$AE$8,$AF$5:$AF$8)))</f>
        <v>Live</v>
      </c>
      <c r="C73" s="401"/>
      <c r="D73" s="397" t="s">
        <v>360</v>
      </c>
      <c r="E73" s="117" t="s">
        <v>372</v>
      </c>
      <c r="F73" s="345" t="s">
        <v>296</v>
      </c>
      <c r="G73" s="117"/>
      <c r="H73" s="401" t="s">
        <v>280</v>
      </c>
      <c r="I73" s="404"/>
      <c r="J73" s="117" t="s">
        <v>297</v>
      </c>
      <c r="K73" s="117" t="s">
        <v>302</v>
      </c>
      <c r="L73" s="352" cm="1">
        <f t="array" ref="L73">IF($E73="","",SUMPRODUCT(MAX(($S73:$AC73&lt;&gt;"")*$AE$3:$AO$3)))</f>
        <v>1</v>
      </c>
      <c r="M73" s="120">
        <f>IF(COUNT($S73:$AC73)=0,"",MAX($S73:$AC73))</f>
        <v>45959</v>
      </c>
      <c r="N73" s="361">
        <f ca="1">IF($M73="","",TODAY()-$M73)</f>
        <v>303</v>
      </c>
      <c r="O73" s="407" t="str">
        <f>IF($M73="","No Record",IF($L73&gt;=1,"Live",IF($N73&gt;=90,"Stalled 90d+",IF($N73&gt;=60,"Stalled 60d+",IF($N73&gt;=30,"Stalled 30d+","In Progress")))))</f>
        <v>Live</v>
      </c>
      <c r="P73" s="416"/>
      <c r="Q73" s="417"/>
      <c r="R73" s="417"/>
      <c r="S73" s="411"/>
      <c r="T73" s="354"/>
      <c r="U73" s="354"/>
      <c r="V73" s="353"/>
      <c r="W73" s="353"/>
      <c r="X73" s="353"/>
      <c r="Y73" s="353"/>
      <c r="Z73" s="353"/>
      <c r="AA73" s="354"/>
      <c r="AB73" s="353"/>
      <c r="AC73" s="354">
        <v>45959</v>
      </c>
      <c r="AD73" s="363" t="s">
        <v>268</v>
      </c>
    </row>
    <row r="74" spans="1:30">
      <c r="A74" s="325">
        <f>IF($E74="","",COUNTA($E$4:$E74))</f>
        <v>71</v>
      </c>
      <c r="B74" s="391" t="str">
        <f>IF($E74="","",IF($M74="","Contact",LOOKUP($L74,$AE$5:$AE$8,$AF$5:$AF$8)))</f>
        <v>Live</v>
      </c>
      <c r="C74" s="401"/>
      <c r="D74" s="397" t="s">
        <v>261</v>
      </c>
      <c r="E74" s="117" t="s">
        <v>373</v>
      </c>
      <c r="F74" s="345" t="s">
        <v>296</v>
      </c>
      <c r="G74" s="117"/>
      <c r="H74" s="401" t="s">
        <v>280</v>
      </c>
      <c r="I74" s="404"/>
      <c r="J74" s="117" t="s">
        <v>297</v>
      </c>
      <c r="K74" s="117" t="s">
        <v>302</v>
      </c>
      <c r="L74" s="352" cm="1">
        <f t="array" ref="L74">IF($E74="","",SUMPRODUCT(MAX(($S74:$AC74&lt;&gt;"")*$AE$3:$AO$3)))</f>
        <v>1</v>
      </c>
      <c r="M74" s="120">
        <f>IF(COUNT($S74:$AC74)=0,"",MAX($S74:$AC74))</f>
        <v>45959</v>
      </c>
      <c r="N74" s="361">
        <f ca="1">IF($M74="","",TODAY()-$M74)</f>
        <v>303</v>
      </c>
      <c r="O74" s="407" t="str">
        <f>IF($M74="","No Record",IF($L74&gt;=1,"Live",IF($N74&gt;=90,"Stalled 90d+",IF($N74&gt;=60,"Stalled 60d+",IF($N74&gt;=30,"Stalled 30d+","In Progress")))))</f>
        <v>Live</v>
      </c>
      <c r="P74" s="416"/>
      <c r="Q74" s="417"/>
      <c r="R74" s="417"/>
      <c r="S74" s="411"/>
      <c r="T74" s="354"/>
      <c r="U74" s="354"/>
      <c r="V74" s="353"/>
      <c r="W74" s="353"/>
      <c r="X74" s="353"/>
      <c r="Y74" s="353"/>
      <c r="Z74" s="353"/>
      <c r="AA74" s="354"/>
      <c r="AB74" s="353"/>
      <c r="AC74" s="354">
        <v>45959</v>
      </c>
      <c r="AD74" s="363" t="s">
        <v>268</v>
      </c>
    </row>
    <row r="75" spans="1:30">
      <c r="A75" s="325">
        <f>IF($E75="","",COUNTA($E$4:$E75))</f>
        <v>72</v>
      </c>
      <c r="B75" s="391" t="str">
        <f>IF($E75="","",IF($M75="","Contact",LOOKUP($L75,$AE$5:$AE$8,$AF$5:$AF$8)))</f>
        <v>Live</v>
      </c>
      <c r="C75" s="401"/>
      <c r="D75" s="397" t="s">
        <v>261</v>
      </c>
      <c r="E75" s="117" t="s">
        <v>374</v>
      </c>
      <c r="F75" s="345" t="s">
        <v>296</v>
      </c>
      <c r="G75" s="117"/>
      <c r="H75" s="401" t="s">
        <v>280</v>
      </c>
      <c r="I75" s="404"/>
      <c r="J75" s="117" t="s">
        <v>297</v>
      </c>
      <c r="K75" s="117" t="s">
        <v>302</v>
      </c>
      <c r="L75" s="352" cm="1">
        <f t="array" ref="L75">IF($E75="","",SUMPRODUCT(MAX(($S75:$AC75&lt;&gt;"")*$AE$3:$AO$3)))</f>
        <v>1</v>
      </c>
      <c r="M75" s="120">
        <f>IF(COUNT($S75:$AC75)=0,"",MAX($S75:$AC75))</f>
        <v>45959</v>
      </c>
      <c r="N75" s="361">
        <f ca="1">IF($M75="","",TODAY()-$M75)</f>
        <v>303</v>
      </c>
      <c r="O75" s="407" t="str">
        <f>IF($M75="","No Record",IF($L75&gt;=1,"Live",IF($N75&gt;=90,"Stalled 90d+",IF($N75&gt;=60,"Stalled 60d+",IF($N75&gt;=30,"Stalled 30d+","In Progress")))))</f>
        <v>Live</v>
      </c>
      <c r="P75" s="416"/>
      <c r="Q75" s="417"/>
      <c r="R75" s="417"/>
      <c r="S75" s="411"/>
      <c r="T75" s="354"/>
      <c r="U75" s="354"/>
      <c r="V75" s="353"/>
      <c r="W75" s="353"/>
      <c r="X75" s="353"/>
      <c r="Y75" s="353"/>
      <c r="Z75" s="353"/>
      <c r="AA75" s="354"/>
      <c r="AB75" s="353"/>
      <c r="AC75" s="354">
        <v>45959</v>
      </c>
      <c r="AD75" s="363" t="s">
        <v>268</v>
      </c>
    </row>
    <row r="76" spans="1:30">
      <c r="A76" s="325">
        <f>IF($E76="","",COUNTA($E$4:$E76))</f>
        <v>73</v>
      </c>
      <c r="B76" s="391" t="str">
        <f>IF($E76="","",IF($M76="","Contact",LOOKUP($L76,$AE$5:$AE$8,$AF$5:$AF$8)))</f>
        <v>Live</v>
      </c>
      <c r="C76" s="401"/>
      <c r="D76" s="397" t="s">
        <v>269</v>
      </c>
      <c r="E76" s="117" t="s">
        <v>375</v>
      </c>
      <c r="F76" s="345" t="s">
        <v>296</v>
      </c>
      <c r="G76" s="117"/>
      <c r="H76" s="401" t="s">
        <v>280</v>
      </c>
      <c r="I76" s="404"/>
      <c r="J76" s="117" t="s">
        <v>297</v>
      </c>
      <c r="K76" s="117" t="s">
        <v>298</v>
      </c>
      <c r="L76" s="352" cm="1">
        <f t="array" ref="L76">IF($E76="","",SUMPRODUCT(MAX(($S76:$AC76&lt;&gt;"")*$AE$3:$AO$3)))</f>
        <v>1</v>
      </c>
      <c r="M76" s="120">
        <f t="shared" ref="M76:M98" si="0">IF(COUNT($S76:$AC76)=0,"",MAX($S76:$AC76))</f>
        <v>45959</v>
      </c>
      <c r="N76" s="361">
        <f t="shared" ref="N76:N98" ca="1" si="1">IF($M76="","",TODAY()-$M76)</f>
        <v>303</v>
      </c>
      <c r="O76" s="407" t="str">
        <f t="shared" ref="O76:O98" si="2">IF($M76="","No Record",IF($L76&gt;=1,"Live",IF($N76&gt;=90,"Stalled 90d+",IF($N76&gt;=60,"Stalled 60d+",IF($N76&gt;=30,"Stalled 30d+","In Progress")))))</f>
        <v>Live</v>
      </c>
      <c r="P76" s="416"/>
      <c r="Q76" s="417"/>
      <c r="R76" s="417"/>
      <c r="S76" s="411">
        <v>45195</v>
      </c>
      <c r="T76" s="354">
        <v>45217</v>
      </c>
      <c r="U76" s="354">
        <v>45217</v>
      </c>
      <c r="V76" s="353"/>
      <c r="W76" s="353"/>
      <c r="X76" s="353"/>
      <c r="Y76" s="353"/>
      <c r="Z76" s="353"/>
      <c r="AA76" s="354"/>
      <c r="AB76" s="353"/>
      <c r="AC76" s="354">
        <v>45959</v>
      </c>
      <c r="AD76" s="363" t="s">
        <v>274</v>
      </c>
    </row>
    <row r="77" spans="1:30">
      <c r="A77" s="325">
        <f>IF($E77="","",COUNTA($E$4:$E77))</f>
        <v>74</v>
      </c>
      <c r="B77" s="391" t="str">
        <f>IF($E77="","",IF($M77="","Contact",LOOKUP($L77,$AE$5:$AE$8,$AF$5:$AF$8)))</f>
        <v>Live</v>
      </c>
      <c r="C77" s="401"/>
      <c r="D77" s="397" t="s">
        <v>300</v>
      </c>
      <c r="E77" s="117" t="s">
        <v>376</v>
      </c>
      <c r="F77" s="345" t="s">
        <v>296</v>
      </c>
      <c r="G77" s="117"/>
      <c r="H77" s="401" t="s">
        <v>265</v>
      </c>
      <c r="I77" s="404"/>
      <c r="J77" s="117" t="s">
        <v>297</v>
      </c>
      <c r="K77" s="343" t="s">
        <v>305</v>
      </c>
      <c r="L77" s="352" cm="1">
        <f t="array" ref="L77">IF($E77="","",SUMPRODUCT(MAX(($S77:$AC77&lt;&gt;"")*$AE$3:$AO$3)))</f>
        <v>1</v>
      </c>
      <c r="M77" s="120">
        <f t="shared" si="0"/>
        <v>45959</v>
      </c>
      <c r="N77" s="361">
        <f t="shared" ca="1" si="1"/>
        <v>303</v>
      </c>
      <c r="O77" s="407" t="str">
        <f t="shared" si="2"/>
        <v>Live</v>
      </c>
      <c r="P77" s="416"/>
      <c r="Q77" s="417"/>
      <c r="R77" s="417"/>
      <c r="S77" s="411"/>
      <c r="T77" s="354"/>
      <c r="U77" s="354"/>
      <c r="V77" s="353"/>
      <c r="W77" s="353"/>
      <c r="X77" s="353"/>
      <c r="Y77" s="353"/>
      <c r="Z77" s="353"/>
      <c r="AA77" s="354"/>
      <c r="AB77" s="353"/>
      <c r="AC77" s="354">
        <v>45959</v>
      </c>
      <c r="AD77" s="363" t="s">
        <v>268</v>
      </c>
    </row>
    <row r="78" spans="1:30">
      <c r="A78" s="325">
        <f>IF($E78="","",COUNTA($E$4:$E78))</f>
        <v>75</v>
      </c>
      <c r="B78" s="392" t="str">
        <f>IF($E78="","",IF($M78="","Contact",LOOKUP($L78,$AE$5:$AE$8,$AF$5:$AF$8)))</f>
        <v>Live</v>
      </c>
      <c r="C78" s="401"/>
      <c r="D78" s="398" t="s">
        <v>313</v>
      </c>
      <c r="E78" s="117" t="s">
        <v>377</v>
      </c>
      <c r="F78" s="345" t="s">
        <v>296</v>
      </c>
      <c r="G78" s="117"/>
      <c r="H78" s="401" t="s">
        <v>280</v>
      </c>
      <c r="I78" s="404"/>
      <c r="J78" s="117" t="s">
        <v>297</v>
      </c>
      <c r="K78" s="117" t="s">
        <v>302</v>
      </c>
      <c r="L78" s="352" cm="1">
        <f t="array" ref="L78">IF($E78="","",SUMPRODUCT(MAX(($S78:$AC78&lt;&gt;"")*$AE$3:$AO$3)))</f>
        <v>1</v>
      </c>
      <c r="M78" s="120">
        <f t="shared" si="0"/>
        <v>46029</v>
      </c>
      <c r="N78" s="361">
        <f t="shared" ca="1" si="1"/>
        <v>233</v>
      </c>
      <c r="O78" s="407" t="str">
        <f t="shared" si="2"/>
        <v>Live</v>
      </c>
      <c r="P78" s="416"/>
      <c r="Q78" s="417"/>
      <c r="R78" s="417"/>
      <c r="S78" s="411"/>
      <c r="T78" s="354"/>
      <c r="U78" s="354"/>
      <c r="V78" s="353"/>
      <c r="W78" s="353"/>
      <c r="X78" s="353"/>
      <c r="Y78" s="353"/>
      <c r="Z78" s="353"/>
      <c r="AA78" s="354"/>
      <c r="AB78" s="353"/>
      <c r="AC78" s="354">
        <v>46029</v>
      </c>
      <c r="AD78" s="363" t="s">
        <v>285</v>
      </c>
    </row>
    <row r="79" spans="1:30">
      <c r="A79" s="325">
        <f>IF($E79="","",COUNTA($E$4:$E79))</f>
        <v>76</v>
      </c>
      <c r="B79" s="392" t="str">
        <f>IF($E79="","",IF($M79="","Contact",LOOKUP($L79,$AE$5:$AE$8,$AF$5:$AF$8)))</f>
        <v>Live</v>
      </c>
      <c r="C79" s="401"/>
      <c r="D79" s="398" t="s">
        <v>360</v>
      </c>
      <c r="E79" s="117" t="s">
        <v>378</v>
      </c>
      <c r="F79" s="345" t="s">
        <v>296</v>
      </c>
      <c r="G79" s="117"/>
      <c r="H79" s="401" t="s">
        <v>280</v>
      </c>
      <c r="I79" s="404"/>
      <c r="J79" s="117" t="s">
        <v>297</v>
      </c>
      <c r="K79" s="117" t="s">
        <v>302</v>
      </c>
      <c r="L79" s="352" cm="1">
        <f t="array" ref="L79">IF($E79="","",SUMPRODUCT(MAX(($S79:$AC79&lt;&gt;"")*$AE$3:$AO$3)))</f>
        <v>1</v>
      </c>
      <c r="M79" s="120">
        <f t="shared" si="0"/>
        <v>46029</v>
      </c>
      <c r="N79" s="361">
        <f t="shared" ca="1" si="1"/>
        <v>233</v>
      </c>
      <c r="O79" s="407" t="str">
        <f t="shared" si="2"/>
        <v>Live</v>
      </c>
      <c r="P79" s="416"/>
      <c r="Q79" s="417"/>
      <c r="R79" s="417"/>
      <c r="S79" s="411"/>
      <c r="T79" s="354"/>
      <c r="U79" s="354"/>
      <c r="V79" s="353"/>
      <c r="W79" s="353"/>
      <c r="X79" s="353"/>
      <c r="Y79" s="353"/>
      <c r="Z79" s="353"/>
      <c r="AA79" s="354"/>
      <c r="AB79" s="353"/>
      <c r="AC79" s="354">
        <v>46029</v>
      </c>
      <c r="AD79" s="363" t="s">
        <v>285</v>
      </c>
    </row>
    <row r="80" spans="1:30">
      <c r="A80" s="325">
        <f>IF($E80="","",COUNTA($E$4:$E80))</f>
        <v>77</v>
      </c>
      <c r="B80" s="392" t="str">
        <f>IF($E80="","",IF($M80="","Contact",LOOKUP($L80,$AE$5:$AE$8,$AF$5:$AF$8)))</f>
        <v>Live</v>
      </c>
      <c r="C80" s="401"/>
      <c r="D80" s="396" t="s">
        <v>269</v>
      </c>
      <c r="E80" s="117" t="s">
        <v>379</v>
      </c>
      <c r="F80" s="345" t="s">
        <v>296</v>
      </c>
      <c r="G80" s="117"/>
      <c r="H80" s="401" t="s">
        <v>280</v>
      </c>
      <c r="I80" s="404"/>
      <c r="J80" s="117" t="s">
        <v>297</v>
      </c>
      <c r="K80" s="117" t="s">
        <v>298</v>
      </c>
      <c r="L80" s="352" cm="1">
        <f t="array" ref="L80">IF($E80="","",SUMPRODUCT(MAX(($S80:$AC80&lt;&gt;"")*$AE$3:$AO$3)))</f>
        <v>1</v>
      </c>
      <c r="M80" s="120">
        <f t="shared" si="0"/>
        <v>46029</v>
      </c>
      <c r="N80" s="361">
        <f t="shared" ca="1" si="1"/>
        <v>233</v>
      </c>
      <c r="O80" s="407" t="str">
        <f t="shared" si="2"/>
        <v>Live</v>
      </c>
      <c r="P80" s="416"/>
      <c r="Q80" s="417"/>
      <c r="R80" s="417"/>
      <c r="S80" s="411">
        <v>45940</v>
      </c>
      <c r="T80" s="354"/>
      <c r="U80" s="354"/>
      <c r="V80" s="353"/>
      <c r="W80" s="353">
        <v>45974</v>
      </c>
      <c r="X80" s="353">
        <v>45985</v>
      </c>
      <c r="Y80" s="353"/>
      <c r="Z80" s="353"/>
      <c r="AA80" s="354"/>
      <c r="AB80" s="353"/>
      <c r="AC80" s="354">
        <v>46029</v>
      </c>
      <c r="AD80" s="363" t="s">
        <v>285</v>
      </c>
    </row>
    <row r="81" spans="1:30">
      <c r="A81" s="325">
        <f>IF($E81="","",COUNTA($E$4:$E81))</f>
        <v>78</v>
      </c>
      <c r="B81" s="392" t="str">
        <f>IF($E81="","",IF($M81="","Contact",LOOKUP($L81,$AE$5:$AE$8,$AF$5:$AF$8)))</f>
        <v>Live</v>
      </c>
      <c r="C81" s="401"/>
      <c r="D81" s="398" t="s">
        <v>261</v>
      </c>
      <c r="E81" s="117" t="s">
        <v>380</v>
      </c>
      <c r="F81" s="345" t="s">
        <v>296</v>
      </c>
      <c r="G81" s="117"/>
      <c r="H81" s="401" t="s">
        <v>280</v>
      </c>
      <c r="I81" s="404"/>
      <c r="J81" s="117" t="s">
        <v>297</v>
      </c>
      <c r="K81" s="117" t="s">
        <v>298</v>
      </c>
      <c r="L81" s="352" cm="1">
        <f t="array" ref="L81">IF($E81="","",SUMPRODUCT(MAX(($S81:$AC81&lt;&gt;"")*$AE$3:$AO$3)))</f>
        <v>1</v>
      </c>
      <c r="M81" s="120">
        <f t="shared" si="0"/>
        <v>46149</v>
      </c>
      <c r="N81" s="361">
        <f t="shared" ca="1" si="1"/>
        <v>113</v>
      </c>
      <c r="O81" s="407" t="str">
        <f t="shared" si="2"/>
        <v>Live</v>
      </c>
      <c r="P81" s="416"/>
      <c r="Q81" s="417"/>
      <c r="R81" s="417"/>
      <c r="S81" s="411">
        <v>45926</v>
      </c>
      <c r="T81" s="354">
        <v>46031</v>
      </c>
      <c r="U81" s="354">
        <v>46031</v>
      </c>
      <c r="V81" s="353"/>
      <c r="W81" s="353"/>
      <c r="X81" s="353">
        <v>46141</v>
      </c>
      <c r="Y81" s="353">
        <v>46149</v>
      </c>
      <c r="Z81" s="353"/>
      <c r="AA81" s="354"/>
      <c r="AB81" s="353"/>
      <c r="AC81" s="354">
        <v>46029</v>
      </c>
      <c r="AD81" s="363" t="s">
        <v>285</v>
      </c>
    </row>
    <row r="82" spans="1:30">
      <c r="A82" s="325">
        <f>IF($E82="","",COUNTA($E$4:$E82))</f>
        <v>79</v>
      </c>
      <c r="B82" s="392" t="str">
        <f>IF($E82="","",IF($M82="","Contact",LOOKUP($L82,$AE$5:$AE$8,$AF$5:$AF$8)))</f>
        <v>Live</v>
      </c>
      <c r="C82" s="401"/>
      <c r="D82" s="398" t="s">
        <v>261</v>
      </c>
      <c r="E82" s="117" t="s">
        <v>381</v>
      </c>
      <c r="F82" s="345" t="s">
        <v>296</v>
      </c>
      <c r="G82" s="117"/>
      <c r="H82" s="401" t="s">
        <v>280</v>
      </c>
      <c r="I82" s="404"/>
      <c r="J82" s="117" t="s">
        <v>297</v>
      </c>
      <c r="K82" s="117" t="s">
        <v>298</v>
      </c>
      <c r="L82" s="352" cm="1">
        <f t="array" ref="L82">IF($E82="","",SUMPRODUCT(MAX(($S82:$AC82&lt;&gt;"")*$AE$3:$AO$3)))</f>
        <v>1</v>
      </c>
      <c r="M82" s="120">
        <f t="shared" si="0"/>
        <v>46029</v>
      </c>
      <c r="N82" s="361">
        <f t="shared" ca="1" si="1"/>
        <v>233</v>
      </c>
      <c r="O82" s="407" t="str">
        <f t="shared" si="2"/>
        <v>Live</v>
      </c>
      <c r="P82" s="416"/>
      <c r="Q82" s="417"/>
      <c r="R82" s="417"/>
      <c r="S82" s="411"/>
      <c r="T82" s="354">
        <v>45991</v>
      </c>
      <c r="U82" s="354"/>
      <c r="V82" s="353">
        <v>45992</v>
      </c>
      <c r="W82" s="353">
        <v>45992</v>
      </c>
      <c r="X82" s="353"/>
      <c r="Y82" s="353"/>
      <c r="Z82" s="353"/>
      <c r="AA82" s="354"/>
      <c r="AB82" s="353"/>
      <c r="AC82" s="354">
        <v>46029</v>
      </c>
      <c r="AD82" s="363" t="s">
        <v>285</v>
      </c>
    </row>
    <row r="83" spans="1:30">
      <c r="A83" s="325">
        <f>IF($E83="","",COUNTA($E$4:$E83))</f>
        <v>80</v>
      </c>
      <c r="B83" s="392" t="str">
        <f>IF($E83="","",IF($M83="","Contact",LOOKUP($L83,$AE$5:$AE$8,$AF$5:$AF$8)))</f>
        <v>Live</v>
      </c>
      <c r="C83" s="401"/>
      <c r="D83" s="398" t="s">
        <v>269</v>
      </c>
      <c r="E83" s="117" t="s">
        <v>382</v>
      </c>
      <c r="F83" s="345" t="s">
        <v>296</v>
      </c>
      <c r="G83" s="117"/>
      <c r="H83" s="401" t="s">
        <v>280</v>
      </c>
      <c r="I83" s="404"/>
      <c r="J83" s="117" t="s">
        <v>297</v>
      </c>
      <c r="K83" s="117" t="s">
        <v>298</v>
      </c>
      <c r="L83" s="352" cm="1">
        <f t="array" ref="L83">IF($E83="","",SUMPRODUCT(MAX(($S83:$AC83&lt;&gt;"")*$AE$3:$AO$3)))</f>
        <v>1</v>
      </c>
      <c r="M83" s="120">
        <f t="shared" si="0"/>
        <v>46029</v>
      </c>
      <c r="N83" s="361">
        <f t="shared" ca="1" si="1"/>
        <v>233</v>
      </c>
      <c r="O83" s="407" t="str">
        <f t="shared" si="2"/>
        <v>Live</v>
      </c>
      <c r="P83" s="416"/>
      <c r="Q83" s="417"/>
      <c r="R83" s="417"/>
      <c r="S83" s="411">
        <v>45922</v>
      </c>
      <c r="T83" s="354"/>
      <c r="U83" s="354"/>
      <c r="V83" s="353">
        <v>45955</v>
      </c>
      <c r="W83" s="353">
        <v>46013</v>
      </c>
      <c r="X83" s="353"/>
      <c r="Y83" s="353"/>
      <c r="Z83" s="353"/>
      <c r="AA83" s="354"/>
      <c r="AB83" s="353"/>
      <c r="AC83" s="354">
        <v>46029</v>
      </c>
      <c r="AD83" s="363" t="s">
        <v>285</v>
      </c>
    </row>
    <row r="84" spans="1:30">
      <c r="A84" s="325">
        <f>IF($E84="","",COUNTA($E$4:$E84))</f>
        <v>81</v>
      </c>
      <c r="B84" s="392" t="str">
        <f>IF($E84="","",IF($M84="","Contact",LOOKUP($L84,$AE$5:$AE$8,$AF$5:$AF$8)))</f>
        <v>Live</v>
      </c>
      <c r="C84" s="401"/>
      <c r="D84" s="398" t="s">
        <v>269</v>
      </c>
      <c r="E84" s="117" t="s">
        <v>383</v>
      </c>
      <c r="F84" s="345" t="s">
        <v>296</v>
      </c>
      <c r="G84" s="117"/>
      <c r="H84" s="401" t="s">
        <v>280</v>
      </c>
      <c r="I84" s="404"/>
      <c r="J84" s="117" t="s">
        <v>297</v>
      </c>
      <c r="K84" s="117" t="s">
        <v>298</v>
      </c>
      <c r="L84" s="352" cm="1">
        <f t="array" ref="L84">IF($E84="","",SUMPRODUCT(MAX(($S84:$AC84&lt;&gt;"")*$AE$3:$AO$3)))</f>
        <v>1</v>
      </c>
      <c r="M84" s="120">
        <f t="shared" si="0"/>
        <v>46054</v>
      </c>
      <c r="N84" s="361">
        <f t="shared" ca="1" si="1"/>
        <v>208</v>
      </c>
      <c r="O84" s="407" t="str">
        <f t="shared" si="2"/>
        <v>Live</v>
      </c>
      <c r="P84" s="416"/>
      <c r="Q84" s="417"/>
      <c r="R84" s="417"/>
      <c r="S84" s="411">
        <v>46006</v>
      </c>
      <c r="T84" s="354"/>
      <c r="U84" s="354"/>
      <c r="V84" s="353">
        <v>46054</v>
      </c>
      <c r="W84" s="353"/>
      <c r="X84" s="353"/>
      <c r="Y84" s="353"/>
      <c r="Z84" s="353"/>
      <c r="AA84" s="354"/>
      <c r="AB84" s="353"/>
      <c r="AC84" s="354">
        <v>46029</v>
      </c>
      <c r="AD84" s="363" t="s">
        <v>285</v>
      </c>
    </row>
    <row r="85" spans="1:30">
      <c r="A85" s="325">
        <f>IF($E85="","",COUNTA($E$4:$E85))</f>
        <v>82</v>
      </c>
      <c r="B85" s="392" t="str">
        <f>IF($E85="","",IF($M85="","Contact",LOOKUP($L85,$AE$5:$AE$8,$AF$5:$AF$8)))</f>
        <v>Live</v>
      </c>
      <c r="C85" s="401"/>
      <c r="D85" s="398" t="s">
        <v>360</v>
      </c>
      <c r="E85" s="117" t="s">
        <v>378</v>
      </c>
      <c r="F85" s="345" t="s">
        <v>351</v>
      </c>
      <c r="G85" s="117"/>
      <c r="H85" s="401" t="s">
        <v>265</v>
      </c>
      <c r="I85" s="404"/>
      <c r="J85" s="117" t="s">
        <v>266</v>
      </c>
      <c r="K85" s="117" t="s">
        <v>267</v>
      </c>
      <c r="L85" s="352" cm="1">
        <f t="array" ref="L85">IF($E85="","",SUMPRODUCT(MAX(($S85:$AC85&lt;&gt;"")*$AE$3:$AO$3)))</f>
        <v>1</v>
      </c>
      <c r="M85" s="120">
        <f t="shared" si="0"/>
        <v>46029</v>
      </c>
      <c r="N85" s="361">
        <f t="shared" ca="1" si="1"/>
        <v>233</v>
      </c>
      <c r="O85" s="407" t="str">
        <f t="shared" si="2"/>
        <v>Live</v>
      </c>
      <c r="P85" s="416"/>
      <c r="Q85" s="417"/>
      <c r="R85" s="417"/>
      <c r="S85" s="411"/>
      <c r="T85" s="354"/>
      <c r="U85" s="354"/>
      <c r="V85" s="353"/>
      <c r="W85" s="353"/>
      <c r="X85" s="353"/>
      <c r="Y85" s="353"/>
      <c r="Z85" s="353"/>
      <c r="AA85" s="354"/>
      <c r="AB85" s="353"/>
      <c r="AC85" s="354">
        <v>46029</v>
      </c>
      <c r="AD85" s="363" t="s">
        <v>285</v>
      </c>
    </row>
    <row r="86" spans="1:30">
      <c r="A86" s="325">
        <f>IF($E86="","",COUNTA($E$4:$E86))</f>
        <v>83</v>
      </c>
      <c r="B86" s="392" t="str">
        <f>IF($E86="","",IF($M86="","Contact",LOOKUP($L86,$AE$5:$AE$8,$AF$5:$AF$8)))</f>
        <v>Live</v>
      </c>
      <c r="C86" s="401"/>
      <c r="D86" s="398" t="s">
        <v>269</v>
      </c>
      <c r="E86" s="117" t="s">
        <v>384</v>
      </c>
      <c r="F86" s="345" t="s">
        <v>296</v>
      </c>
      <c r="G86" s="117"/>
      <c r="H86" s="401" t="s">
        <v>265</v>
      </c>
      <c r="I86" s="404"/>
      <c r="J86" s="117" t="s">
        <v>297</v>
      </c>
      <c r="K86" s="117" t="s">
        <v>298</v>
      </c>
      <c r="L86" s="352" cm="1">
        <f t="array" ref="L86">IF($E86="","",SUMPRODUCT(MAX(($S86:$AC86&lt;&gt;"")*$AE$3:$AO$3)))</f>
        <v>1</v>
      </c>
      <c r="M86" s="120">
        <f t="shared" si="0"/>
        <v>46016</v>
      </c>
      <c r="N86" s="361">
        <f t="shared" ca="1" si="1"/>
        <v>246</v>
      </c>
      <c r="O86" s="407" t="str">
        <f t="shared" si="2"/>
        <v>Live</v>
      </c>
      <c r="P86" s="416"/>
      <c r="Q86" s="417"/>
      <c r="R86" s="417"/>
      <c r="S86" s="411">
        <v>45692</v>
      </c>
      <c r="T86" s="354">
        <v>45721</v>
      </c>
      <c r="U86" s="354">
        <v>45811</v>
      </c>
      <c r="V86" s="353">
        <v>45925</v>
      </c>
      <c r="W86" s="353">
        <v>45930</v>
      </c>
      <c r="X86" s="353">
        <v>45932</v>
      </c>
      <c r="Y86" s="353">
        <v>45955</v>
      </c>
      <c r="Z86" s="353">
        <v>45960</v>
      </c>
      <c r="AA86" s="354">
        <v>45972</v>
      </c>
      <c r="AB86" s="353">
        <v>45973</v>
      </c>
      <c r="AC86" s="354">
        <v>46016</v>
      </c>
      <c r="AD86" s="363" t="s">
        <v>285</v>
      </c>
    </row>
    <row r="87" spans="1:30">
      <c r="A87" s="325">
        <f>IF($E87="","",COUNTA($E$4:$E87))</f>
        <v>84</v>
      </c>
      <c r="B87" s="392" t="str">
        <f>IF($E87="","",IF($M87="","Contact",LOOKUP($L87,$AE$5:$AE$8,$AF$5:$AF$8)))</f>
        <v>Live</v>
      </c>
      <c r="C87" s="401"/>
      <c r="D87" s="398" t="s">
        <v>269</v>
      </c>
      <c r="E87" s="117" t="s">
        <v>385</v>
      </c>
      <c r="F87" s="345" t="s">
        <v>296</v>
      </c>
      <c r="G87" s="117"/>
      <c r="H87" s="401" t="s">
        <v>280</v>
      </c>
      <c r="I87" s="404"/>
      <c r="J87" s="117" t="s">
        <v>297</v>
      </c>
      <c r="K87" s="117" t="s">
        <v>298</v>
      </c>
      <c r="L87" s="352" cm="1">
        <f t="array" ref="L87">IF($E87="","",SUMPRODUCT(MAX(($S87:$AC87&lt;&gt;"")*$AE$3:$AO$3)))</f>
        <v>1</v>
      </c>
      <c r="M87" s="120">
        <f t="shared" si="0"/>
        <v>45959</v>
      </c>
      <c r="N87" s="361">
        <f t="shared" ca="1" si="1"/>
        <v>303</v>
      </c>
      <c r="O87" s="407" t="str">
        <f t="shared" si="2"/>
        <v>Live</v>
      </c>
      <c r="P87" s="416"/>
      <c r="Q87" s="417"/>
      <c r="R87" s="417"/>
      <c r="S87" s="411"/>
      <c r="T87" s="354">
        <v>44822</v>
      </c>
      <c r="U87" s="354"/>
      <c r="V87" s="353"/>
      <c r="W87" s="353"/>
      <c r="X87" s="353"/>
      <c r="Y87" s="353"/>
      <c r="Z87" s="353"/>
      <c r="AA87" s="354">
        <v>44876</v>
      </c>
      <c r="AB87" s="353"/>
      <c r="AC87" s="354">
        <v>45959</v>
      </c>
      <c r="AD87" s="363" t="s">
        <v>285</v>
      </c>
    </row>
    <row r="88" spans="1:30">
      <c r="A88" s="325">
        <f>IF($E88="","",COUNTA($E$4:$E88))</f>
        <v>85</v>
      </c>
      <c r="B88" s="392" t="str">
        <f>IF($E88="","",IF($M88="","Contact",LOOKUP($L88,$AE$5:$AE$8,$AF$5:$AF$8)))</f>
        <v>Live</v>
      </c>
      <c r="C88" s="401"/>
      <c r="D88" s="396" t="s">
        <v>269</v>
      </c>
      <c r="E88" s="117" t="s">
        <v>386</v>
      </c>
      <c r="F88" s="345" t="s">
        <v>296</v>
      </c>
      <c r="G88" s="117"/>
      <c r="H88" s="401" t="s">
        <v>280</v>
      </c>
      <c r="I88" s="404"/>
      <c r="J88" s="117" t="s">
        <v>297</v>
      </c>
      <c r="K88" s="117" t="s">
        <v>298</v>
      </c>
      <c r="L88" s="352" cm="1">
        <f t="array" ref="L88">IF($E88="","",SUMPRODUCT(MAX(($S88:$AC88&lt;&gt;"")*$AE$3:$AO$3)))</f>
        <v>1</v>
      </c>
      <c r="M88" s="120">
        <f t="shared" si="0"/>
        <v>45990</v>
      </c>
      <c r="N88" s="361">
        <f t="shared" ca="1" si="1"/>
        <v>272</v>
      </c>
      <c r="O88" s="407" t="str">
        <f t="shared" si="2"/>
        <v>Live</v>
      </c>
      <c r="P88" s="416"/>
      <c r="Q88" s="417"/>
      <c r="R88" s="417"/>
      <c r="S88" s="411">
        <v>45869</v>
      </c>
      <c r="T88" s="354">
        <v>45875</v>
      </c>
      <c r="U88" s="354">
        <v>45874</v>
      </c>
      <c r="V88" s="353">
        <v>45931</v>
      </c>
      <c r="W88" s="353">
        <v>45908</v>
      </c>
      <c r="X88" s="353">
        <v>45930</v>
      </c>
      <c r="Y88" s="353">
        <v>45952</v>
      </c>
      <c r="Z88" s="353"/>
      <c r="AA88" s="354">
        <v>45960</v>
      </c>
      <c r="AB88" s="353">
        <v>45961</v>
      </c>
      <c r="AC88" s="354">
        <v>45990</v>
      </c>
      <c r="AD88" s="363" t="s">
        <v>285</v>
      </c>
    </row>
    <row r="89" spans="1:30">
      <c r="A89" s="325">
        <f>IF($E89="","",COUNTA($E$4:$E89))</f>
        <v>86</v>
      </c>
      <c r="B89" s="392" t="str">
        <f>IF($E89="","",IF($M89="","Contact",LOOKUP($L89,$AE$5:$AE$8,$AF$5:$AF$8)))</f>
        <v>Live</v>
      </c>
      <c r="C89" s="401"/>
      <c r="D89" s="398" t="s">
        <v>269</v>
      </c>
      <c r="E89" s="117" t="s">
        <v>387</v>
      </c>
      <c r="F89" s="345" t="s">
        <v>296</v>
      </c>
      <c r="G89" s="117"/>
      <c r="H89" s="401" t="s">
        <v>280</v>
      </c>
      <c r="I89" s="404"/>
      <c r="J89" s="117" t="s">
        <v>297</v>
      </c>
      <c r="K89" s="117" t="s">
        <v>298</v>
      </c>
      <c r="L89" s="352" cm="1">
        <f t="array" ref="L89">IF($E89="","",SUMPRODUCT(MAX(($S89:$AC89&lt;&gt;"")*$AE$3:$AO$3)))</f>
        <v>1</v>
      </c>
      <c r="M89" s="120">
        <f t="shared" si="0"/>
        <v>45965</v>
      </c>
      <c r="N89" s="361">
        <f t="shared" ca="1" si="1"/>
        <v>297</v>
      </c>
      <c r="O89" s="407" t="str">
        <f t="shared" si="2"/>
        <v>Live</v>
      </c>
      <c r="P89" s="416"/>
      <c r="Q89" s="417"/>
      <c r="R89" s="417"/>
      <c r="S89" s="411">
        <v>45877</v>
      </c>
      <c r="T89" s="354">
        <v>45926</v>
      </c>
      <c r="U89" s="354"/>
      <c r="V89" s="353">
        <v>45960</v>
      </c>
      <c r="W89" s="353">
        <v>45915</v>
      </c>
      <c r="X89" s="353">
        <v>45943</v>
      </c>
      <c r="Y89" s="353">
        <v>45947</v>
      </c>
      <c r="Z89" s="353"/>
      <c r="AA89" s="354">
        <v>45951</v>
      </c>
      <c r="AB89" s="353">
        <v>45951</v>
      </c>
      <c r="AC89" s="354">
        <v>45965</v>
      </c>
      <c r="AD89" s="363" t="s">
        <v>285</v>
      </c>
    </row>
    <row r="90" spans="1:30">
      <c r="A90" s="325">
        <f>IF($E90="","",COUNTA($E$4:$E90))</f>
        <v>87</v>
      </c>
      <c r="B90" s="392" t="str">
        <f>IF($E90="","",IF($M90="","Contact",LOOKUP($L90,$AE$5:$AE$8,$AF$5:$AF$8)))</f>
        <v>Live</v>
      </c>
      <c r="C90" s="401"/>
      <c r="D90" s="399" t="s">
        <v>319</v>
      </c>
      <c r="E90" s="117" t="s">
        <v>388</v>
      </c>
      <c r="F90" s="345" t="s">
        <v>296</v>
      </c>
      <c r="G90" s="117"/>
      <c r="H90" s="401" t="s">
        <v>280</v>
      </c>
      <c r="I90" s="404"/>
      <c r="J90" s="117" t="s">
        <v>297</v>
      </c>
      <c r="K90" s="117" t="s">
        <v>298</v>
      </c>
      <c r="L90" s="352" cm="1">
        <f t="array" ref="L90">IF($E90="","",SUMPRODUCT(MAX(($S90:$AC90&lt;&gt;"")*$AE$3:$AO$3)))</f>
        <v>1</v>
      </c>
      <c r="M90" s="120">
        <f t="shared" si="0"/>
        <v>45990</v>
      </c>
      <c r="N90" s="361">
        <f t="shared" ca="1" si="1"/>
        <v>272</v>
      </c>
      <c r="O90" s="407" t="str">
        <f t="shared" si="2"/>
        <v>Live</v>
      </c>
      <c r="P90" s="416"/>
      <c r="Q90" s="417"/>
      <c r="R90" s="417"/>
      <c r="S90" s="411">
        <v>45918</v>
      </c>
      <c r="T90" s="354"/>
      <c r="U90" s="354"/>
      <c r="V90" s="353"/>
      <c r="W90" s="353"/>
      <c r="X90" s="353">
        <v>45915</v>
      </c>
      <c r="Y90" s="353"/>
      <c r="Z90" s="353"/>
      <c r="AA90" s="354">
        <v>45968</v>
      </c>
      <c r="AB90" s="353"/>
      <c r="AC90" s="354">
        <v>45990</v>
      </c>
      <c r="AD90" s="363" t="s">
        <v>285</v>
      </c>
    </row>
    <row r="91" spans="1:30">
      <c r="A91" s="325">
        <f>IF($E91="","",COUNTA($E$4:$E91))</f>
        <v>88</v>
      </c>
      <c r="B91" s="392" t="str">
        <f>IF($E91="","",IF($M91="","Contact",LOOKUP($L91,$AE$5:$AE$8,$AF$5:$AF$8)))</f>
        <v>Live</v>
      </c>
      <c r="C91" s="401"/>
      <c r="D91" s="398" t="s">
        <v>269</v>
      </c>
      <c r="E91" s="117" t="s">
        <v>389</v>
      </c>
      <c r="F91" s="345" t="s">
        <v>296</v>
      </c>
      <c r="G91" s="117"/>
      <c r="H91" s="401" t="s">
        <v>280</v>
      </c>
      <c r="I91" s="404"/>
      <c r="J91" s="117" t="s">
        <v>297</v>
      </c>
      <c r="K91" s="117" t="s">
        <v>298</v>
      </c>
      <c r="L91" s="352" cm="1">
        <f t="array" ref="L91">IF($E91="","",SUMPRODUCT(MAX(($S91:$AC91&lt;&gt;"")*$AE$3:$AO$3)))</f>
        <v>1</v>
      </c>
      <c r="M91" s="120">
        <f t="shared" si="0"/>
        <v>45965</v>
      </c>
      <c r="N91" s="361">
        <f t="shared" ca="1" si="1"/>
        <v>297</v>
      </c>
      <c r="O91" s="407" t="str">
        <f t="shared" si="2"/>
        <v>Live</v>
      </c>
      <c r="P91" s="416"/>
      <c r="Q91" s="417"/>
      <c r="R91" s="417"/>
      <c r="S91" s="411"/>
      <c r="T91" s="354">
        <v>45904</v>
      </c>
      <c r="U91" s="354">
        <v>45905</v>
      </c>
      <c r="V91" s="353"/>
      <c r="W91" s="353"/>
      <c r="X91" s="353"/>
      <c r="Y91" s="353">
        <v>45916</v>
      </c>
      <c r="Z91" s="353"/>
      <c r="AA91" s="354">
        <v>45940</v>
      </c>
      <c r="AB91" s="353">
        <v>45940</v>
      </c>
      <c r="AC91" s="354">
        <v>45965</v>
      </c>
      <c r="AD91" s="363" t="s">
        <v>285</v>
      </c>
    </row>
    <row r="92" spans="1:30" ht="15.75" customHeight="1">
      <c r="A92" s="325">
        <f>IF($E92="","",COUNTA($E$4:$E92))</f>
        <v>89</v>
      </c>
      <c r="B92" s="392" t="str">
        <f>IF($E92="","",IF($M92="","Contact",LOOKUP($L92,$AE$5:$AE$8,$AF$5:$AF$8)))</f>
        <v>Live</v>
      </c>
      <c r="C92" s="401"/>
      <c r="D92" s="398" t="s">
        <v>269</v>
      </c>
      <c r="E92" s="343" t="s">
        <v>390</v>
      </c>
      <c r="F92" s="333" t="s">
        <v>296</v>
      </c>
      <c r="G92" s="327"/>
      <c r="H92" s="401" t="s">
        <v>265</v>
      </c>
      <c r="I92" s="404"/>
      <c r="J92" s="117" t="s">
        <v>297</v>
      </c>
      <c r="K92" s="343" t="s">
        <v>298</v>
      </c>
      <c r="L92" s="328" cm="1">
        <f t="array" ref="L92">IF($E92="","",SUMPRODUCT(MAX(($S92:$AC92&lt;&gt;"")*$AE$3:$AO$3)))</f>
        <v>1</v>
      </c>
      <c r="M92" s="344">
        <f t="shared" si="0"/>
        <v>45959</v>
      </c>
      <c r="N92" s="329">
        <f t="shared" ca="1" si="1"/>
        <v>303</v>
      </c>
      <c r="O92" s="392" t="str">
        <f t="shared" si="2"/>
        <v>Live</v>
      </c>
      <c r="P92" s="416"/>
      <c r="Q92" s="417"/>
      <c r="R92" s="417"/>
      <c r="S92" s="412">
        <v>43888</v>
      </c>
      <c r="T92" s="355"/>
      <c r="U92" s="355"/>
      <c r="V92" s="355"/>
      <c r="W92" s="355"/>
      <c r="X92" s="355"/>
      <c r="Y92" s="355"/>
      <c r="Z92" s="355"/>
      <c r="AA92" s="355"/>
      <c r="AB92" s="355"/>
      <c r="AC92" s="355">
        <v>45959</v>
      </c>
      <c r="AD92" s="363" t="s">
        <v>285</v>
      </c>
    </row>
    <row r="93" spans="1:30" ht="15.75" customHeight="1">
      <c r="A93" s="325">
        <f>IF($E93="","",COUNTA($E$4:$E93))</f>
        <v>90</v>
      </c>
      <c r="B93" s="392" t="str">
        <f>IF($E93="","",IF($M93="","Contact",LOOKUP($L93,$AE$5:$AE$8,$AF$5:$AF$8)))</f>
        <v>Live</v>
      </c>
      <c r="C93" s="401"/>
      <c r="D93" s="398" t="s">
        <v>269</v>
      </c>
      <c r="E93" s="343" t="s">
        <v>391</v>
      </c>
      <c r="F93" s="333" t="s">
        <v>296</v>
      </c>
      <c r="G93" s="327"/>
      <c r="H93" s="401" t="s">
        <v>265</v>
      </c>
      <c r="I93" s="404"/>
      <c r="J93" s="117" t="s">
        <v>297</v>
      </c>
      <c r="K93" s="343" t="s">
        <v>298</v>
      </c>
      <c r="L93" s="328" cm="1">
        <f t="array" ref="L93">IF($E93="","",SUMPRODUCT(MAX(($S93:$AC93&lt;&gt;"")*$AE$3:$AO$3)))</f>
        <v>1</v>
      </c>
      <c r="M93" s="344">
        <f t="shared" si="0"/>
        <v>45959</v>
      </c>
      <c r="N93" s="329">
        <f t="shared" ca="1" si="1"/>
        <v>303</v>
      </c>
      <c r="O93" s="392" t="str">
        <f t="shared" si="2"/>
        <v>Live</v>
      </c>
      <c r="P93" s="416"/>
      <c r="Q93" s="417"/>
      <c r="R93" s="417"/>
      <c r="S93" s="412"/>
      <c r="T93" s="355">
        <v>43960</v>
      </c>
      <c r="U93" s="355"/>
      <c r="V93" s="355"/>
      <c r="W93" s="355"/>
      <c r="X93" s="355"/>
      <c r="Y93" s="355"/>
      <c r="Z93" s="355"/>
      <c r="AA93" s="355"/>
      <c r="AB93" s="355"/>
      <c r="AC93" s="355">
        <v>45959</v>
      </c>
      <c r="AD93" s="363" t="s">
        <v>285</v>
      </c>
    </row>
    <row r="94" spans="1:30" ht="15.75" customHeight="1">
      <c r="A94" s="325">
        <f>IF($E94="","",COUNTA($E$4:$E94))</f>
        <v>91</v>
      </c>
      <c r="B94" s="392" t="str">
        <f>IF($E94="","",IF($M94="","Contact",LOOKUP($L94,$AE$5:$AE$8,$AF$5:$AF$8)))</f>
        <v>Live</v>
      </c>
      <c r="C94" s="401"/>
      <c r="D94" s="398" t="s">
        <v>269</v>
      </c>
      <c r="E94" s="343" t="s">
        <v>392</v>
      </c>
      <c r="F94" s="333" t="s">
        <v>296</v>
      </c>
      <c r="G94" s="327"/>
      <c r="H94" s="401" t="s">
        <v>280</v>
      </c>
      <c r="I94" s="404"/>
      <c r="J94" s="117" t="s">
        <v>297</v>
      </c>
      <c r="K94" s="343" t="s">
        <v>298</v>
      </c>
      <c r="L94" s="328" cm="1">
        <f t="array" ref="L94">IF($E94="","",SUMPRODUCT(MAX(($S94:$AC94&lt;&gt;"")*$AE$3:$AO$3)))</f>
        <v>1</v>
      </c>
      <c r="M94" s="344">
        <f t="shared" si="0"/>
        <v>45959</v>
      </c>
      <c r="N94" s="329">
        <f t="shared" ca="1" si="1"/>
        <v>303</v>
      </c>
      <c r="O94" s="392" t="str">
        <f t="shared" si="2"/>
        <v>Live</v>
      </c>
      <c r="P94" s="416"/>
      <c r="Q94" s="417"/>
      <c r="R94" s="417"/>
      <c r="S94" s="412">
        <v>45228</v>
      </c>
      <c r="T94" s="355">
        <v>45251</v>
      </c>
      <c r="U94" s="355">
        <v>45236</v>
      </c>
      <c r="V94" s="355"/>
      <c r="W94" s="355"/>
      <c r="X94" s="355"/>
      <c r="Y94" s="355"/>
      <c r="Z94" s="355"/>
      <c r="AA94" s="355"/>
      <c r="AB94" s="355"/>
      <c r="AC94" s="355">
        <v>45959</v>
      </c>
      <c r="AD94" s="363" t="s">
        <v>285</v>
      </c>
    </row>
    <row r="95" spans="1:30" ht="15.75" customHeight="1">
      <c r="A95" s="325">
        <f>IF($E95="","",COUNTA($E$4:$E95))</f>
        <v>92</v>
      </c>
      <c r="B95" s="392" t="str">
        <f>IF($E95="","",IF($M95="","Contact",LOOKUP($L95,$AE$5:$AE$8,$AF$5:$AF$8)))</f>
        <v>Live</v>
      </c>
      <c r="C95" s="401"/>
      <c r="D95" s="398" t="s">
        <v>326</v>
      </c>
      <c r="E95" s="343" t="s">
        <v>393</v>
      </c>
      <c r="F95" s="333" t="s">
        <v>296</v>
      </c>
      <c r="G95" s="327"/>
      <c r="H95" s="401" t="s">
        <v>265</v>
      </c>
      <c r="I95" s="404"/>
      <c r="J95" s="117" t="s">
        <v>297</v>
      </c>
      <c r="K95" s="343" t="s">
        <v>302</v>
      </c>
      <c r="L95" s="328" cm="1">
        <f t="array" ref="L95">IF($E95="","",SUMPRODUCT(MAX(($S95:$AC95&lt;&gt;"")*$AE$3:$AO$3)))</f>
        <v>1</v>
      </c>
      <c r="M95" s="344">
        <f t="shared" si="0"/>
        <v>45959</v>
      </c>
      <c r="N95" s="329">
        <f t="shared" ca="1" si="1"/>
        <v>303</v>
      </c>
      <c r="O95" s="392" t="str">
        <f t="shared" si="2"/>
        <v>Live</v>
      </c>
      <c r="P95" s="416"/>
      <c r="Q95" s="417"/>
      <c r="R95" s="417"/>
      <c r="S95" s="412"/>
      <c r="T95" s="355"/>
      <c r="U95" s="355"/>
      <c r="V95" s="355"/>
      <c r="W95" s="355"/>
      <c r="X95" s="355"/>
      <c r="Y95" s="355"/>
      <c r="Z95" s="355"/>
      <c r="AA95" s="355"/>
      <c r="AB95" s="355"/>
      <c r="AC95" s="355">
        <v>45959</v>
      </c>
      <c r="AD95" s="363" t="s">
        <v>285</v>
      </c>
    </row>
    <row r="96" spans="1:30" ht="15.75" customHeight="1">
      <c r="A96" s="325">
        <f>IF($E96="","",COUNTA($E$4:$E96))</f>
        <v>93</v>
      </c>
      <c r="B96" s="392" t="str">
        <f>IF($E96="","",IF($M96="","Contact",LOOKUP($L96,$AE$5:$AE$8,$AF$5:$AF$8)))</f>
        <v>Live</v>
      </c>
      <c r="C96" s="401"/>
      <c r="D96" s="398" t="s">
        <v>269</v>
      </c>
      <c r="E96" s="343" t="s">
        <v>394</v>
      </c>
      <c r="F96" s="334" t="s">
        <v>296</v>
      </c>
      <c r="G96" s="327"/>
      <c r="H96" s="401" t="s">
        <v>280</v>
      </c>
      <c r="I96" s="404"/>
      <c r="J96" s="117" t="s">
        <v>297</v>
      </c>
      <c r="K96" s="343" t="s">
        <v>298</v>
      </c>
      <c r="L96" s="328" cm="1">
        <f t="array" ref="L96">IF($E96="","",SUMPRODUCT(MAX(($S96:$AC96&lt;&gt;"")*$AE$3:$AO$3)))</f>
        <v>1</v>
      </c>
      <c r="M96" s="344">
        <f t="shared" si="0"/>
        <v>45959</v>
      </c>
      <c r="N96" s="329">
        <f t="shared" ca="1" si="1"/>
        <v>303</v>
      </c>
      <c r="O96" s="392" t="str">
        <f t="shared" si="2"/>
        <v>Live</v>
      </c>
      <c r="P96" s="416"/>
      <c r="Q96" s="417"/>
      <c r="R96" s="417"/>
      <c r="S96" s="412"/>
      <c r="T96" s="355">
        <v>45253</v>
      </c>
      <c r="U96" s="355">
        <v>45244</v>
      </c>
      <c r="V96" s="355"/>
      <c r="W96" s="355"/>
      <c r="X96" s="355"/>
      <c r="Y96" s="355"/>
      <c r="Z96" s="355"/>
      <c r="AA96" s="355"/>
      <c r="AB96" s="355"/>
      <c r="AC96" s="355">
        <v>45959</v>
      </c>
      <c r="AD96" s="363" t="s">
        <v>285</v>
      </c>
    </row>
    <row r="97" spans="1:30" ht="15.75" customHeight="1">
      <c r="A97" s="325">
        <f>IF($E97="","",COUNTA($E$4:$E97))</f>
        <v>94</v>
      </c>
      <c r="B97" s="392" t="str">
        <f>IF($E97="","",IF($M97="","Contact",LOOKUP($L97,$AE$5:$AE$8,$AF$5:$AF$8)))</f>
        <v>Live</v>
      </c>
      <c r="C97" s="401"/>
      <c r="D97" s="399" t="s">
        <v>261</v>
      </c>
      <c r="E97" s="343" t="s">
        <v>395</v>
      </c>
      <c r="F97" s="334" t="s">
        <v>296</v>
      </c>
      <c r="G97" s="327"/>
      <c r="H97" s="401" t="s">
        <v>280</v>
      </c>
      <c r="I97" s="404"/>
      <c r="J97" s="117" t="s">
        <v>297</v>
      </c>
      <c r="K97" s="343" t="s">
        <v>302</v>
      </c>
      <c r="L97" s="328" cm="1">
        <f t="array" ref="L97">IF($E97="","",SUMPRODUCT(MAX(($S97:$AC97&lt;&gt;"")*$AE$3:$AO$3)))</f>
        <v>1</v>
      </c>
      <c r="M97" s="344">
        <f t="shared" si="0"/>
        <v>45959</v>
      </c>
      <c r="N97" s="329">
        <f t="shared" ca="1" si="1"/>
        <v>303</v>
      </c>
      <c r="O97" s="392" t="str">
        <f t="shared" si="2"/>
        <v>Live</v>
      </c>
      <c r="P97" s="416"/>
      <c r="Q97" s="417"/>
      <c r="R97" s="417"/>
      <c r="S97" s="412"/>
      <c r="T97" s="355"/>
      <c r="U97" s="355"/>
      <c r="V97" s="355"/>
      <c r="W97" s="355"/>
      <c r="X97" s="355"/>
      <c r="Y97" s="355"/>
      <c r="Z97" s="355"/>
      <c r="AA97" s="355"/>
      <c r="AB97" s="355"/>
      <c r="AC97" s="355">
        <v>45959</v>
      </c>
      <c r="AD97" s="363" t="s">
        <v>285</v>
      </c>
    </row>
    <row r="98" spans="1:30">
      <c r="A98" s="325">
        <f>IF($E98="","",COUNTA($E$4:$E98))</f>
        <v>95</v>
      </c>
      <c r="B98" s="393" t="str">
        <f>IF($E98="","",IF($M98="","Contact",LOOKUP($L98,$AE$5:$AE$8,$AF$5:$AF$8)))</f>
        <v>Live</v>
      </c>
      <c r="C98" s="401"/>
      <c r="D98" s="400" t="s">
        <v>269</v>
      </c>
      <c r="E98" s="346" t="s">
        <v>396</v>
      </c>
      <c r="F98" s="347" t="s">
        <v>296</v>
      </c>
      <c r="G98" s="348"/>
      <c r="H98" s="401" t="s">
        <v>280</v>
      </c>
      <c r="I98" s="405"/>
      <c r="J98" s="117" t="s">
        <v>297</v>
      </c>
      <c r="K98" s="346" t="s">
        <v>298</v>
      </c>
      <c r="L98" s="349" cm="1">
        <f t="array" ref="L98">IF($E98="","",SUMPRODUCT(MAX(($S98:$AC98&lt;&gt;"")*$AE$3:$AO$3)))</f>
        <v>1</v>
      </c>
      <c r="M98" s="350">
        <f t="shared" si="0"/>
        <v>45959</v>
      </c>
      <c r="N98" s="351">
        <f t="shared" ca="1" si="1"/>
        <v>303</v>
      </c>
      <c r="O98" s="393" t="str">
        <f t="shared" si="2"/>
        <v>Live</v>
      </c>
      <c r="P98" s="416"/>
      <c r="Q98" s="417"/>
      <c r="R98" s="417"/>
      <c r="S98" s="413"/>
      <c r="T98" s="356">
        <v>45327</v>
      </c>
      <c r="U98" s="356">
        <v>45327</v>
      </c>
      <c r="V98" s="356"/>
      <c r="W98" s="356"/>
      <c r="X98" s="356"/>
      <c r="Y98" s="356"/>
      <c r="Z98" s="356"/>
      <c r="AA98" s="356"/>
      <c r="AB98" s="356"/>
      <c r="AC98" s="356">
        <v>45959</v>
      </c>
      <c r="AD98" s="363" t="s">
        <v>285</v>
      </c>
    </row>
    <row r="99" spans="1:30">
      <c r="A99" s="325">
        <f>IF($E99="","",COUNTA($E$4:$E99))</f>
        <v>96</v>
      </c>
      <c r="B99" s="390" t="str">
        <f>IF($E99="","",IF($M99="","Contact",LOOKUP($L99,$AE$5:$AE$8,$AF$5:$AF$8)))</f>
        <v>In Development</v>
      </c>
      <c r="C99" s="401"/>
      <c r="D99" s="394" t="s">
        <v>261</v>
      </c>
      <c r="E99" s="383" t="s">
        <v>397</v>
      </c>
      <c r="F99" s="382" t="s">
        <v>296</v>
      </c>
      <c r="G99" s="383"/>
      <c r="H99" s="401" t="s">
        <v>280</v>
      </c>
      <c r="I99" s="403"/>
      <c r="J99" s="383" t="s">
        <v>297</v>
      </c>
      <c r="K99" s="383" t="s">
        <v>398</v>
      </c>
      <c r="L99" s="381" cm="1">
        <f t="array" ref="L99">IF($E99="","",SUMPRODUCT(MAX(($S99:$AC99&lt;&gt;"")*$AE$3:$AO$3)))</f>
        <v>0.5</v>
      </c>
      <c r="M99" s="380">
        <f>IF(COUNT($S99:$AC99)=0,"",MAX($S99:$AC99))</f>
        <v>46255</v>
      </c>
      <c r="N99" s="379">
        <f ca="1">IF($M99="","",TODAY()-$M99)</f>
        <v>7</v>
      </c>
      <c r="O99" s="392" t="str">
        <f ca="1">IF($M99="","No Record",IF($L99&gt;=1,"Live",IF($N99&gt;=90,"Stalled 90d+",IF($N99&gt;=60,"Stalled 60d+",IF($N99&gt;=30,"Stalled 30d+","In Progress")))))</f>
        <v>In Progress</v>
      </c>
      <c r="P99" s="416"/>
      <c r="Q99" s="417"/>
      <c r="R99" s="417"/>
      <c r="S99" s="410">
        <v>46217</v>
      </c>
      <c r="T99" s="377">
        <v>46238</v>
      </c>
      <c r="U99" s="377"/>
      <c r="V99" s="378"/>
      <c r="W99" s="378">
        <v>46255</v>
      </c>
      <c r="X99" s="378"/>
      <c r="Y99" s="378"/>
      <c r="Z99" s="378"/>
      <c r="AA99" s="377"/>
      <c r="AB99" s="378"/>
      <c r="AC99" s="377"/>
      <c r="AD99" s="363" t="s">
        <v>268</v>
      </c>
    </row>
  </sheetData>
  <autoFilter ref="A3:AO99" xr:uid="{B613BD59-1D2E-489D-892F-E053E2C91BD8}"/>
  <mergeCells count="5">
    <mergeCell ref="A1:AD1"/>
    <mergeCell ref="A2:K2"/>
    <mergeCell ref="L2:O2"/>
    <mergeCell ref="P2:R2"/>
    <mergeCell ref="S2:AC2"/>
  </mergeCells>
  <conditionalFormatting sqref="B4:D98">
    <cfRule type="cellIs" dxfId="119" priority="41" operator="equal">
      <formula>"Contact"</formula>
    </cfRule>
  </conditionalFormatting>
  <conditionalFormatting sqref="B4:D98">
    <cfRule type="cellIs" dxfId="118" priority="42" operator="equal">
      <formula>"NDA/Contract"</formula>
    </cfRule>
  </conditionalFormatting>
  <conditionalFormatting sqref="B4:D98">
    <cfRule type="cellIs" dxfId="117" priority="43" operator="equal">
      <formula>"In Development"</formula>
    </cfRule>
  </conditionalFormatting>
  <conditionalFormatting sqref="B4:D98">
    <cfRule type="cellIs" dxfId="116" priority="44" operator="equal">
      <formula>"Testing"</formula>
    </cfRule>
  </conditionalFormatting>
  <conditionalFormatting sqref="B4:D98">
    <cfRule type="cellIs" dxfId="115" priority="45" operator="equal">
      <formula>"Live"</formula>
    </cfRule>
  </conditionalFormatting>
  <conditionalFormatting sqref="G4:G99">
    <cfRule type="containsText" dxfId="114" priority="46" operator="containsText" text="High">
      <formula>NOT(ISERROR(SEARCH("High",G4)))</formula>
    </cfRule>
  </conditionalFormatting>
  <conditionalFormatting sqref="G4:G99">
    <cfRule type="containsText" dxfId="113" priority="47" operator="containsText" text="Mid">
      <formula>NOT(ISERROR(SEARCH("Mid",G4)))</formula>
    </cfRule>
  </conditionalFormatting>
  <conditionalFormatting sqref="G4:G99">
    <cfRule type="containsText" dxfId="112" priority="48" operator="containsText" text="Low">
      <formula>NOT(ISERROR(SEARCH("Low",G4)))</formula>
    </cfRule>
  </conditionalFormatting>
  <conditionalFormatting sqref="O4:R99">
    <cfRule type="containsText" dxfId="111" priority="49" operator="containsText" text="Live">
      <formula>NOT(ISERROR(SEARCH("Live",O4)))</formula>
    </cfRule>
  </conditionalFormatting>
  <conditionalFormatting sqref="O4:R99">
    <cfRule type="containsText" dxfId="110" priority="50" operator="containsText" text="90d">
      <formula>NOT(ISERROR(SEARCH("90d",O4)))</formula>
    </cfRule>
  </conditionalFormatting>
  <conditionalFormatting sqref="O4:R99">
    <cfRule type="containsText" dxfId="109" priority="51" operator="containsText" text="60d">
      <formula>NOT(ISERROR(SEARCH("60d",O4)))</formula>
    </cfRule>
  </conditionalFormatting>
  <conditionalFormatting sqref="O4:R99">
    <cfRule type="containsText" dxfId="108" priority="52" operator="containsText" text="30d">
      <formula>NOT(ISERROR(SEARCH("30d",O4)))</formula>
    </cfRule>
  </conditionalFormatting>
  <conditionalFormatting sqref="O4:R99">
    <cfRule type="containsText" dxfId="107" priority="53" operator="containsText" text="No Record">
      <formula>NOT(ISERROR(SEARCH("No Record",O4)))</formula>
    </cfRule>
  </conditionalFormatting>
  <conditionalFormatting sqref="L4:L99">
    <cfRule type="dataBar" priority="54">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S4:AC98">
    <cfRule type="expression" dxfId="106" priority="55">
      <formula>S4&lt;&gt;""</formula>
    </cfRule>
  </conditionalFormatting>
  <conditionalFormatting sqref="I69:I98">
    <cfRule type="duplicateValues" dxfId="105" priority="650"/>
  </conditionalFormatting>
  <conditionalFormatting sqref="B99:C99">
    <cfRule type="cellIs" dxfId="104" priority="6" operator="equal">
      <formula>"Contact"</formula>
    </cfRule>
  </conditionalFormatting>
  <conditionalFormatting sqref="B99:C99">
    <cfRule type="cellIs" dxfId="103" priority="7" operator="equal">
      <formula>"NDA/Contract"</formula>
    </cfRule>
  </conditionalFormatting>
  <conditionalFormatting sqref="B99:C99">
    <cfRule type="cellIs" dxfId="102" priority="8" operator="equal">
      <formula>"In Development"</formula>
    </cfRule>
  </conditionalFormatting>
  <conditionalFormatting sqref="B99:C99">
    <cfRule type="cellIs" dxfId="101" priority="9" operator="equal">
      <formula>"Testing"</formula>
    </cfRule>
  </conditionalFormatting>
  <conditionalFormatting sqref="B99:C99">
    <cfRule type="cellIs" dxfId="100" priority="10" operator="equal">
      <formula>"Live"</formula>
    </cfRule>
  </conditionalFormatting>
  <conditionalFormatting sqref="S99:AC99">
    <cfRule type="expression" dxfId="99" priority="11">
      <formula>S99&lt;&gt;""</formula>
    </cfRule>
  </conditionalFormatting>
  <conditionalFormatting sqref="I99">
    <cfRule type="duplicateValues" dxfId="98" priority="12"/>
  </conditionalFormatting>
  <conditionalFormatting sqref="D99">
    <cfRule type="cellIs" dxfId="97" priority="1" operator="equal">
      <formula>"Contact"</formula>
    </cfRule>
  </conditionalFormatting>
  <conditionalFormatting sqref="D99">
    <cfRule type="cellIs" dxfId="96" priority="2" operator="equal">
      <formula>"NDA/Contract"</formula>
    </cfRule>
  </conditionalFormatting>
  <conditionalFormatting sqref="D99">
    <cfRule type="cellIs" dxfId="95" priority="3" operator="equal">
      <formula>"In Development"</formula>
    </cfRule>
  </conditionalFormatting>
  <conditionalFormatting sqref="D99">
    <cfRule type="cellIs" dxfId="94" priority="4" operator="equal">
      <formula>"Testing"</formula>
    </cfRule>
  </conditionalFormatting>
  <conditionalFormatting sqref="D99">
    <cfRule type="cellIs" dxfId="93" priority="5" operator="equal">
      <formula>"Live"</formula>
    </cfRule>
  </conditionalFormatting>
  <conditionalFormatting sqref="I49:I53">
    <cfRule type="duplicateValues" dxfId="92" priority="743"/>
  </conditionalFormatting>
  <dataValidations count="2">
    <dataValidation type="list" allowBlank="1" showInputMessage="1" showErrorMessage="1" promptTitle="Biz Impact" prompt="비즈니스 임팩트를 선택하세요 (High / Mid / Low)" sqref="G92:G98 G4:G68" xr:uid="{B6A0C3C2-4578-4FC7-8011-197B4ACEE4B7}">
      <formula1>"High,Mid,Low"</formula1>
    </dataValidation>
    <dataValidation type="list" allowBlank="1" showInputMessage="1" showErrorMessage="1" errorTitle="Hold/Drop" error="On Hold 또는 Dropped 중에서 선택하세요. 비워둘 수도 있습니다." promptTitle="Hold/Drop" prompt="비워두거나 On Hold / Dropped 선택" sqref="C4:C99" xr:uid="{96C48A6D-58B8-477A-BF1B-A8DC07ED3A5B}">
      <formula1>"On Hold,Dropped"</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L4:L99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46" t="s">
        <v>399</v>
      </c>
      <c r="B1" s="446"/>
      <c r="C1" s="446"/>
      <c r="D1" s="446"/>
      <c r="E1" s="446"/>
      <c r="F1" s="446"/>
      <c r="G1" s="446"/>
      <c r="H1" s="446"/>
      <c r="I1" s="446"/>
      <c r="J1" s="446"/>
      <c r="K1" s="446"/>
      <c r="L1" s="4"/>
    </row>
    <row r="2" spans="1:14" ht="21.75" customHeight="1">
      <c r="A2" s="442" t="s">
        <v>400</v>
      </c>
      <c r="B2" s="443"/>
      <c r="C2" s="13"/>
    </row>
    <row r="3" spans="1:14" ht="32.25" customHeight="1">
      <c r="A3" s="18" t="s">
        <v>401</v>
      </c>
      <c r="B3" s="17"/>
      <c r="C3" s="17"/>
      <c r="D3" s="17"/>
    </row>
    <row r="4" spans="1:14" ht="21.75" customHeight="1">
      <c r="A4" s="444" t="s">
        <v>402</v>
      </c>
      <c r="B4" s="445"/>
    </row>
    <row r="5" spans="1:14" ht="32.25" customHeight="1">
      <c r="A5" s="446" t="s">
        <v>403</v>
      </c>
      <c r="B5" s="445"/>
      <c r="C5" s="445"/>
      <c r="D5" s="445"/>
      <c r="E5" s="445"/>
      <c r="F5" s="445"/>
      <c r="G5" s="445"/>
      <c r="H5" s="445"/>
      <c r="I5" s="445"/>
      <c r="J5" s="445"/>
      <c r="K5" s="445"/>
      <c r="L5" s="445"/>
      <c r="M5" s="445"/>
    </row>
    <row r="6" spans="1:14" ht="27.75" customHeight="1">
      <c r="A6" s="6" t="s">
        <v>404</v>
      </c>
      <c r="B6" s="6" t="s">
        <v>405</v>
      </c>
      <c r="C6" s="6" t="s">
        <v>406</v>
      </c>
      <c r="D6" s="6" t="s">
        <v>407</v>
      </c>
      <c r="E6" s="6" t="s">
        <v>408</v>
      </c>
      <c r="F6" s="6" t="s">
        <v>409</v>
      </c>
      <c r="G6" s="6" t="s">
        <v>410</v>
      </c>
      <c r="H6" s="6" t="s">
        <v>411</v>
      </c>
      <c r="I6" s="6" t="s">
        <v>412</v>
      </c>
      <c r="J6" s="6" t="s">
        <v>413</v>
      </c>
      <c r="K6" s="6" t="s">
        <v>414</v>
      </c>
      <c r="L6" s="6" t="s">
        <v>415</v>
      </c>
      <c r="M6" s="6" t="s">
        <v>416</v>
      </c>
      <c r="N6" s="71" t="s">
        <v>417</v>
      </c>
    </row>
    <row r="7" spans="1:14" ht="24" customHeight="1">
      <c r="A7" s="7">
        <v>1</v>
      </c>
      <c r="B7" s="7" t="s">
        <v>396</v>
      </c>
      <c r="C7" s="7" t="s">
        <v>298</v>
      </c>
      <c r="D7" s="7" t="s">
        <v>418</v>
      </c>
      <c r="E7" s="8">
        <v>0.25</v>
      </c>
      <c r="F7" s="8">
        <v>0.22</v>
      </c>
      <c r="G7" s="8">
        <f>F7-E7</f>
        <v>-0.03</v>
      </c>
      <c r="H7" s="9">
        <f>DATE(2026,3,20)</f>
        <v>46101</v>
      </c>
      <c r="I7" s="9">
        <f>DATE(2026,4,3)</f>
        <v>46115</v>
      </c>
      <c r="J7" s="7">
        <f t="shared" ref="J7:J28" si="0">IF(OR(H7="",I7=""),"",I7-H7+1)</f>
        <v>15</v>
      </c>
      <c r="K7" s="7" t="s">
        <v>419</v>
      </c>
      <c r="L7" s="7" t="s">
        <v>420</v>
      </c>
      <c r="M7" s="7" t="s">
        <v>421</v>
      </c>
      <c r="N7" s="21" t="s">
        <v>422</v>
      </c>
    </row>
    <row r="8" spans="1:14" ht="24" customHeight="1">
      <c r="A8" s="10">
        <v>2</v>
      </c>
      <c r="B8" s="10" t="s">
        <v>385</v>
      </c>
      <c r="C8" s="10" t="s">
        <v>298</v>
      </c>
      <c r="D8" s="10" t="s">
        <v>418</v>
      </c>
      <c r="E8" s="19">
        <v>0.25</v>
      </c>
      <c r="F8" s="19">
        <v>0.22</v>
      </c>
      <c r="G8" s="19">
        <f>F8-E8</f>
        <v>-0.03</v>
      </c>
      <c r="H8" s="20">
        <f>DATE(2026,3,27)</f>
        <v>46108</v>
      </c>
      <c r="I8" s="12">
        <v>46115</v>
      </c>
      <c r="J8" s="10">
        <f t="shared" si="0"/>
        <v>8</v>
      </c>
      <c r="K8" s="7" t="s">
        <v>419</v>
      </c>
      <c r="L8" s="10" t="s">
        <v>423</v>
      </c>
      <c r="M8" s="10" t="s">
        <v>421</v>
      </c>
      <c r="N8" s="22" t="s">
        <v>422</v>
      </c>
    </row>
    <row r="9" spans="1:14" ht="24" customHeight="1">
      <c r="A9" s="7">
        <v>3</v>
      </c>
      <c r="B9" s="7" t="s">
        <v>370</v>
      </c>
      <c r="C9" s="7" t="s">
        <v>298</v>
      </c>
      <c r="D9" s="7" t="s">
        <v>418</v>
      </c>
      <c r="E9" s="8">
        <v>0.25</v>
      </c>
      <c r="F9" s="8">
        <v>0.22</v>
      </c>
      <c r="G9" s="8">
        <v>-0.03</v>
      </c>
      <c r="H9" s="9">
        <f>DATE(2026,5,25)</f>
        <v>46167</v>
      </c>
      <c r="I9" s="9">
        <f>DATE(2026,6,8)</f>
        <v>46181</v>
      </c>
      <c r="J9" s="7">
        <f t="shared" si="0"/>
        <v>15</v>
      </c>
      <c r="K9" s="7"/>
      <c r="L9" s="14"/>
      <c r="M9" s="10" t="s">
        <v>421</v>
      </c>
      <c r="N9" s="21" t="s">
        <v>422</v>
      </c>
    </row>
    <row r="10" spans="1:14" ht="24" customHeight="1">
      <c r="A10" s="10">
        <v>4</v>
      </c>
      <c r="B10" s="10" t="s">
        <v>368</v>
      </c>
      <c r="C10" s="10" t="s">
        <v>424</v>
      </c>
      <c r="D10" s="10" t="s">
        <v>418</v>
      </c>
      <c r="E10" s="11">
        <v>0.47</v>
      </c>
      <c r="F10" s="11">
        <v>0.4</v>
      </c>
      <c r="G10" s="11">
        <f t="shared" ref="G10:G28" si="1">IF(OR(E10="",F10=""),"",F10-E10)</f>
        <v>-6.9999999999999951E-2</v>
      </c>
      <c r="H10" s="12">
        <v>46175</v>
      </c>
      <c r="I10" s="12">
        <v>46184</v>
      </c>
      <c r="J10" s="10">
        <f t="shared" si="0"/>
        <v>10</v>
      </c>
      <c r="K10" s="7" t="s">
        <v>419</v>
      </c>
      <c r="L10" s="15"/>
      <c r="M10" s="10" t="s">
        <v>421</v>
      </c>
      <c r="N10" s="21" t="s">
        <v>422</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1" priority="1" operator="containsText" text="완료">
      <formula>NOT(ISERROR(SEARCH("완료",K7)))</formula>
    </cfRule>
    <cfRule type="containsText" dxfId="90" priority="2" operator="containsText" text="진행중">
      <formula>NOT(ISERROR(SEARCH("진행중",K7)))</formula>
    </cfRule>
    <cfRule type="containsText" dxfId="89" priority="3" operator="containsText" text="예정">
      <formula>NOT(ISERROR(SEARCH("예정",K7)))</formula>
    </cfRule>
    <cfRule type="containsText" dxfId="88" priority="4" operator="containsText" text="취소">
      <formula>NOT(ISERROR(SEARCH("취소",K7)))</formula>
    </cfRule>
  </conditionalFormatting>
  <conditionalFormatting sqref="L7:L28">
    <cfRule type="containsText" dxfId="87" priority="5" operator="containsText" text="증가">
      <formula>NOT(ISERROR(SEARCH("증가",L7)))</formula>
    </cfRule>
    <cfRule type="containsText" dxfId="86" priority="6" operator="containsText" text="감소">
      <formula>NOT(ISERROR(SEARCH("감소",L7)))</formula>
    </cfRule>
    <cfRule type="containsText" dxfId="85" priority="7" operator="containsText" text="변동 없음">
      <formula>NOT(ISERROR(SEARCH("변동 없음",L7)))</formula>
    </cfRule>
    <cfRule type="containsText" dxfId="84"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230</v>
      </c>
      <c r="B1" s="44" t="s">
        <v>425</v>
      </c>
      <c r="C1" s="44" t="s">
        <v>426</v>
      </c>
      <c r="D1" s="45" t="s">
        <v>427</v>
      </c>
      <c r="E1" s="44" t="s">
        <v>428</v>
      </c>
      <c r="F1" s="46" t="s">
        <v>429</v>
      </c>
      <c r="G1" s="46" t="s">
        <v>430</v>
      </c>
      <c r="H1" s="47"/>
      <c r="I1" s="47"/>
    </row>
    <row r="2" spans="1:9">
      <c r="A2" s="48">
        <v>1</v>
      </c>
      <c r="B2" s="48" t="s">
        <v>431</v>
      </c>
      <c r="C2" s="49" t="s">
        <v>432</v>
      </c>
      <c r="D2" s="50">
        <v>46083</v>
      </c>
      <c r="E2" s="57" t="s">
        <v>433</v>
      </c>
      <c r="F2" s="72">
        <v>46143</v>
      </c>
      <c r="G2" s="59" t="s">
        <v>434</v>
      </c>
      <c r="H2" s="47" t="s">
        <v>435</v>
      </c>
      <c r="I2" s="47"/>
    </row>
    <row r="3" spans="1:9">
      <c r="A3" s="48">
        <v>2</v>
      </c>
      <c r="B3" s="48" t="s">
        <v>436</v>
      </c>
      <c r="C3" s="49" t="s">
        <v>432</v>
      </c>
      <c r="D3" s="48"/>
      <c r="E3" s="57" t="s">
        <v>437</v>
      </c>
      <c r="F3" s="72">
        <v>46174</v>
      </c>
      <c r="G3" s="59" t="s">
        <v>438</v>
      </c>
      <c r="H3" s="47" t="s">
        <v>439</v>
      </c>
      <c r="I3" s="47"/>
    </row>
    <row r="4" spans="1:9">
      <c r="A4" s="48">
        <v>3</v>
      </c>
      <c r="B4" s="51" t="s">
        <v>440</v>
      </c>
      <c r="C4" s="49" t="s">
        <v>432</v>
      </c>
      <c r="D4" s="50">
        <v>46083</v>
      </c>
      <c r="E4" s="58" t="s">
        <v>441</v>
      </c>
      <c r="F4" s="64">
        <v>46125</v>
      </c>
      <c r="G4" s="59" t="s">
        <v>442</v>
      </c>
      <c r="H4" s="47"/>
      <c r="I4" s="47"/>
    </row>
    <row r="5" spans="1:9">
      <c r="A5" s="48">
        <v>4</v>
      </c>
      <c r="B5" s="51" t="s">
        <v>443</v>
      </c>
      <c r="C5" s="49" t="s">
        <v>432</v>
      </c>
      <c r="D5" s="50">
        <v>46083</v>
      </c>
      <c r="E5" s="58" t="s">
        <v>444</v>
      </c>
      <c r="F5" s="64">
        <v>46104</v>
      </c>
      <c r="G5" s="59" t="s">
        <v>445</v>
      </c>
      <c r="H5" s="47"/>
      <c r="I5" s="47"/>
    </row>
    <row r="6" spans="1:9">
      <c r="A6" s="48">
        <v>5</v>
      </c>
      <c r="B6" s="48" t="s">
        <v>376</v>
      </c>
      <c r="C6" s="48" t="s">
        <v>446</v>
      </c>
      <c r="D6" s="48"/>
      <c r="E6" s="57" t="s">
        <v>447</v>
      </c>
      <c r="F6" s="72">
        <v>46143</v>
      </c>
      <c r="G6" s="59" t="s">
        <v>448</v>
      </c>
      <c r="H6" s="47"/>
      <c r="I6" s="47"/>
    </row>
    <row r="7" spans="1:9">
      <c r="A7" s="48">
        <v>6</v>
      </c>
      <c r="B7" s="51" t="s">
        <v>449</v>
      </c>
      <c r="C7" s="48" t="s">
        <v>450</v>
      </c>
      <c r="D7" s="50">
        <v>46097</v>
      </c>
      <c r="E7" s="58" t="s">
        <v>451</v>
      </c>
      <c r="F7" s="64">
        <v>46113</v>
      </c>
      <c r="G7" s="59" t="s">
        <v>452</v>
      </c>
      <c r="H7" s="47"/>
      <c r="I7" s="47"/>
    </row>
    <row r="8" spans="1:9">
      <c r="A8" s="48">
        <v>7</v>
      </c>
      <c r="B8" s="51" t="s">
        <v>453</v>
      </c>
      <c r="C8" s="48" t="s">
        <v>450</v>
      </c>
      <c r="D8" s="50">
        <v>46097</v>
      </c>
      <c r="E8" s="58" t="s">
        <v>454</v>
      </c>
      <c r="F8" s="64">
        <v>46113</v>
      </c>
      <c r="G8" s="59" t="s">
        <v>452</v>
      </c>
      <c r="H8" s="47"/>
      <c r="I8" s="47"/>
    </row>
    <row r="9" spans="1:9">
      <c r="A9" s="48">
        <v>8</v>
      </c>
      <c r="B9" s="51" t="s">
        <v>455</v>
      </c>
      <c r="C9" s="48" t="s">
        <v>450</v>
      </c>
      <c r="D9" s="50">
        <v>46113</v>
      </c>
      <c r="E9" s="57" t="s">
        <v>456</v>
      </c>
      <c r="F9" s="72">
        <v>46143</v>
      </c>
      <c r="G9" s="59" t="s">
        <v>457</v>
      </c>
      <c r="H9" s="47"/>
      <c r="I9" s="47"/>
    </row>
    <row r="10" spans="1:9">
      <c r="A10" s="48">
        <v>9</v>
      </c>
      <c r="B10" s="51" t="s">
        <v>458</v>
      </c>
      <c r="C10" s="48" t="s">
        <v>450</v>
      </c>
      <c r="D10" s="50">
        <v>46097</v>
      </c>
      <c r="E10" s="57" t="s">
        <v>456</v>
      </c>
      <c r="F10" s="63">
        <v>46113</v>
      </c>
      <c r="G10" s="59" t="s">
        <v>452</v>
      </c>
      <c r="H10" s="47"/>
      <c r="I10" s="47"/>
    </row>
    <row r="11" spans="1:9">
      <c r="A11" s="48">
        <v>10</v>
      </c>
      <c r="B11" s="48" t="s">
        <v>459</v>
      </c>
      <c r="C11" s="48" t="s">
        <v>450</v>
      </c>
      <c r="D11" s="50">
        <v>46143</v>
      </c>
      <c r="E11" s="57" t="s">
        <v>460</v>
      </c>
      <c r="F11" s="72">
        <v>46143</v>
      </c>
      <c r="G11" s="59" t="s">
        <v>461</v>
      </c>
      <c r="H11" s="47" t="s">
        <v>462</v>
      </c>
      <c r="I11" s="47"/>
    </row>
    <row r="12" spans="1:9">
      <c r="A12" s="48">
        <v>11</v>
      </c>
      <c r="B12" s="51" t="s">
        <v>386</v>
      </c>
      <c r="C12" s="48" t="s">
        <v>450</v>
      </c>
      <c r="D12" s="50">
        <v>46113</v>
      </c>
      <c r="E12" s="57" t="s">
        <v>463</v>
      </c>
      <c r="F12" s="63">
        <v>46113</v>
      </c>
      <c r="G12" s="59" t="s">
        <v>452</v>
      </c>
      <c r="H12" s="47"/>
      <c r="I12" s="47"/>
    </row>
    <row r="13" spans="1:9">
      <c r="A13" s="48">
        <v>12</v>
      </c>
      <c r="B13" s="51" t="s">
        <v>464</v>
      </c>
      <c r="C13" s="48" t="s">
        <v>450</v>
      </c>
      <c r="D13" s="50">
        <v>46082</v>
      </c>
      <c r="E13" s="58" t="s">
        <v>465</v>
      </c>
      <c r="F13" s="64">
        <v>46113</v>
      </c>
      <c r="G13" s="59" t="s">
        <v>452</v>
      </c>
      <c r="H13" s="47"/>
      <c r="I13" s="47"/>
    </row>
    <row r="14" spans="1:9">
      <c r="A14" s="48">
        <v>13</v>
      </c>
      <c r="B14" s="51" t="s">
        <v>466</v>
      </c>
      <c r="C14" s="48" t="s">
        <v>450</v>
      </c>
      <c r="D14" s="50">
        <v>46097</v>
      </c>
      <c r="E14" s="58" t="s">
        <v>454</v>
      </c>
      <c r="F14" s="64">
        <v>46097</v>
      </c>
      <c r="G14" s="59" t="s">
        <v>454</v>
      </c>
      <c r="H14" s="47"/>
      <c r="I14" s="47"/>
    </row>
    <row r="15" spans="1:9">
      <c r="A15" s="48">
        <v>14</v>
      </c>
      <c r="B15" s="51" t="s">
        <v>467</v>
      </c>
      <c r="C15" s="48" t="s">
        <v>450</v>
      </c>
      <c r="D15" s="50">
        <v>46082</v>
      </c>
      <c r="E15" s="58" t="s">
        <v>465</v>
      </c>
      <c r="F15" s="64">
        <v>46113</v>
      </c>
      <c r="G15" s="59" t="s">
        <v>452</v>
      </c>
      <c r="H15" s="47"/>
      <c r="I15" s="47"/>
    </row>
    <row r="16" spans="1:9">
      <c r="A16" s="48">
        <v>15</v>
      </c>
      <c r="B16" s="51" t="s">
        <v>468</v>
      </c>
      <c r="C16" s="48" t="s">
        <v>450</v>
      </c>
      <c r="D16" s="50">
        <v>46082</v>
      </c>
      <c r="E16" s="58" t="s">
        <v>469</v>
      </c>
      <c r="F16" s="64">
        <v>46113</v>
      </c>
      <c r="G16" s="59" t="s">
        <v>470</v>
      </c>
      <c r="H16" s="47"/>
      <c r="I16" s="47"/>
    </row>
    <row r="17" spans="1:9">
      <c r="A17" s="53">
        <v>16</v>
      </c>
      <c r="B17" s="53" t="s">
        <v>471</v>
      </c>
      <c r="C17" s="53" t="s">
        <v>450</v>
      </c>
      <c r="D17" s="69">
        <v>46097</v>
      </c>
      <c r="E17" s="70" t="s">
        <v>472</v>
      </c>
      <c r="F17" s="72">
        <v>46188</v>
      </c>
      <c r="G17" s="60" t="s">
        <v>473</v>
      </c>
      <c r="H17" s="47"/>
      <c r="I17" s="47"/>
    </row>
    <row r="18" spans="1:9">
      <c r="A18" s="66">
        <v>17</v>
      </c>
      <c r="B18" s="66" t="s">
        <v>474</v>
      </c>
      <c r="C18" s="49" t="s">
        <v>432</v>
      </c>
      <c r="D18" s="67">
        <v>46143</v>
      </c>
      <c r="E18" s="54"/>
      <c r="F18" s="72">
        <v>46143</v>
      </c>
      <c r="G18" s="68" t="s">
        <v>475</v>
      </c>
      <c r="H18" s="47"/>
      <c r="I18" s="47"/>
    </row>
    <row r="19" spans="1:9">
      <c r="A19" s="54">
        <v>18</v>
      </c>
      <c r="B19" s="54" t="s">
        <v>368</v>
      </c>
      <c r="C19" s="54"/>
      <c r="D19" s="54"/>
      <c r="E19" s="54"/>
      <c r="F19" s="54"/>
      <c r="G19" s="66"/>
      <c r="H19" s="47"/>
      <c r="I19" s="47"/>
    </row>
    <row r="20" spans="1:9">
      <c r="A20" s="47"/>
      <c r="B20" s="47"/>
      <c r="C20" s="47"/>
      <c r="D20" s="47"/>
      <c r="E20" s="47"/>
      <c r="F20" s="47"/>
      <c r="G20" s="52"/>
      <c r="H20" s="47"/>
      <c r="I20" s="47"/>
    </row>
    <row r="21" spans="1:9">
      <c r="A21" s="44" t="s">
        <v>476</v>
      </c>
      <c r="B21" s="44" t="s">
        <v>477</v>
      </c>
      <c r="C21" s="44" t="s">
        <v>478</v>
      </c>
      <c r="D21" s="45" t="s">
        <v>479</v>
      </c>
      <c r="E21" s="61" t="s">
        <v>480</v>
      </c>
      <c r="F21" s="46" t="s">
        <v>429</v>
      </c>
      <c r="G21" s="46" t="s">
        <v>430</v>
      </c>
      <c r="H21" s="52"/>
      <c r="I21" s="47"/>
    </row>
    <row r="22" spans="1:9">
      <c r="A22" s="48">
        <v>1</v>
      </c>
      <c r="B22" s="51" t="s">
        <v>481</v>
      </c>
      <c r="C22" s="48" t="s">
        <v>450</v>
      </c>
      <c r="D22" s="50">
        <v>46082</v>
      </c>
      <c r="E22" s="58" t="s">
        <v>482</v>
      </c>
      <c r="F22" s="64">
        <v>46113</v>
      </c>
      <c r="G22" s="59" t="s">
        <v>452</v>
      </c>
      <c r="H22" s="47"/>
      <c r="I22" s="47"/>
    </row>
    <row r="23" spans="1:9">
      <c r="A23" s="48">
        <v>2</v>
      </c>
      <c r="B23" s="48" t="s">
        <v>483</v>
      </c>
      <c r="C23" s="48" t="s">
        <v>450</v>
      </c>
      <c r="D23" s="50">
        <v>46097</v>
      </c>
      <c r="E23" s="58" t="s">
        <v>484</v>
      </c>
      <c r="F23" s="64">
        <v>46113</v>
      </c>
      <c r="G23" s="59" t="s">
        <v>452</v>
      </c>
      <c r="H23" s="47"/>
      <c r="I23" s="47"/>
    </row>
    <row r="24" spans="1:9">
      <c r="A24" s="48">
        <v>3</v>
      </c>
      <c r="B24" s="48" t="s">
        <v>485</v>
      </c>
      <c r="C24" s="48" t="s">
        <v>450</v>
      </c>
      <c r="D24" s="50">
        <v>46082</v>
      </c>
      <c r="E24" s="62" t="s">
        <v>486</v>
      </c>
      <c r="F24" s="65">
        <v>46113</v>
      </c>
      <c r="G24" s="59" t="s">
        <v>452</v>
      </c>
      <c r="H24" s="47"/>
      <c r="I24" s="47"/>
    </row>
    <row r="25" spans="1:9">
      <c r="A25" s="48">
        <v>4</v>
      </c>
      <c r="B25" s="48" t="s">
        <v>487</v>
      </c>
      <c r="C25" s="48" t="s">
        <v>450</v>
      </c>
      <c r="D25" s="50">
        <v>46082</v>
      </c>
      <c r="E25" s="57" t="s">
        <v>488</v>
      </c>
      <c r="F25" s="63">
        <v>46113</v>
      </c>
      <c r="G25" s="73" t="s">
        <v>489</v>
      </c>
      <c r="H25" s="47"/>
      <c r="I25" s="47"/>
    </row>
    <row r="26" spans="1:9">
      <c r="A26" s="48">
        <v>5</v>
      </c>
      <c r="B26" s="48" t="s">
        <v>490</v>
      </c>
      <c r="C26" s="48" t="s">
        <v>450</v>
      </c>
      <c r="D26" s="50">
        <v>46082</v>
      </c>
      <c r="E26" s="62" t="s">
        <v>486</v>
      </c>
      <c r="F26" s="65">
        <v>46113</v>
      </c>
      <c r="G26" s="59" t="s">
        <v>452</v>
      </c>
      <c r="H26" s="47"/>
      <c r="I26" s="47"/>
    </row>
    <row r="27" spans="1:9">
      <c r="A27" s="53">
        <v>6</v>
      </c>
      <c r="B27" s="48" t="s">
        <v>491</v>
      </c>
      <c r="C27" s="48" t="s">
        <v>450</v>
      </c>
      <c r="D27" s="50">
        <v>46082</v>
      </c>
      <c r="E27" s="57" t="s">
        <v>492</v>
      </c>
      <c r="F27" s="63">
        <v>46113</v>
      </c>
      <c r="G27" s="73" t="s">
        <v>452</v>
      </c>
      <c r="H27" s="47"/>
      <c r="I27" s="47"/>
    </row>
    <row r="28" spans="1:9">
      <c r="A28" s="54">
        <v>7</v>
      </c>
      <c r="B28" s="66" t="s">
        <v>331</v>
      </c>
      <c r="C28" s="66" t="s">
        <v>450</v>
      </c>
      <c r="D28" s="55"/>
      <c r="E28" s="56"/>
      <c r="F28" s="63">
        <v>46113</v>
      </c>
      <c r="G28" s="59" t="s">
        <v>452</v>
      </c>
      <c r="H28" s="47"/>
      <c r="I28" s="47"/>
    </row>
    <row r="29" spans="1:9">
      <c r="A29" s="54">
        <v>8</v>
      </c>
      <c r="B29" s="66" t="s">
        <v>383</v>
      </c>
      <c r="C29" s="74" t="s">
        <v>432</v>
      </c>
      <c r="D29" s="55"/>
      <c r="E29" s="56"/>
      <c r="F29" s="63">
        <v>46113</v>
      </c>
      <c r="G29" s="59" t="s">
        <v>452</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1"/>
  <sheetViews>
    <sheetView zoomScaleNormal="100" workbookViewId="0">
      <pane xSplit="2" ySplit="3" topLeftCell="C4" activePane="bottomRight" state="frozen"/>
      <selection pane="bottomRight" activeCell="E7" sqref="E7"/>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5" t="s">
        <v>493</v>
      </c>
      <c r="E1" s="104"/>
      <c r="J1" s="451" t="s">
        <v>494</v>
      </c>
      <c r="K1" s="451"/>
      <c r="L1" s="451"/>
      <c r="M1" s="451"/>
      <c r="N1" s="451"/>
      <c r="O1" s="451"/>
      <c r="P1" s="451"/>
      <c r="Q1" s="451"/>
      <c r="R1" s="451"/>
      <c r="S1" s="451"/>
      <c r="T1" s="451"/>
      <c r="U1" s="451"/>
      <c r="V1" s="451"/>
      <c r="W1" s="452" t="s">
        <v>495</v>
      </c>
      <c r="X1" s="452"/>
      <c r="Y1" s="452"/>
      <c r="Z1" s="452"/>
      <c r="AA1" s="452"/>
      <c r="AB1" s="452"/>
      <c r="AC1" s="452"/>
      <c r="AD1" s="452"/>
      <c r="AE1" s="452"/>
      <c r="AF1" s="452"/>
      <c r="AG1" s="452"/>
      <c r="AH1" s="452"/>
      <c r="AI1" s="452"/>
      <c r="AJ1" s="453" t="s">
        <v>496</v>
      </c>
      <c r="AK1" s="453"/>
      <c r="AL1" s="453"/>
      <c r="AM1" s="453"/>
      <c r="AN1" s="453"/>
      <c r="AO1" s="453"/>
      <c r="AP1" s="453"/>
      <c r="AQ1" s="453"/>
      <c r="AR1" s="453"/>
      <c r="AS1" s="453"/>
      <c r="AT1" s="453"/>
      <c r="AU1" s="453"/>
      <c r="AV1" s="453"/>
      <c r="AW1" s="447" t="s">
        <v>497</v>
      </c>
      <c r="AX1" s="447"/>
      <c r="AY1" s="447"/>
      <c r="AZ1" s="447"/>
      <c r="BA1" s="447"/>
      <c r="BB1" s="447"/>
      <c r="BC1" s="447"/>
      <c r="BD1" s="447"/>
      <c r="BE1" s="447"/>
      <c r="BF1" s="447"/>
      <c r="BG1" s="447"/>
      <c r="BH1" s="447"/>
      <c r="BI1" s="447"/>
    </row>
    <row r="2" spans="1:61" s="17" customFormat="1" ht="20.100000000000001" customHeight="1">
      <c r="E2" s="104"/>
      <c r="J2" s="454" t="s">
        <v>498</v>
      </c>
      <c r="K2" s="454"/>
      <c r="L2" s="454"/>
      <c r="M2" s="454"/>
      <c r="N2" s="454" t="s">
        <v>499</v>
      </c>
      <c r="O2" s="454"/>
      <c r="P2" s="454"/>
      <c r="Q2" s="454"/>
      <c r="R2" s="454" t="s">
        <v>500</v>
      </c>
      <c r="S2" s="454"/>
      <c r="T2" s="454"/>
      <c r="U2" s="454"/>
      <c r="V2" s="454"/>
      <c r="W2" s="452" t="s">
        <v>501</v>
      </c>
      <c r="X2" s="452"/>
      <c r="Y2" s="452"/>
      <c r="Z2" s="452"/>
      <c r="AA2" s="452" t="s">
        <v>502</v>
      </c>
      <c r="AB2" s="452"/>
      <c r="AC2" s="452"/>
      <c r="AD2" s="452"/>
      <c r="AE2" s="452" t="s">
        <v>503</v>
      </c>
      <c r="AF2" s="452"/>
      <c r="AG2" s="452"/>
      <c r="AH2" s="452"/>
      <c r="AI2" s="452"/>
      <c r="AJ2" s="453" t="s">
        <v>504</v>
      </c>
      <c r="AK2" s="453"/>
      <c r="AL2" s="453"/>
      <c r="AM2" s="453"/>
      <c r="AN2" s="453" t="s">
        <v>505</v>
      </c>
      <c r="AO2" s="453"/>
      <c r="AP2" s="453"/>
      <c r="AQ2" s="453"/>
      <c r="AR2" s="453"/>
      <c r="AS2" s="453" t="s">
        <v>506</v>
      </c>
      <c r="AT2" s="453"/>
      <c r="AU2" s="453"/>
      <c r="AV2" s="453"/>
      <c r="AW2" s="447" t="s">
        <v>507</v>
      </c>
      <c r="AX2" s="447"/>
      <c r="AY2" s="447"/>
      <c r="AZ2" s="447"/>
      <c r="BA2" s="447" t="s">
        <v>508</v>
      </c>
      <c r="BB2" s="447"/>
      <c r="BC2" s="447"/>
      <c r="BD2" s="447"/>
      <c r="BE2" s="447"/>
      <c r="BF2" s="447" t="s">
        <v>509</v>
      </c>
      <c r="BG2" s="447"/>
      <c r="BH2" s="447"/>
      <c r="BI2" s="447"/>
    </row>
    <row r="3" spans="1:61" s="17" customFormat="1" ht="30" customHeight="1">
      <c r="A3" s="100" t="s">
        <v>235</v>
      </c>
      <c r="B3" s="101" t="s">
        <v>234</v>
      </c>
      <c r="C3" s="102" t="s">
        <v>239</v>
      </c>
      <c r="D3" s="102" t="s">
        <v>510</v>
      </c>
      <c r="E3" s="101" t="s">
        <v>511</v>
      </c>
      <c r="F3" s="101" t="s">
        <v>231</v>
      </c>
      <c r="G3" s="101" t="s">
        <v>512</v>
      </c>
      <c r="H3" s="101" t="s">
        <v>513</v>
      </c>
      <c r="I3" s="103" t="s">
        <v>514</v>
      </c>
      <c r="J3" s="96" t="s">
        <v>515</v>
      </c>
      <c r="K3" s="96" t="s">
        <v>516</v>
      </c>
      <c r="L3" s="96" t="s">
        <v>517</v>
      </c>
      <c r="M3" s="96" t="s">
        <v>518</v>
      </c>
      <c r="N3" s="96" t="s">
        <v>515</v>
      </c>
      <c r="O3" s="96" t="s">
        <v>516</v>
      </c>
      <c r="P3" s="96" t="s">
        <v>517</v>
      </c>
      <c r="Q3" s="96" t="s">
        <v>518</v>
      </c>
      <c r="R3" s="96" t="s">
        <v>515</v>
      </c>
      <c r="S3" s="96" t="s">
        <v>516</v>
      </c>
      <c r="T3" s="96" t="s">
        <v>517</v>
      </c>
      <c r="U3" s="96" t="s">
        <v>518</v>
      </c>
      <c r="V3" s="96" t="s">
        <v>519</v>
      </c>
      <c r="W3" s="97" t="s">
        <v>515</v>
      </c>
      <c r="X3" s="97" t="s">
        <v>516</v>
      </c>
      <c r="Y3" s="97" t="s">
        <v>517</v>
      </c>
      <c r="Z3" s="97" t="s">
        <v>518</v>
      </c>
      <c r="AA3" s="97" t="s">
        <v>515</v>
      </c>
      <c r="AB3" s="97" t="s">
        <v>516</v>
      </c>
      <c r="AC3" s="97" t="s">
        <v>517</v>
      </c>
      <c r="AD3" s="97" t="s">
        <v>518</v>
      </c>
      <c r="AE3" s="97" t="s">
        <v>515</v>
      </c>
      <c r="AF3" s="97" t="s">
        <v>516</v>
      </c>
      <c r="AG3" s="97" t="s">
        <v>517</v>
      </c>
      <c r="AH3" s="97" t="s">
        <v>518</v>
      </c>
      <c r="AI3" s="97" t="s">
        <v>519</v>
      </c>
      <c r="AJ3" s="98" t="s">
        <v>515</v>
      </c>
      <c r="AK3" s="98" t="s">
        <v>516</v>
      </c>
      <c r="AL3" s="98" t="s">
        <v>517</v>
      </c>
      <c r="AM3" s="98" t="s">
        <v>518</v>
      </c>
      <c r="AN3" s="98" t="s">
        <v>515</v>
      </c>
      <c r="AO3" s="98" t="s">
        <v>516</v>
      </c>
      <c r="AP3" s="98" t="s">
        <v>517</v>
      </c>
      <c r="AQ3" s="98" t="s">
        <v>518</v>
      </c>
      <c r="AR3" s="98" t="s">
        <v>519</v>
      </c>
      <c r="AS3" s="98" t="s">
        <v>515</v>
      </c>
      <c r="AT3" s="98" t="s">
        <v>516</v>
      </c>
      <c r="AU3" s="98" t="s">
        <v>517</v>
      </c>
      <c r="AV3" s="98" t="s">
        <v>518</v>
      </c>
      <c r="AW3" s="99" t="s">
        <v>515</v>
      </c>
      <c r="AX3" s="99" t="s">
        <v>516</v>
      </c>
      <c r="AY3" s="99" t="s">
        <v>517</v>
      </c>
      <c r="AZ3" s="99" t="s">
        <v>518</v>
      </c>
      <c r="BA3" s="99" t="s">
        <v>515</v>
      </c>
      <c r="BB3" s="99" t="s">
        <v>516</v>
      </c>
      <c r="BC3" s="99" t="s">
        <v>517</v>
      </c>
      <c r="BD3" s="99" t="s">
        <v>518</v>
      </c>
      <c r="BE3" s="99" t="s">
        <v>519</v>
      </c>
      <c r="BF3" s="99" t="s">
        <v>515</v>
      </c>
      <c r="BG3" s="99" t="s">
        <v>516</v>
      </c>
      <c r="BH3" s="99" t="s">
        <v>517</v>
      </c>
      <c r="BI3" s="99" t="s">
        <v>518</v>
      </c>
    </row>
    <row r="4" spans="1:61" s="17" customFormat="1" ht="36" customHeight="1">
      <c r="A4" s="448" t="s">
        <v>520</v>
      </c>
      <c r="B4" s="105" t="s">
        <v>521</v>
      </c>
      <c r="C4" s="88" t="s">
        <v>522</v>
      </c>
      <c r="D4" s="88"/>
      <c r="E4" s="105" t="s">
        <v>523</v>
      </c>
      <c r="F4" s="87" t="s">
        <v>524</v>
      </c>
      <c r="G4" s="89">
        <v>46188</v>
      </c>
      <c r="H4" s="89">
        <v>46199</v>
      </c>
      <c r="I4" s="92" t="s">
        <v>525</v>
      </c>
      <c r="J4" s="91" t="str">
        <f t="shared" ref="J4:S8" si="0">IF(AND(ISNUMBER($G4),ISNUMBER($H4),J$191+6&gt;=$G4,J$191&lt;=$H4),"●","")</f>
        <v/>
      </c>
      <c r="K4" s="91" t="str">
        <f t="shared" si="0"/>
        <v/>
      </c>
      <c r="L4" s="91" t="str">
        <f t="shared" si="0"/>
        <v/>
      </c>
      <c r="M4" s="91" t="str">
        <f t="shared" si="0"/>
        <v/>
      </c>
      <c r="N4" s="91" t="str">
        <f t="shared" si="0"/>
        <v/>
      </c>
      <c r="O4" s="91" t="str">
        <f t="shared" si="0"/>
        <v/>
      </c>
      <c r="P4" s="91" t="str">
        <f t="shared" si="0"/>
        <v/>
      </c>
      <c r="Q4" s="91" t="str">
        <f t="shared" si="0"/>
        <v/>
      </c>
      <c r="R4" s="91" t="str">
        <f t="shared" si="0"/>
        <v/>
      </c>
      <c r="S4" s="91" t="str">
        <f t="shared" si="0"/>
        <v/>
      </c>
      <c r="T4" s="91" t="str">
        <f t="shared" ref="T4:AC8" si="1">IF(AND(ISNUMBER($G4),ISNUMBER($H4),T$191+6&gt;=$G4,T$191&lt;=$H4),"●","")</f>
        <v/>
      </c>
      <c r="U4" s="91" t="str">
        <f t="shared" si="1"/>
        <v/>
      </c>
      <c r="V4" s="91" t="str">
        <f t="shared" si="1"/>
        <v/>
      </c>
      <c r="W4" s="91" t="str">
        <f t="shared" si="1"/>
        <v/>
      </c>
      <c r="X4" s="91" t="str">
        <f t="shared" si="1"/>
        <v/>
      </c>
      <c r="Y4" s="91" t="str">
        <f t="shared" si="1"/>
        <v/>
      </c>
      <c r="Z4" s="91" t="str">
        <f t="shared" si="1"/>
        <v/>
      </c>
      <c r="AA4" s="91" t="str">
        <f t="shared" si="1"/>
        <v/>
      </c>
      <c r="AB4" s="91" t="str">
        <f t="shared" si="1"/>
        <v/>
      </c>
      <c r="AC4" s="91" t="str">
        <f t="shared" si="1"/>
        <v/>
      </c>
      <c r="AD4" s="91" t="str">
        <f t="shared" ref="AD4:AM8" si="2">IF(AND(ISNUMBER($G4),ISNUMBER($H4),AD$191+6&gt;=$G4,AD$191&lt;=$H4),"●","")</f>
        <v/>
      </c>
      <c r="AE4" s="91" t="str">
        <f t="shared" si="2"/>
        <v/>
      </c>
      <c r="AF4" s="91" t="str">
        <f t="shared" si="2"/>
        <v/>
      </c>
      <c r="AG4" s="91" t="str">
        <f t="shared" si="2"/>
        <v>●</v>
      </c>
      <c r="AH4" s="91" t="str">
        <f t="shared" si="2"/>
        <v>●</v>
      </c>
      <c r="AI4" s="91" t="str">
        <f t="shared" si="2"/>
        <v/>
      </c>
      <c r="AJ4" s="91" t="str">
        <f t="shared" si="2"/>
        <v/>
      </c>
      <c r="AK4" s="91" t="str">
        <f t="shared" si="2"/>
        <v/>
      </c>
      <c r="AL4" s="91" t="str">
        <f t="shared" si="2"/>
        <v/>
      </c>
      <c r="AM4" s="91" t="str">
        <f t="shared" si="2"/>
        <v/>
      </c>
      <c r="AN4" s="91" t="str">
        <f t="shared" ref="AN4:AW8" si="3">IF(AND(ISNUMBER($G4),ISNUMBER($H4),AN$191+6&gt;=$G4,AN$191&lt;=$H4),"●","")</f>
        <v/>
      </c>
      <c r="AO4" s="91" t="str">
        <f t="shared" si="3"/>
        <v/>
      </c>
      <c r="AP4" s="91" t="str">
        <f t="shared" si="3"/>
        <v/>
      </c>
      <c r="AQ4" s="91" t="str">
        <f t="shared" si="3"/>
        <v/>
      </c>
      <c r="AR4" s="91" t="str">
        <f t="shared" si="3"/>
        <v/>
      </c>
      <c r="AS4" s="91" t="str">
        <f t="shared" si="3"/>
        <v/>
      </c>
      <c r="AT4" s="91" t="str">
        <f t="shared" si="3"/>
        <v/>
      </c>
      <c r="AU4" s="91" t="str">
        <f t="shared" si="3"/>
        <v/>
      </c>
      <c r="AV4" s="91" t="str">
        <f t="shared" si="3"/>
        <v/>
      </c>
      <c r="AW4" s="91" t="str">
        <f t="shared" si="3"/>
        <v/>
      </c>
      <c r="AX4" s="91" t="str">
        <f t="shared" ref="AX4:BI8" si="4">IF(AND(ISNUMBER($G4),ISNUMBER($H4),AX$191+6&gt;=$G4,AX$191&lt;=$H4),"●","")</f>
        <v/>
      </c>
      <c r="AY4" s="91" t="str">
        <f t="shared" si="4"/>
        <v/>
      </c>
      <c r="AZ4" s="91" t="str">
        <f t="shared" si="4"/>
        <v/>
      </c>
      <c r="BA4" s="91" t="str">
        <f t="shared" si="4"/>
        <v/>
      </c>
      <c r="BB4" s="91" t="str">
        <f t="shared" si="4"/>
        <v/>
      </c>
      <c r="BC4" s="91" t="str">
        <f t="shared" si="4"/>
        <v/>
      </c>
      <c r="BD4" s="91" t="str">
        <f t="shared" si="4"/>
        <v/>
      </c>
      <c r="BE4" s="91" t="str">
        <f t="shared" si="4"/>
        <v/>
      </c>
      <c r="BF4" s="91" t="str">
        <f t="shared" si="4"/>
        <v/>
      </c>
      <c r="BG4" s="91" t="str">
        <f t="shared" si="4"/>
        <v/>
      </c>
      <c r="BH4" s="91" t="str">
        <f t="shared" si="4"/>
        <v/>
      </c>
      <c r="BI4" s="91" t="str">
        <f t="shared" si="4"/>
        <v/>
      </c>
    </row>
    <row r="5" spans="1:61" s="17" customFormat="1" ht="38.25" customHeight="1">
      <c r="A5" s="449"/>
      <c r="B5" s="88" t="s">
        <v>526</v>
      </c>
      <c r="C5" s="88" t="s">
        <v>522</v>
      </c>
      <c r="D5" s="88"/>
      <c r="E5" s="105" t="s">
        <v>527</v>
      </c>
      <c r="F5" s="87" t="s">
        <v>277</v>
      </c>
      <c r="G5" s="89">
        <v>46174</v>
      </c>
      <c r="H5" s="89">
        <v>46241</v>
      </c>
      <c r="I5" s="92" t="s">
        <v>528</v>
      </c>
      <c r="J5" s="93" t="str">
        <f t="shared" si="0"/>
        <v/>
      </c>
      <c r="K5" s="93" t="str">
        <f t="shared" si="0"/>
        <v/>
      </c>
      <c r="L5" s="93" t="str">
        <f t="shared" si="0"/>
        <v/>
      </c>
      <c r="M5" s="93" t="str">
        <f t="shared" si="0"/>
        <v/>
      </c>
      <c r="N5" s="93" t="str">
        <f t="shared" si="0"/>
        <v/>
      </c>
      <c r="O5" s="93" t="str">
        <f t="shared" si="0"/>
        <v/>
      </c>
      <c r="P5" s="93" t="str">
        <f t="shared" si="0"/>
        <v/>
      </c>
      <c r="Q5" s="93" t="str">
        <f t="shared" si="0"/>
        <v/>
      </c>
      <c r="R5" s="93" t="str">
        <f t="shared" si="0"/>
        <v/>
      </c>
      <c r="S5" s="93" t="str">
        <f t="shared" si="0"/>
        <v/>
      </c>
      <c r="T5" s="93" t="str">
        <f t="shared" si="1"/>
        <v/>
      </c>
      <c r="U5" s="93" t="str">
        <f t="shared" si="1"/>
        <v/>
      </c>
      <c r="V5" s="93" t="str">
        <f t="shared" si="1"/>
        <v/>
      </c>
      <c r="W5" s="93" t="str">
        <f t="shared" si="1"/>
        <v/>
      </c>
      <c r="X5" s="93" t="str">
        <f t="shared" si="1"/>
        <v/>
      </c>
      <c r="Y5" s="93" t="str">
        <f t="shared" si="1"/>
        <v/>
      </c>
      <c r="Z5" s="93" t="str">
        <f t="shared" si="1"/>
        <v/>
      </c>
      <c r="AA5" s="93" t="str">
        <f t="shared" si="1"/>
        <v/>
      </c>
      <c r="AB5" s="93" t="str">
        <f t="shared" si="1"/>
        <v/>
      </c>
      <c r="AC5" s="93" t="str">
        <f t="shared" si="1"/>
        <v/>
      </c>
      <c r="AD5" s="93" t="str">
        <f t="shared" si="2"/>
        <v/>
      </c>
      <c r="AE5" s="93" t="str">
        <f t="shared" si="2"/>
        <v>●</v>
      </c>
      <c r="AF5" s="93" t="str">
        <f t="shared" si="2"/>
        <v>●</v>
      </c>
      <c r="AG5" s="93" t="str">
        <f t="shared" si="2"/>
        <v>●</v>
      </c>
      <c r="AH5" s="93" t="str">
        <f t="shared" si="2"/>
        <v>●</v>
      </c>
      <c r="AI5" s="93" t="str">
        <f t="shared" si="2"/>
        <v>●</v>
      </c>
      <c r="AJ5" s="93" t="str">
        <f t="shared" si="2"/>
        <v>●</v>
      </c>
      <c r="AK5" s="93" t="str">
        <f t="shared" si="2"/>
        <v>●</v>
      </c>
      <c r="AL5" s="93" t="str">
        <f t="shared" si="2"/>
        <v>●</v>
      </c>
      <c r="AM5" s="93" t="str">
        <f t="shared" si="2"/>
        <v>●</v>
      </c>
      <c r="AN5" s="93" t="str">
        <f t="shared" si="3"/>
        <v>●</v>
      </c>
      <c r="AO5" s="93" t="str">
        <f t="shared" si="3"/>
        <v/>
      </c>
      <c r="AP5" s="93" t="str">
        <f t="shared" si="3"/>
        <v/>
      </c>
      <c r="AQ5" s="93" t="str">
        <f t="shared" si="3"/>
        <v/>
      </c>
      <c r="AR5" s="93" t="str">
        <f t="shared" si="3"/>
        <v/>
      </c>
      <c r="AS5" s="93" t="str">
        <f t="shared" si="3"/>
        <v/>
      </c>
      <c r="AT5" s="93" t="str">
        <f t="shared" si="3"/>
        <v/>
      </c>
      <c r="AU5" s="93" t="str">
        <f t="shared" si="3"/>
        <v/>
      </c>
      <c r="AV5" s="93" t="str">
        <f t="shared" si="3"/>
        <v/>
      </c>
      <c r="AW5" s="93" t="str">
        <f t="shared" si="3"/>
        <v/>
      </c>
      <c r="AX5" s="93" t="str">
        <f t="shared" si="4"/>
        <v/>
      </c>
      <c r="AY5" s="93" t="str">
        <f t="shared" si="4"/>
        <v/>
      </c>
      <c r="AZ5" s="93" t="str">
        <f t="shared" si="4"/>
        <v/>
      </c>
      <c r="BA5" s="93" t="str">
        <f t="shared" si="4"/>
        <v/>
      </c>
      <c r="BB5" s="93" t="str">
        <f t="shared" si="4"/>
        <v/>
      </c>
      <c r="BC5" s="93" t="str">
        <f t="shared" si="4"/>
        <v/>
      </c>
      <c r="BD5" s="93" t="str">
        <f t="shared" si="4"/>
        <v/>
      </c>
      <c r="BE5" s="93" t="str">
        <f t="shared" si="4"/>
        <v/>
      </c>
      <c r="BF5" s="93" t="str">
        <f t="shared" si="4"/>
        <v/>
      </c>
      <c r="BG5" s="93" t="str">
        <f t="shared" si="4"/>
        <v/>
      </c>
      <c r="BH5" s="93" t="str">
        <f t="shared" si="4"/>
        <v/>
      </c>
      <c r="BI5" s="93" t="str">
        <f t="shared" si="4"/>
        <v/>
      </c>
    </row>
    <row r="6" spans="1:61" s="17" customFormat="1" ht="38.25" customHeight="1">
      <c r="A6" s="449"/>
      <c r="B6" s="105" t="s">
        <v>529</v>
      </c>
      <c r="C6" s="88" t="s">
        <v>522</v>
      </c>
      <c r="D6" s="88"/>
      <c r="E6" s="105" t="s">
        <v>530</v>
      </c>
      <c r="F6" s="87" t="s">
        <v>277</v>
      </c>
      <c r="G6" s="89">
        <v>46244</v>
      </c>
      <c r="H6" s="89">
        <v>46275</v>
      </c>
      <c r="I6" s="92" t="s">
        <v>531</v>
      </c>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row>
    <row r="7" spans="1:61" s="17" customFormat="1" ht="33.75" customHeight="1">
      <c r="A7" s="449"/>
      <c r="B7" s="105" t="s">
        <v>532</v>
      </c>
      <c r="C7" s="88" t="s">
        <v>522</v>
      </c>
      <c r="D7" s="88"/>
      <c r="E7" s="105" t="s">
        <v>530</v>
      </c>
      <c r="F7" s="87" t="s">
        <v>533</v>
      </c>
      <c r="G7" s="89">
        <v>46247</v>
      </c>
      <c r="H7" s="89">
        <v>46261</v>
      </c>
      <c r="I7" s="90" t="s">
        <v>534</v>
      </c>
      <c r="J7" s="93" t="str">
        <f t="shared" si="0"/>
        <v/>
      </c>
      <c r="K7" s="93" t="str">
        <f t="shared" si="0"/>
        <v/>
      </c>
      <c r="L7" s="93" t="str">
        <f t="shared" si="0"/>
        <v/>
      </c>
      <c r="M7" s="93" t="str">
        <f t="shared" si="0"/>
        <v/>
      </c>
      <c r="N7" s="93" t="str">
        <f t="shared" si="0"/>
        <v/>
      </c>
      <c r="O7" s="93" t="str">
        <f t="shared" si="0"/>
        <v/>
      </c>
      <c r="P7" s="93" t="str">
        <f t="shared" si="0"/>
        <v/>
      </c>
      <c r="Q7" s="93" t="str">
        <f t="shared" si="0"/>
        <v/>
      </c>
      <c r="R7" s="93" t="str">
        <f t="shared" si="0"/>
        <v/>
      </c>
      <c r="S7" s="93" t="str">
        <f t="shared" si="0"/>
        <v/>
      </c>
      <c r="T7" s="93" t="str">
        <f t="shared" si="1"/>
        <v/>
      </c>
      <c r="U7" s="93" t="str">
        <f t="shared" si="1"/>
        <v/>
      </c>
      <c r="V7" s="93" t="str">
        <f t="shared" si="1"/>
        <v/>
      </c>
      <c r="W7" s="93" t="str">
        <f t="shared" si="1"/>
        <v/>
      </c>
      <c r="X7" s="93" t="str">
        <f t="shared" si="1"/>
        <v/>
      </c>
      <c r="Y7" s="93" t="str">
        <f t="shared" si="1"/>
        <v/>
      </c>
      <c r="Z7" s="93" t="str">
        <f t="shared" si="1"/>
        <v/>
      </c>
      <c r="AA7" s="93" t="str">
        <f t="shared" si="1"/>
        <v/>
      </c>
      <c r="AB7" s="93" t="str">
        <f t="shared" si="1"/>
        <v/>
      </c>
      <c r="AC7" s="93" t="str">
        <f t="shared" si="1"/>
        <v/>
      </c>
      <c r="AD7" s="93" t="str">
        <f t="shared" si="2"/>
        <v/>
      </c>
      <c r="AE7" s="93" t="str">
        <f t="shared" si="2"/>
        <v/>
      </c>
      <c r="AF7" s="93" t="str">
        <f t="shared" si="2"/>
        <v/>
      </c>
      <c r="AG7" s="93" t="str">
        <f t="shared" si="2"/>
        <v/>
      </c>
      <c r="AH7" s="93" t="str">
        <f t="shared" si="2"/>
        <v/>
      </c>
      <c r="AI7" s="93" t="str">
        <f t="shared" si="2"/>
        <v/>
      </c>
      <c r="AJ7" s="93" t="str">
        <f t="shared" si="2"/>
        <v/>
      </c>
      <c r="AK7" s="93" t="str">
        <f t="shared" si="2"/>
        <v/>
      </c>
      <c r="AL7" s="93" t="str">
        <f t="shared" si="2"/>
        <v/>
      </c>
      <c r="AM7" s="93" t="str">
        <f t="shared" si="2"/>
        <v/>
      </c>
      <c r="AN7" s="93" t="str">
        <f t="shared" si="3"/>
        <v/>
      </c>
      <c r="AO7" s="93" t="str">
        <f t="shared" si="3"/>
        <v>●</v>
      </c>
      <c r="AP7" s="93" t="str">
        <f t="shared" si="3"/>
        <v>●</v>
      </c>
      <c r="AQ7" s="93" t="str">
        <f t="shared" si="3"/>
        <v>●</v>
      </c>
      <c r="AR7" s="93" t="str">
        <f t="shared" si="3"/>
        <v/>
      </c>
      <c r="AS7" s="93" t="str">
        <f t="shared" si="3"/>
        <v/>
      </c>
      <c r="AT7" s="93" t="str">
        <f t="shared" si="3"/>
        <v/>
      </c>
      <c r="AU7" s="93" t="str">
        <f t="shared" si="3"/>
        <v/>
      </c>
      <c r="AV7" s="93" t="str">
        <f t="shared" si="3"/>
        <v/>
      </c>
      <c r="AW7" s="93" t="str">
        <f t="shared" si="3"/>
        <v/>
      </c>
      <c r="AX7" s="93" t="str">
        <f t="shared" si="4"/>
        <v/>
      </c>
      <c r="AY7" s="93" t="str">
        <f t="shared" si="4"/>
        <v/>
      </c>
      <c r="AZ7" s="93" t="str">
        <f t="shared" si="4"/>
        <v/>
      </c>
      <c r="BA7" s="93" t="str">
        <f t="shared" si="4"/>
        <v/>
      </c>
      <c r="BB7" s="93" t="str">
        <f t="shared" si="4"/>
        <v/>
      </c>
      <c r="BC7" s="93" t="str">
        <f t="shared" si="4"/>
        <v/>
      </c>
      <c r="BD7" s="93" t="str">
        <f t="shared" si="4"/>
        <v/>
      </c>
      <c r="BE7" s="93" t="str">
        <f t="shared" si="4"/>
        <v/>
      </c>
      <c r="BF7" s="93" t="str">
        <f t="shared" si="4"/>
        <v/>
      </c>
      <c r="BG7" s="93" t="str">
        <f t="shared" si="4"/>
        <v/>
      </c>
      <c r="BH7" s="93" t="str">
        <f t="shared" si="4"/>
        <v/>
      </c>
      <c r="BI7" s="93" t="str">
        <f t="shared" si="4"/>
        <v/>
      </c>
    </row>
    <row r="8" spans="1:61" s="17" customFormat="1" ht="33.75" customHeight="1">
      <c r="A8" s="450"/>
      <c r="B8" s="88" t="s">
        <v>535</v>
      </c>
      <c r="C8" s="88" t="s">
        <v>522</v>
      </c>
      <c r="D8" s="88"/>
      <c r="E8" s="105"/>
      <c r="F8" s="87" t="s">
        <v>536</v>
      </c>
      <c r="G8" s="94">
        <v>46276</v>
      </c>
      <c r="H8" s="94"/>
      <c r="I8" s="90" t="s">
        <v>537</v>
      </c>
      <c r="J8" s="93" t="str">
        <f t="shared" si="0"/>
        <v/>
      </c>
      <c r="K8" s="93" t="str">
        <f t="shared" si="0"/>
        <v/>
      </c>
      <c r="L8" s="93" t="str">
        <f t="shared" si="0"/>
        <v/>
      </c>
      <c r="M8" s="93" t="str">
        <f t="shared" si="0"/>
        <v/>
      </c>
      <c r="N8" s="93" t="str">
        <f t="shared" si="0"/>
        <v/>
      </c>
      <c r="O8" s="93" t="str">
        <f t="shared" si="0"/>
        <v/>
      </c>
      <c r="P8" s="93" t="str">
        <f t="shared" si="0"/>
        <v/>
      </c>
      <c r="Q8" s="93" t="str">
        <f t="shared" si="0"/>
        <v/>
      </c>
      <c r="R8" s="93" t="str">
        <f t="shared" si="0"/>
        <v/>
      </c>
      <c r="S8" s="93" t="str">
        <f t="shared" si="0"/>
        <v/>
      </c>
      <c r="T8" s="93" t="str">
        <f t="shared" si="1"/>
        <v/>
      </c>
      <c r="U8" s="93" t="str">
        <f t="shared" si="1"/>
        <v/>
      </c>
      <c r="V8" s="93" t="str">
        <f t="shared" si="1"/>
        <v/>
      </c>
      <c r="W8" s="93" t="str">
        <f t="shared" si="1"/>
        <v/>
      </c>
      <c r="X8" s="93" t="str">
        <f t="shared" si="1"/>
        <v/>
      </c>
      <c r="Y8" s="93" t="str">
        <f t="shared" si="1"/>
        <v/>
      </c>
      <c r="Z8" s="93" t="str">
        <f t="shared" si="1"/>
        <v/>
      </c>
      <c r="AA8" s="93" t="str">
        <f t="shared" si="1"/>
        <v/>
      </c>
      <c r="AB8" s="93" t="str">
        <f t="shared" si="1"/>
        <v/>
      </c>
      <c r="AC8" s="93" t="str">
        <f t="shared" si="1"/>
        <v/>
      </c>
      <c r="AD8" s="93" t="str">
        <f t="shared" si="2"/>
        <v/>
      </c>
      <c r="AE8" s="93" t="str">
        <f t="shared" si="2"/>
        <v/>
      </c>
      <c r="AF8" s="93" t="str">
        <f t="shared" si="2"/>
        <v/>
      </c>
      <c r="AG8" s="93" t="str">
        <f t="shared" si="2"/>
        <v/>
      </c>
      <c r="AH8" s="93" t="str">
        <f t="shared" si="2"/>
        <v/>
      </c>
      <c r="AI8" s="93" t="str">
        <f t="shared" si="2"/>
        <v/>
      </c>
      <c r="AJ8" s="93" t="str">
        <f t="shared" si="2"/>
        <v/>
      </c>
      <c r="AK8" s="93" t="str">
        <f t="shared" si="2"/>
        <v/>
      </c>
      <c r="AL8" s="93" t="str">
        <f t="shared" si="2"/>
        <v/>
      </c>
      <c r="AM8" s="93" t="str">
        <f t="shared" si="2"/>
        <v/>
      </c>
      <c r="AN8" s="93" t="str">
        <f t="shared" si="3"/>
        <v/>
      </c>
      <c r="AO8" s="93" t="str">
        <f t="shared" si="3"/>
        <v/>
      </c>
      <c r="AP8" s="93" t="str">
        <f t="shared" si="3"/>
        <v/>
      </c>
      <c r="AQ8" s="93" t="str">
        <f t="shared" si="3"/>
        <v/>
      </c>
      <c r="AR8" s="93" t="str">
        <f t="shared" si="3"/>
        <v/>
      </c>
      <c r="AS8" s="93" t="str">
        <f t="shared" si="3"/>
        <v/>
      </c>
      <c r="AT8" s="93" t="str">
        <f t="shared" si="3"/>
        <v/>
      </c>
      <c r="AU8" s="93" t="str">
        <f t="shared" si="3"/>
        <v/>
      </c>
      <c r="AV8" s="93" t="str">
        <f t="shared" si="3"/>
        <v/>
      </c>
      <c r="AW8" s="93" t="str">
        <f t="shared" si="3"/>
        <v/>
      </c>
      <c r="AX8" s="93" t="str">
        <f t="shared" si="4"/>
        <v/>
      </c>
      <c r="AY8" s="93" t="str">
        <f t="shared" si="4"/>
        <v/>
      </c>
      <c r="AZ8" s="93" t="str">
        <f t="shared" si="4"/>
        <v/>
      </c>
      <c r="BA8" s="93" t="str">
        <f t="shared" si="4"/>
        <v/>
      </c>
      <c r="BB8" s="93" t="str">
        <f t="shared" si="4"/>
        <v/>
      </c>
      <c r="BC8" s="93" t="str">
        <f t="shared" si="4"/>
        <v/>
      </c>
      <c r="BD8" s="93" t="str">
        <f t="shared" si="4"/>
        <v/>
      </c>
      <c r="BE8" s="93" t="str">
        <f t="shared" si="4"/>
        <v/>
      </c>
      <c r="BF8" s="93" t="str">
        <f t="shared" si="4"/>
        <v/>
      </c>
      <c r="BG8" s="93" t="str">
        <f t="shared" si="4"/>
        <v/>
      </c>
      <c r="BH8" s="93" t="str">
        <f t="shared" si="4"/>
        <v/>
      </c>
      <c r="BI8" s="93" t="str">
        <f t="shared" si="4"/>
        <v/>
      </c>
    </row>
    <row r="9" spans="1:61">
      <c r="F9" s="81"/>
      <c r="P9" s="82" t="s">
        <v>536</v>
      </c>
    </row>
    <row r="10" spans="1:61">
      <c r="F10" s="81"/>
      <c r="P10" s="83" t="s">
        <v>533</v>
      </c>
    </row>
    <row r="11" spans="1:61">
      <c r="F11" s="81"/>
      <c r="P11" s="84" t="s">
        <v>538</v>
      </c>
    </row>
    <row r="12" spans="1:61">
      <c r="F12" s="81"/>
      <c r="P12" s="85" t="s">
        <v>277</v>
      </c>
    </row>
    <row r="13" spans="1:61">
      <c r="F13" s="81"/>
      <c r="P13" s="86" t="s">
        <v>524</v>
      </c>
    </row>
    <row r="14" spans="1:61">
      <c r="F14" s="81"/>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191" spans="10:61">
      <c r="J191" s="80">
        <v>46027</v>
      </c>
      <c r="K191" s="80">
        <v>46034</v>
      </c>
      <c r="L191" s="80">
        <v>46041</v>
      </c>
      <c r="M191" s="80">
        <v>46048</v>
      </c>
      <c r="N191" s="80">
        <v>46055</v>
      </c>
      <c r="O191" s="80">
        <v>46062</v>
      </c>
      <c r="P191" s="80">
        <v>46069</v>
      </c>
      <c r="Q191" s="80">
        <v>46076</v>
      </c>
      <c r="R191" s="80">
        <v>46083</v>
      </c>
      <c r="S191" s="80">
        <v>46090</v>
      </c>
      <c r="T191" s="80">
        <v>46097</v>
      </c>
      <c r="U191" s="80">
        <v>46104</v>
      </c>
      <c r="V191" s="80">
        <v>46111</v>
      </c>
      <c r="W191" s="80">
        <v>46118</v>
      </c>
      <c r="X191" s="80">
        <v>46125</v>
      </c>
      <c r="Y191" s="80">
        <v>46132</v>
      </c>
      <c r="Z191" s="80">
        <v>46139</v>
      </c>
      <c r="AA191" s="80">
        <v>46146</v>
      </c>
      <c r="AB191" s="80">
        <v>46153</v>
      </c>
      <c r="AC191" s="80">
        <v>46160</v>
      </c>
      <c r="AD191" s="80">
        <v>46167</v>
      </c>
      <c r="AE191" s="80">
        <v>46174</v>
      </c>
      <c r="AF191" s="80">
        <v>46181</v>
      </c>
      <c r="AG191" s="80">
        <v>46188</v>
      </c>
      <c r="AH191" s="80">
        <v>46195</v>
      </c>
      <c r="AI191" s="80">
        <v>46202</v>
      </c>
      <c r="AJ191" s="80">
        <v>46209</v>
      </c>
      <c r="AK191" s="80">
        <v>46216</v>
      </c>
      <c r="AL191" s="80">
        <v>46223</v>
      </c>
      <c r="AM191" s="80">
        <v>46230</v>
      </c>
      <c r="AN191" s="80">
        <v>46237</v>
      </c>
      <c r="AO191" s="80">
        <v>46244</v>
      </c>
      <c r="AP191" s="80">
        <v>46251</v>
      </c>
      <c r="AQ191" s="80">
        <v>46258</v>
      </c>
      <c r="AR191" s="80">
        <v>46265</v>
      </c>
      <c r="AS191" s="80">
        <v>46272</v>
      </c>
      <c r="AT191" s="80">
        <v>46279</v>
      </c>
      <c r="AU191" s="80">
        <v>46286</v>
      </c>
      <c r="AV191" s="80">
        <v>46293</v>
      </c>
      <c r="AW191" s="80">
        <v>46300</v>
      </c>
      <c r="AX191" s="80">
        <v>46307</v>
      </c>
      <c r="AY191" s="80">
        <v>46314</v>
      </c>
      <c r="AZ191" s="80">
        <v>46321</v>
      </c>
      <c r="BA191" s="80">
        <v>46328</v>
      </c>
      <c r="BB191" s="80">
        <v>46335</v>
      </c>
      <c r="BC191" s="80">
        <v>46342</v>
      </c>
      <c r="BD191" s="80">
        <v>46349</v>
      </c>
      <c r="BE191" s="80">
        <v>46356</v>
      </c>
      <c r="BF191" s="80">
        <v>46363</v>
      </c>
      <c r="BG191" s="80">
        <v>46370</v>
      </c>
      <c r="BH191" s="80">
        <v>46377</v>
      </c>
      <c r="BI191" s="80">
        <v>46384</v>
      </c>
    </row>
  </sheetData>
  <mergeCells count="17">
    <mergeCell ref="AS2:AV2"/>
    <mergeCell ref="AW2:AZ2"/>
    <mergeCell ref="A4:A8"/>
    <mergeCell ref="BA2:BE2"/>
    <mergeCell ref="BF2:BI2"/>
    <mergeCell ref="J1:V1"/>
    <mergeCell ref="W1:AI1"/>
    <mergeCell ref="AJ1:AV1"/>
    <mergeCell ref="AW1:BI1"/>
    <mergeCell ref="J2:M2"/>
    <mergeCell ref="N2:Q2"/>
    <mergeCell ref="R2:V2"/>
    <mergeCell ref="W2:Z2"/>
    <mergeCell ref="AA2:AD2"/>
    <mergeCell ref="AE2:AI2"/>
    <mergeCell ref="AJ2:AM2"/>
    <mergeCell ref="AN2:AR2"/>
  </mergeCells>
  <phoneticPr fontId="3" type="noConversion"/>
  <conditionalFormatting sqref="F4:F8">
    <cfRule type="cellIs" dxfId="83" priority="4" operator="equal">
      <formula>"Not Started"</formula>
    </cfRule>
    <cfRule type="cellIs" dxfId="82" priority="5" operator="equal">
      <formula>"In Progress"</formula>
    </cfRule>
    <cfRule type="cellIs" dxfId="81" priority="6" operator="equal">
      <formula>"Blocked"</formula>
    </cfRule>
    <cfRule type="cellIs" dxfId="80" priority="7" operator="equal">
      <formula>"On Hold"</formula>
    </cfRule>
    <cfRule type="cellIs" dxfId="79" priority="8" operator="equal">
      <formula>"Done"</formula>
    </cfRule>
  </conditionalFormatting>
  <conditionalFormatting sqref="F16:F91">
    <cfRule type="cellIs" dxfId="78" priority="9" operator="equal">
      <formula>"Not Started"</formula>
    </cfRule>
    <cfRule type="cellIs" dxfId="77" priority="10" operator="equal">
      <formula>"In Progress"</formula>
    </cfRule>
    <cfRule type="cellIs" dxfId="76" priority="11" operator="equal">
      <formula>"Blocked"</formula>
    </cfRule>
    <cfRule type="cellIs" dxfId="75" priority="12" operator="equal">
      <formula>"On Hold"</formula>
    </cfRule>
    <cfRule type="cellIs" dxfId="74" priority="13" operator="equal">
      <formula>"Done"</formula>
    </cfRule>
  </conditionalFormatting>
  <conditionalFormatting sqref="J4:BI4">
    <cfRule type="containsText" dxfId="73" priority="1" operator="containsText" text="●">
      <formula>NOT(ISERROR(SEARCH("●",J4)))</formula>
    </cfRule>
  </conditionalFormatting>
  <conditionalFormatting sqref="J5:BI6">
    <cfRule type="containsText" dxfId="72" priority="2" operator="containsText" text="●">
      <formula>NOT(ISERROR(SEARCH("●",J5)))</formula>
    </cfRule>
  </conditionalFormatting>
  <conditionalFormatting sqref="J7:BI8">
    <cfRule type="containsText" dxfId="71" priority="3" operator="containsText" text="●">
      <formula>NOT(ISERROR(SEARCH("●",J7)))</formula>
    </cfRule>
  </conditionalFormatting>
  <dataValidations count="2">
    <dataValidation type="list" allowBlank="1" showInputMessage="1" showErrorMessage="1" sqref="F16:F91 F4:F8" xr:uid="{45708343-EA51-4BCC-BAFB-5A15F1B80AD3}">
      <formula1>"Not Started,In Progress,Blocked,On Hold,Done"</formula1>
    </dataValidation>
    <dataValidation type="list" allowBlank="1" showInputMessage="1" showErrorMessage="1" sqref="E4:E8" xr:uid="{C2BE8CDC-6C4F-4C06-A1E2-F3A2733E53B6}">
      <formula1>"Receive Room List, Manual Check/Map, SCM Review, Manual Map after SCM Review, Done"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tabSelected="1" workbookViewId="0">
      <pane ySplit="1" topLeftCell="A84" activePane="bottomLeft" state="frozen"/>
      <selection pane="bottomLeft" activeCell="E101" sqref="E101"/>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539</v>
      </c>
      <c r="B1" s="24" t="s">
        <v>540</v>
      </c>
      <c r="C1" s="24" t="s">
        <v>541</v>
      </c>
      <c r="D1" s="24" t="s">
        <v>542</v>
      </c>
      <c r="E1" s="24" t="s">
        <v>543</v>
      </c>
      <c r="F1" s="24" t="s">
        <v>544</v>
      </c>
      <c r="G1" s="24" t="s">
        <v>545</v>
      </c>
    </row>
    <row r="2" spans="1:7" ht="29.1">
      <c r="A2" s="26" t="s">
        <v>546</v>
      </c>
      <c r="B2" s="26" t="s">
        <v>547</v>
      </c>
      <c r="C2" s="26" t="s">
        <v>548</v>
      </c>
      <c r="D2" s="26" t="s">
        <v>549</v>
      </c>
      <c r="E2" s="26" t="s">
        <v>550</v>
      </c>
      <c r="F2" s="26" t="s">
        <v>551</v>
      </c>
      <c r="G2" s="27"/>
    </row>
    <row r="3" spans="1:7" ht="29.1" customHeight="1">
      <c r="A3" s="459" t="s">
        <v>552</v>
      </c>
      <c r="B3" s="29" t="s">
        <v>398</v>
      </c>
      <c r="C3" s="29" t="s">
        <v>553</v>
      </c>
      <c r="D3" s="29" t="s">
        <v>554</v>
      </c>
      <c r="E3" s="30" t="s">
        <v>555</v>
      </c>
      <c r="F3" s="30" t="s">
        <v>556</v>
      </c>
      <c r="G3" s="31"/>
    </row>
    <row r="4" spans="1:7" ht="43.5" customHeight="1">
      <c r="A4" s="460"/>
      <c r="B4" s="33" t="s">
        <v>398</v>
      </c>
      <c r="C4" s="33" t="s">
        <v>557</v>
      </c>
      <c r="D4" s="33" t="s">
        <v>554</v>
      </c>
      <c r="E4" s="34" t="s">
        <v>558</v>
      </c>
      <c r="F4" s="34" t="s">
        <v>559</v>
      </c>
      <c r="G4" s="35"/>
    </row>
    <row r="5" spans="1:7" ht="29.1">
      <c r="A5" s="36" t="s">
        <v>560</v>
      </c>
      <c r="B5" s="33" t="s">
        <v>398</v>
      </c>
      <c r="C5" s="34" t="s">
        <v>561</v>
      </c>
      <c r="D5" s="33" t="s">
        <v>562</v>
      </c>
      <c r="E5" s="34" t="s">
        <v>563</v>
      </c>
      <c r="F5" s="34" t="s">
        <v>564</v>
      </c>
      <c r="G5" s="35"/>
    </row>
    <row r="6" spans="1:7" ht="12" customHeight="1">
      <c r="A6" s="459" t="s">
        <v>565</v>
      </c>
      <c r="B6" s="456" t="s">
        <v>398</v>
      </c>
      <c r="C6" s="33" t="s">
        <v>566</v>
      </c>
      <c r="D6" s="33" t="s">
        <v>567</v>
      </c>
      <c r="E6" s="34" t="s">
        <v>568</v>
      </c>
      <c r="F6" s="34" t="s">
        <v>569</v>
      </c>
      <c r="G6" s="37"/>
    </row>
    <row r="7" spans="1:7" ht="12" customHeight="1">
      <c r="A7" s="459"/>
      <c r="B7" s="457"/>
      <c r="C7" s="33" t="s">
        <v>570</v>
      </c>
      <c r="D7" s="33" t="s">
        <v>567</v>
      </c>
      <c r="E7" s="34" t="s">
        <v>571</v>
      </c>
      <c r="F7" s="34" t="s">
        <v>572</v>
      </c>
      <c r="G7" s="35"/>
    </row>
    <row r="8" spans="1:7" ht="12" customHeight="1">
      <c r="A8" s="459"/>
      <c r="B8" s="457"/>
      <c r="C8" s="33" t="s">
        <v>573</v>
      </c>
      <c r="D8" s="33" t="s">
        <v>567</v>
      </c>
      <c r="E8" s="34" t="s">
        <v>574</v>
      </c>
      <c r="F8" s="34" t="s">
        <v>575</v>
      </c>
      <c r="G8" s="35"/>
    </row>
    <row r="9" spans="1:7" ht="72.599999999999994">
      <c r="A9" s="459"/>
      <c r="B9" s="458"/>
      <c r="C9" s="33" t="s">
        <v>573</v>
      </c>
      <c r="D9" s="33" t="s">
        <v>576</v>
      </c>
      <c r="E9" s="34" t="s">
        <v>577</v>
      </c>
      <c r="F9" s="34" t="s">
        <v>578</v>
      </c>
      <c r="G9" s="35"/>
    </row>
    <row r="10" spans="1:7" ht="12" customHeight="1">
      <c r="A10" s="459" t="s">
        <v>579</v>
      </c>
      <c r="B10" s="33" t="s">
        <v>398</v>
      </c>
      <c r="C10" s="33" t="s">
        <v>580</v>
      </c>
      <c r="D10" s="33" t="s">
        <v>567</v>
      </c>
      <c r="E10" s="34" t="s">
        <v>581</v>
      </c>
      <c r="F10" s="34" t="s">
        <v>582</v>
      </c>
      <c r="G10" s="35"/>
    </row>
    <row r="11" spans="1:7" ht="12" customHeight="1">
      <c r="A11" s="459"/>
      <c r="B11" s="33" t="s">
        <v>398</v>
      </c>
      <c r="C11" s="33" t="s">
        <v>566</v>
      </c>
      <c r="D11" s="33" t="s">
        <v>567</v>
      </c>
      <c r="E11" s="34" t="s">
        <v>571</v>
      </c>
      <c r="F11" s="34" t="s">
        <v>583</v>
      </c>
      <c r="G11" s="35"/>
    </row>
    <row r="12" spans="1:7" ht="29.1">
      <c r="A12" s="460"/>
      <c r="B12" s="33" t="s">
        <v>398</v>
      </c>
      <c r="C12" s="33" t="s">
        <v>557</v>
      </c>
      <c r="D12" s="33" t="s">
        <v>584</v>
      </c>
      <c r="E12" s="34" t="s">
        <v>585</v>
      </c>
      <c r="F12" s="34" t="s">
        <v>586</v>
      </c>
      <c r="G12" s="35"/>
    </row>
    <row r="13" spans="1:7" ht="12" customHeight="1">
      <c r="A13" s="461" t="s">
        <v>587</v>
      </c>
      <c r="B13" s="33" t="s">
        <v>398</v>
      </c>
      <c r="C13" s="33" t="s">
        <v>588</v>
      </c>
      <c r="D13" s="33" t="s">
        <v>584</v>
      </c>
      <c r="E13" s="34" t="s">
        <v>589</v>
      </c>
      <c r="F13" s="34" t="s">
        <v>590</v>
      </c>
      <c r="G13" s="35"/>
    </row>
    <row r="14" spans="1:7" ht="12" customHeight="1">
      <c r="A14" s="459"/>
      <c r="B14" s="33" t="s">
        <v>398</v>
      </c>
      <c r="C14" s="33" t="s">
        <v>561</v>
      </c>
      <c r="D14" s="33" t="s">
        <v>584</v>
      </c>
      <c r="E14" s="34" t="s">
        <v>591</v>
      </c>
      <c r="F14" s="34" t="s">
        <v>592</v>
      </c>
      <c r="G14" s="35"/>
    </row>
    <row r="15" spans="1:7" ht="12" customHeight="1">
      <c r="A15" s="459"/>
      <c r="B15" s="33" t="s">
        <v>398</v>
      </c>
      <c r="C15" s="33" t="s">
        <v>593</v>
      </c>
      <c r="D15" s="33" t="s">
        <v>584</v>
      </c>
      <c r="E15" s="34" t="s">
        <v>594</v>
      </c>
      <c r="F15" s="34" t="s">
        <v>595</v>
      </c>
      <c r="G15" s="35"/>
    </row>
    <row r="16" spans="1:7" ht="12" customHeight="1">
      <c r="A16" s="459"/>
      <c r="B16" s="33" t="s">
        <v>398</v>
      </c>
      <c r="C16" s="33" t="s">
        <v>557</v>
      </c>
      <c r="D16" s="33" t="s">
        <v>584</v>
      </c>
      <c r="E16" s="34" t="s">
        <v>596</v>
      </c>
      <c r="F16" s="34" t="s">
        <v>597</v>
      </c>
      <c r="G16" s="35"/>
    </row>
    <row r="17" spans="1:7" ht="12" customHeight="1">
      <c r="A17" s="455" t="s">
        <v>598</v>
      </c>
      <c r="B17" s="33" t="s">
        <v>398</v>
      </c>
      <c r="C17" s="33" t="s">
        <v>593</v>
      </c>
      <c r="D17" s="33" t="s">
        <v>584</v>
      </c>
      <c r="E17" s="34" t="s">
        <v>591</v>
      </c>
      <c r="F17" s="34" t="s">
        <v>599</v>
      </c>
      <c r="G17" s="35"/>
    </row>
    <row r="18" spans="1:7" ht="30.75" customHeight="1">
      <c r="A18" s="455"/>
      <c r="B18" s="33" t="s">
        <v>398</v>
      </c>
      <c r="C18" s="33" t="s">
        <v>557</v>
      </c>
      <c r="D18" s="33" t="s">
        <v>584</v>
      </c>
      <c r="E18" s="34" t="s">
        <v>600</v>
      </c>
      <c r="F18" s="34" t="s">
        <v>597</v>
      </c>
      <c r="G18" s="35"/>
    </row>
    <row r="19" spans="1:7" ht="12" customHeight="1">
      <c r="A19" s="455"/>
      <c r="B19" s="33" t="s">
        <v>398</v>
      </c>
      <c r="C19" s="33" t="s">
        <v>601</v>
      </c>
      <c r="D19" s="33" t="s">
        <v>584</v>
      </c>
      <c r="E19" s="34" t="s">
        <v>602</v>
      </c>
      <c r="F19" s="34" t="s">
        <v>603</v>
      </c>
      <c r="G19" s="35"/>
    </row>
    <row r="20" spans="1:7" ht="12" customHeight="1">
      <c r="A20" s="455"/>
      <c r="B20" s="33" t="s">
        <v>398</v>
      </c>
      <c r="C20" s="33" t="s">
        <v>604</v>
      </c>
      <c r="D20" s="33" t="s">
        <v>584</v>
      </c>
      <c r="E20" s="34" t="s">
        <v>605</v>
      </c>
      <c r="F20" s="34" t="s">
        <v>606</v>
      </c>
      <c r="G20" s="35"/>
    </row>
    <row r="21" spans="1:7" ht="30" customHeight="1">
      <c r="A21" s="455"/>
      <c r="B21" s="33" t="s">
        <v>398</v>
      </c>
      <c r="C21" s="33" t="s">
        <v>373</v>
      </c>
      <c r="D21" s="33" t="s">
        <v>584</v>
      </c>
      <c r="E21" s="34" t="s">
        <v>607</v>
      </c>
      <c r="F21" s="34" t="s">
        <v>608</v>
      </c>
      <c r="G21" s="35"/>
    </row>
    <row r="22" spans="1:7" ht="12" customHeight="1">
      <c r="A22" s="455"/>
      <c r="B22" s="33" t="s">
        <v>398</v>
      </c>
      <c r="C22" s="33" t="s">
        <v>570</v>
      </c>
      <c r="D22" s="33" t="s">
        <v>584</v>
      </c>
      <c r="E22" s="34" t="s">
        <v>609</v>
      </c>
      <c r="F22" s="34" t="s">
        <v>610</v>
      </c>
      <c r="G22" s="37"/>
    </row>
    <row r="23" spans="1:7" ht="12" customHeight="1">
      <c r="A23" s="455" t="s">
        <v>611</v>
      </c>
      <c r="B23" s="33" t="s">
        <v>398</v>
      </c>
      <c r="C23" s="33" t="s">
        <v>557</v>
      </c>
      <c r="D23" s="33" t="s">
        <v>584</v>
      </c>
      <c r="E23" s="34" t="s">
        <v>612</v>
      </c>
      <c r="F23" s="34" t="s">
        <v>613</v>
      </c>
      <c r="G23" s="35"/>
    </row>
    <row r="24" spans="1:7" ht="12" customHeight="1">
      <c r="A24" s="455"/>
      <c r="B24" s="33" t="s">
        <v>398</v>
      </c>
      <c r="C24" s="33" t="s">
        <v>604</v>
      </c>
      <c r="D24" s="33" t="s">
        <v>584</v>
      </c>
      <c r="E24" s="34" t="s">
        <v>614</v>
      </c>
      <c r="F24" s="34" t="s">
        <v>615</v>
      </c>
      <c r="G24" s="35"/>
    </row>
    <row r="25" spans="1:7" ht="12" customHeight="1">
      <c r="A25" s="455"/>
      <c r="B25" s="33" t="s">
        <v>398</v>
      </c>
      <c r="C25" s="33" t="s">
        <v>616</v>
      </c>
      <c r="D25" s="33" t="s">
        <v>584</v>
      </c>
      <c r="E25" s="34" t="s">
        <v>614</v>
      </c>
      <c r="F25" s="34" t="s">
        <v>617</v>
      </c>
      <c r="G25" s="35"/>
    </row>
    <row r="26" spans="1:7" ht="12" customHeight="1">
      <c r="A26" s="455"/>
      <c r="B26" s="33" t="s">
        <v>398</v>
      </c>
      <c r="C26" s="33" t="s">
        <v>561</v>
      </c>
      <c r="D26" s="33" t="s">
        <v>584</v>
      </c>
      <c r="E26" s="34" t="s">
        <v>602</v>
      </c>
      <c r="F26" s="34" t="s">
        <v>618</v>
      </c>
      <c r="G26" s="35"/>
    </row>
    <row r="27" spans="1:7" ht="12" customHeight="1">
      <c r="A27" s="455"/>
      <c r="B27" s="33" t="s">
        <v>398</v>
      </c>
      <c r="C27" s="33" t="s">
        <v>619</v>
      </c>
      <c r="D27" s="29" t="s">
        <v>584</v>
      </c>
      <c r="E27" s="34" t="s">
        <v>620</v>
      </c>
      <c r="F27" s="34" t="s">
        <v>621</v>
      </c>
      <c r="G27" s="35"/>
    </row>
    <row r="28" spans="1:7" ht="12" customHeight="1">
      <c r="A28" s="455"/>
      <c r="B28" s="33" t="s">
        <v>398</v>
      </c>
      <c r="C28" s="33" t="s">
        <v>622</v>
      </c>
      <c r="D28" s="29" t="s">
        <v>584</v>
      </c>
      <c r="E28" s="34" t="s">
        <v>620</v>
      </c>
      <c r="F28" s="34" t="s">
        <v>621</v>
      </c>
      <c r="G28" s="35"/>
    </row>
    <row r="29" spans="1:7" ht="12" customHeight="1">
      <c r="A29" s="455"/>
      <c r="B29" s="33" t="s">
        <v>398</v>
      </c>
      <c r="C29" s="33" t="s">
        <v>623</v>
      </c>
      <c r="D29" s="29" t="s">
        <v>584</v>
      </c>
      <c r="E29" s="34" t="s">
        <v>602</v>
      </c>
      <c r="F29" s="34" t="s">
        <v>624</v>
      </c>
      <c r="G29" s="35"/>
    </row>
    <row r="30" spans="1:7" ht="12" customHeight="1">
      <c r="A30" s="455"/>
      <c r="B30" s="33" t="s">
        <v>398</v>
      </c>
      <c r="C30" s="33" t="s">
        <v>474</v>
      </c>
      <c r="D30" s="29" t="s">
        <v>576</v>
      </c>
      <c r="E30" s="34" t="s">
        <v>625</v>
      </c>
      <c r="F30" s="34" t="s">
        <v>626</v>
      </c>
      <c r="G30" s="35"/>
    </row>
    <row r="31" spans="1:7" ht="12" customHeight="1">
      <c r="A31" s="455"/>
      <c r="B31" s="33" t="s">
        <v>398</v>
      </c>
      <c r="C31" s="33" t="s">
        <v>373</v>
      </c>
      <c r="D31" s="29" t="s">
        <v>576</v>
      </c>
      <c r="E31" s="34" t="s">
        <v>627</v>
      </c>
      <c r="F31" s="34" t="s">
        <v>628</v>
      </c>
      <c r="G31" s="35"/>
    </row>
    <row r="32" spans="1:7" ht="12" customHeight="1">
      <c r="A32" s="455"/>
      <c r="B32" s="33" t="s">
        <v>398</v>
      </c>
      <c r="C32" s="33" t="s">
        <v>318</v>
      </c>
      <c r="D32" s="29" t="s">
        <v>584</v>
      </c>
      <c r="E32" s="34" t="s">
        <v>629</v>
      </c>
      <c r="F32" s="34" t="s">
        <v>630</v>
      </c>
      <c r="G32" s="35"/>
    </row>
    <row r="33" spans="1:7" ht="12" customHeight="1">
      <c r="A33" s="455"/>
      <c r="B33" s="33" t="s">
        <v>398</v>
      </c>
      <c r="C33" s="33" t="s">
        <v>601</v>
      </c>
      <c r="D33" s="29" t="s">
        <v>584</v>
      </c>
      <c r="E33" s="34" t="s">
        <v>631</v>
      </c>
      <c r="F33" s="34" t="s">
        <v>632</v>
      </c>
      <c r="G33" s="35"/>
    </row>
    <row r="34" spans="1:7" ht="12" customHeight="1">
      <c r="A34" s="462" t="s">
        <v>633</v>
      </c>
      <c r="B34" s="33" t="s">
        <v>398</v>
      </c>
      <c r="C34" s="33" t="s">
        <v>561</v>
      </c>
      <c r="D34" s="29" t="s">
        <v>584</v>
      </c>
      <c r="E34" s="34" t="s">
        <v>634</v>
      </c>
      <c r="F34" s="34" t="s">
        <v>635</v>
      </c>
      <c r="G34" s="37"/>
    </row>
    <row r="35" spans="1:7" ht="12" customHeight="1">
      <c r="A35" s="462"/>
      <c r="B35" s="33" t="s">
        <v>398</v>
      </c>
      <c r="C35" s="33" t="s">
        <v>616</v>
      </c>
      <c r="D35" s="29" t="s">
        <v>576</v>
      </c>
      <c r="E35" s="34" t="s">
        <v>636</v>
      </c>
      <c r="F35" s="34" t="s">
        <v>637</v>
      </c>
      <c r="G35" s="35"/>
    </row>
    <row r="36" spans="1:7" ht="12" customHeight="1">
      <c r="A36" s="462"/>
      <c r="B36" s="33" t="s">
        <v>398</v>
      </c>
      <c r="C36" s="33" t="s">
        <v>604</v>
      </c>
      <c r="D36" s="33" t="s">
        <v>584</v>
      </c>
      <c r="E36" s="34" t="s">
        <v>614</v>
      </c>
      <c r="F36" s="34" t="s">
        <v>615</v>
      </c>
      <c r="G36" s="35"/>
    </row>
    <row r="37" spans="1:7">
      <c r="A37" s="462"/>
      <c r="B37" s="33" t="s">
        <v>398</v>
      </c>
      <c r="C37" s="33" t="s">
        <v>616</v>
      </c>
      <c r="D37" s="33" t="s">
        <v>584</v>
      </c>
      <c r="E37" s="34" t="s">
        <v>614</v>
      </c>
      <c r="F37" s="34" t="s">
        <v>617</v>
      </c>
      <c r="G37" s="35"/>
    </row>
    <row r="38" spans="1:7">
      <c r="A38" s="462"/>
      <c r="B38" s="33" t="s">
        <v>398</v>
      </c>
      <c r="C38" s="33" t="s">
        <v>638</v>
      </c>
      <c r="D38" s="33" t="s">
        <v>584</v>
      </c>
      <c r="E38" s="34" t="s">
        <v>639</v>
      </c>
      <c r="F38" s="34" t="s">
        <v>640</v>
      </c>
      <c r="G38" s="35"/>
    </row>
    <row r="39" spans="1:7">
      <c r="A39" s="462"/>
      <c r="B39" s="33" t="s">
        <v>398</v>
      </c>
      <c r="C39" s="33" t="s">
        <v>619</v>
      </c>
      <c r="D39" s="29" t="s">
        <v>584</v>
      </c>
      <c r="E39" s="34" t="s">
        <v>641</v>
      </c>
      <c r="F39" s="34" t="s">
        <v>621</v>
      </c>
      <c r="G39" s="35"/>
    </row>
    <row r="40" spans="1:7">
      <c r="A40" s="462"/>
      <c r="B40" s="33" t="s">
        <v>398</v>
      </c>
      <c r="C40" s="33" t="s">
        <v>642</v>
      </c>
      <c r="D40" s="29" t="s">
        <v>584</v>
      </c>
      <c r="E40" s="34" t="s">
        <v>643</v>
      </c>
      <c r="F40" s="34" t="s">
        <v>621</v>
      </c>
      <c r="G40" s="35"/>
    </row>
    <row r="41" spans="1:7">
      <c r="A41" s="463"/>
      <c r="B41" s="33" t="s">
        <v>398</v>
      </c>
      <c r="C41" s="33" t="s">
        <v>622</v>
      </c>
      <c r="D41" s="29" t="s">
        <v>584</v>
      </c>
      <c r="E41" s="34" t="s">
        <v>620</v>
      </c>
      <c r="F41" s="34" t="s">
        <v>621</v>
      </c>
      <c r="G41" s="35"/>
    </row>
    <row r="42" spans="1:7">
      <c r="A42" s="465" t="s">
        <v>644</v>
      </c>
      <c r="B42" s="33" t="s">
        <v>398</v>
      </c>
      <c r="C42" s="33" t="s">
        <v>645</v>
      </c>
      <c r="D42" s="29" t="s">
        <v>584</v>
      </c>
      <c r="E42" s="34" t="s">
        <v>646</v>
      </c>
      <c r="F42" s="34" t="s">
        <v>647</v>
      </c>
      <c r="G42" s="35"/>
    </row>
    <row r="43" spans="1:7">
      <c r="A43" s="455"/>
      <c r="B43" s="33" t="s">
        <v>398</v>
      </c>
      <c r="C43" s="33" t="s">
        <v>648</v>
      </c>
      <c r="D43" s="29" t="s">
        <v>584</v>
      </c>
      <c r="E43" s="34" t="s">
        <v>649</v>
      </c>
      <c r="F43" s="34" t="s">
        <v>650</v>
      </c>
      <c r="G43" s="35"/>
    </row>
    <row r="44" spans="1:7">
      <c r="A44" s="455"/>
      <c r="B44" s="33" t="s">
        <v>398</v>
      </c>
      <c r="C44" s="33" t="s">
        <v>651</v>
      </c>
      <c r="D44" s="29" t="s">
        <v>584</v>
      </c>
      <c r="E44" s="34" t="s">
        <v>652</v>
      </c>
      <c r="F44" s="34" t="s">
        <v>650</v>
      </c>
      <c r="G44" s="35"/>
    </row>
    <row r="45" spans="1:7">
      <c r="A45" s="455"/>
      <c r="B45" s="33" t="s">
        <v>398</v>
      </c>
      <c r="C45" s="33" t="s">
        <v>604</v>
      </c>
      <c r="D45" s="29" t="s">
        <v>584</v>
      </c>
      <c r="E45" s="34" t="s">
        <v>653</v>
      </c>
      <c r="F45" s="34" t="s">
        <v>654</v>
      </c>
      <c r="G45" s="35"/>
    </row>
    <row r="46" spans="1:7">
      <c r="A46" s="455"/>
      <c r="B46" s="33" t="s">
        <v>398</v>
      </c>
      <c r="C46" s="33" t="s">
        <v>655</v>
      </c>
      <c r="D46" s="29" t="s">
        <v>584</v>
      </c>
      <c r="E46" s="34" t="s">
        <v>656</v>
      </c>
      <c r="F46" s="34" t="s">
        <v>657</v>
      </c>
      <c r="G46" s="35"/>
    </row>
    <row r="47" spans="1:7">
      <c r="A47" s="455"/>
      <c r="B47" s="33" t="s">
        <v>398</v>
      </c>
      <c r="C47" s="33" t="s">
        <v>623</v>
      </c>
      <c r="D47" s="29" t="s">
        <v>584</v>
      </c>
      <c r="E47" s="34" t="s">
        <v>602</v>
      </c>
      <c r="F47" s="34" t="s">
        <v>658</v>
      </c>
      <c r="G47" s="35"/>
    </row>
    <row r="48" spans="1:7">
      <c r="A48" s="455"/>
      <c r="B48" s="33" t="s">
        <v>398</v>
      </c>
      <c r="C48" s="33" t="s">
        <v>648</v>
      </c>
      <c r="D48" s="29" t="s">
        <v>584</v>
      </c>
      <c r="E48" s="34" t="s">
        <v>659</v>
      </c>
      <c r="F48" s="34" t="s">
        <v>660</v>
      </c>
      <c r="G48" s="35"/>
    </row>
    <row r="49" spans="1:7">
      <c r="A49" s="455"/>
      <c r="B49" s="33" t="s">
        <v>398</v>
      </c>
      <c r="C49" s="33" t="s">
        <v>373</v>
      </c>
      <c r="D49" s="29" t="s">
        <v>584</v>
      </c>
      <c r="E49" s="34" t="s">
        <v>602</v>
      </c>
      <c r="F49" s="34" t="s">
        <v>658</v>
      </c>
      <c r="G49" s="35"/>
    </row>
    <row r="50" spans="1:7">
      <c r="A50" s="466"/>
      <c r="B50" s="33" t="s">
        <v>398</v>
      </c>
      <c r="C50" s="33" t="s">
        <v>661</v>
      </c>
      <c r="D50" s="29" t="s">
        <v>584</v>
      </c>
      <c r="E50" s="34" t="s">
        <v>620</v>
      </c>
      <c r="F50" s="34" t="s">
        <v>662</v>
      </c>
      <c r="G50" s="35"/>
    </row>
    <row r="51" spans="1:7" ht="29.1">
      <c r="A51" s="465" t="s">
        <v>663</v>
      </c>
      <c r="B51" s="33" t="s">
        <v>398</v>
      </c>
      <c r="C51" s="34" t="s">
        <v>664</v>
      </c>
      <c r="D51" s="29" t="s">
        <v>584</v>
      </c>
      <c r="E51" s="34" t="s">
        <v>665</v>
      </c>
      <c r="F51" s="34" t="s">
        <v>666</v>
      </c>
      <c r="G51" s="35"/>
    </row>
    <row r="52" spans="1:7">
      <c r="A52" s="455"/>
      <c r="B52" s="33" t="s">
        <v>398</v>
      </c>
      <c r="C52" s="33" t="s">
        <v>622</v>
      </c>
      <c r="D52" s="29" t="s">
        <v>584</v>
      </c>
      <c r="E52" s="34" t="s">
        <v>620</v>
      </c>
      <c r="F52" s="34" t="s">
        <v>667</v>
      </c>
      <c r="G52" s="35"/>
    </row>
    <row r="53" spans="1:7">
      <c r="A53" s="455"/>
      <c r="B53" s="33" t="s">
        <v>398</v>
      </c>
      <c r="C53" s="33" t="s">
        <v>668</v>
      </c>
      <c r="D53" s="29" t="s">
        <v>584</v>
      </c>
      <c r="E53" s="34" t="s">
        <v>669</v>
      </c>
      <c r="F53" s="34" t="s">
        <v>670</v>
      </c>
      <c r="G53" s="35"/>
    </row>
    <row r="54" spans="1:7">
      <c r="A54" s="455"/>
      <c r="B54" s="33" t="s">
        <v>398</v>
      </c>
      <c r="C54" s="41" t="s">
        <v>604</v>
      </c>
      <c r="D54" s="29" t="s">
        <v>584</v>
      </c>
      <c r="E54" s="38" t="s">
        <v>653</v>
      </c>
      <c r="F54" s="38" t="s">
        <v>671</v>
      </c>
      <c r="G54" s="42"/>
    </row>
    <row r="55" spans="1:7">
      <c r="A55" s="455"/>
      <c r="B55" s="33" t="s">
        <v>398</v>
      </c>
      <c r="C55" s="2" t="s">
        <v>672</v>
      </c>
      <c r="D55" s="29" t="s">
        <v>584</v>
      </c>
      <c r="E55" s="25" t="s">
        <v>673</v>
      </c>
      <c r="F55" s="25" t="s">
        <v>674</v>
      </c>
      <c r="G55" s="2"/>
    </row>
    <row r="56" spans="1:7">
      <c r="A56" s="455"/>
      <c r="B56" s="33" t="s">
        <v>398</v>
      </c>
      <c r="C56" s="2" t="s">
        <v>318</v>
      </c>
      <c r="D56" s="29" t="s">
        <v>584</v>
      </c>
      <c r="E56" s="25" t="s">
        <v>675</v>
      </c>
      <c r="F56" s="25" t="s">
        <v>676</v>
      </c>
      <c r="G56" s="2"/>
    </row>
    <row r="57" spans="1:7" ht="29.1">
      <c r="A57" s="455" t="s">
        <v>677</v>
      </c>
      <c r="B57" s="33" t="s">
        <v>398</v>
      </c>
      <c r="C57" s="25" t="s">
        <v>664</v>
      </c>
      <c r="D57" s="29" t="s">
        <v>584</v>
      </c>
      <c r="E57" s="34" t="s">
        <v>665</v>
      </c>
      <c r="F57" s="25" t="s">
        <v>678</v>
      </c>
      <c r="G57" s="2"/>
    </row>
    <row r="58" spans="1:7">
      <c r="A58" s="455"/>
      <c r="B58" s="33" t="s">
        <v>398</v>
      </c>
      <c r="C58" s="33" t="s">
        <v>668</v>
      </c>
      <c r="D58" s="29" t="s">
        <v>584</v>
      </c>
      <c r="E58" s="34" t="s">
        <v>669</v>
      </c>
      <c r="F58" s="25" t="s">
        <v>679</v>
      </c>
      <c r="G58" s="2"/>
    </row>
    <row r="59" spans="1:7">
      <c r="A59" s="455"/>
      <c r="B59" s="33" t="s">
        <v>398</v>
      </c>
      <c r="C59" s="2" t="s">
        <v>567</v>
      </c>
      <c r="D59" s="29" t="s">
        <v>584</v>
      </c>
      <c r="E59" s="25" t="s">
        <v>680</v>
      </c>
      <c r="F59" s="25" t="s">
        <v>681</v>
      </c>
      <c r="G59" s="2"/>
    </row>
    <row r="60" spans="1:7">
      <c r="A60" s="455"/>
      <c r="B60" s="33" t="s">
        <v>398</v>
      </c>
      <c r="C60" s="2" t="s">
        <v>682</v>
      </c>
      <c r="D60" s="29" t="s">
        <v>584</v>
      </c>
      <c r="E60" s="25" t="s">
        <v>683</v>
      </c>
      <c r="F60" s="25" t="s">
        <v>684</v>
      </c>
      <c r="G60" s="2"/>
    </row>
    <row r="61" spans="1:7">
      <c r="A61" s="455"/>
      <c r="B61" s="33" t="s">
        <v>398</v>
      </c>
      <c r="C61" s="2" t="s">
        <v>604</v>
      </c>
      <c r="D61" s="29" t="s">
        <v>584</v>
      </c>
      <c r="E61" s="38" t="s">
        <v>653</v>
      </c>
      <c r="F61" s="25" t="s">
        <v>685</v>
      </c>
      <c r="G61" s="2"/>
    </row>
    <row r="62" spans="1:7">
      <c r="A62" s="455"/>
      <c r="B62" s="33" t="s">
        <v>398</v>
      </c>
      <c r="C62" s="2" t="s">
        <v>648</v>
      </c>
      <c r="D62" s="29" t="s">
        <v>584</v>
      </c>
      <c r="E62" s="25" t="s">
        <v>686</v>
      </c>
      <c r="F62" s="25" t="s">
        <v>687</v>
      </c>
      <c r="G62" s="2"/>
    </row>
    <row r="63" spans="1:7">
      <c r="A63" s="455"/>
      <c r="B63" s="33" t="s">
        <v>398</v>
      </c>
      <c r="C63" s="2" t="s">
        <v>604</v>
      </c>
      <c r="D63" s="29" t="s">
        <v>584</v>
      </c>
      <c r="E63" s="25" t="s">
        <v>688</v>
      </c>
      <c r="F63" s="25" t="s">
        <v>689</v>
      </c>
      <c r="G63" s="2"/>
    </row>
    <row r="64" spans="1:7">
      <c r="A64" s="455" t="s">
        <v>690</v>
      </c>
      <c r="B64" s="33" t="s">
        <v>398</v>
      </c>
      <c r="C64" s="2" t="s">
        <v>691</v>
      </c>
      <c r="D64" s="29" t="s">
        <v>584</v>
      </c>
      <c r="E64" s="25" t="s">
        <v>692</v>
      </c>
      <c r="F64" s="25" t="s">
        <v>693</v>
      </c>
      <c r="G64" s="2"/>
    </row>
    <row r="65" spans="1:7">
      <c r="A65" s="455"/>
      <c r="B65" s="33" t="s">
        <v>398</v>
      </c>
      <c r="C65" s="41" t="s">
        <v>604</v>
      </c>
      <c r="D65" s="29" t="s">
        <v>584</v>
      </c>
      <c r="E65" s="38" t="s">
        <v>653</v>
      </c>
      <c r="F65" s="25" t="s">
        <v>694</v>
      </c>
      <c r="G65" s="2"/>
    </row>
    <row r="66" spans="1:7">
      <c r="A66" s="455"/>
      <c r="B66" s="33" t="s">
        <v>398</v>
      </c>
      <c r="C66" s="41" t="s">
        <v>604</v>
      </c>
      <c r="D66" s="29" t="s">
        <v>584</v>
      </c>
      <c r="E66" s="25" t="s">
        <v>695</v>
      </c>
      <c r="F66" s="25" t="s">
        <v>694</v>
      </c>
      <c r="G66" s="2"/>
    </row>
    <row r="67" spans="1:7">
      <c r="A67" s="455"/>
      <c r="B67" s="33" t="s">
        <v>398</v>
      </c>
      <c r="C67" s="2" t="s">
        <v>682</v>
      </c>
      <c r="D67" s="29" t="s">
        <v>584</v>
      </c>
      <c r="E67" s="25" t="s">
        <v>696</v>
      </c>
      <c r="F67" s="25" t="s">
        <v>697</v>
      </c>
      <c r="G67" s="2"/>
    </row>
    <row r="68" spans="1:7">
      <c r="A68" s="455"/>
      <c r="B68" s="33" t="s">
        <v>398</v>
      </c>
      <c r="C68" s="2" t="s">
        <v>570</v>
      </c>
      <c r="D68" s="29" t="s">
        <v>584</v>
      </c>
      <c r="E68" s="25" t="s">
        <v>698</v>
      </c>
      <c r="F68" s="25" t="s">
        <v>699</v>
      </c>
      <c r="G68" s="2"/>
    </row>
    <row r="69" spans="1:7">
      <c r="A69" s="455"/>
      <c r="B69" s="33" t="s">
        <v>398</v>
      </c>
      <c r="C69" s="33" t="s">
        <v>668</v>
      </c>
      <c r="D69" s="29" t="s">
        <v>584</v>
      </c>
      <c r="E69" s="34" t="s">
        <v>669</v>
      </c>
      <c r="F69" s="25" t="s">
        <v>700</v>
      </c>
      <c r="G69" s="2"/>
    </row>
    <row r="70" spans="1:7">
      <c r="A70" s="455"/>
      <c r="B70" s="33" t="s">
        <v>398</v>
      </c>
      <c r="C70" s="2" t="s">
        <v>648</v>
      </c>
      <c r="D70" s="29" t="s">
        <v>584</v>
      </c>
      <c r="E70" s="25" t="s">
        <v>686</v>
      </c>
      <c r="F70" s="25" t="s">
        <v>701</v>
      </c>
      <c r="G70" s="2"/>
    </row>
    <row r="71" spans="1:7">
      <c r="A71" s="455" t="s">
        <v>702</v>
      </c>
      <c r="B71" s="33" t="s">
        <v>398</v>
      </c>
      <c r="C71" s="2" t="s">
        <v>648</v>
      </c>
      <c r="D71" s="29" t="s">
        <v>584</v>
      </c>
      <c r="E71" s="25" t="s">
        <v>686</v>
      </c>
      <c r="F71" s="25" t="s">
        <v>701</v>
      </c>
      <c r="G71" s="2"/>
    </row>
    <row r="72" spans="1:7">
      <c r="A72" s="455"/>
      <c r="B72" s="33" t="s">
        <v>398</v>
      </c>
      <c r="C72" s="2" t="s">
        <v>682</v>
      </c>
      <c r="D72" s="29" t="s">
        <v>584</v>
      </c>
      <c r="E72" s="25" t="s">
        <v>696</v>
      </c>
      <c r="F72" s="25" t="s">
        <v>703</v>
      </c>
      <c r="G72" s="2"/>
    </row>
    <row r="73" spans="1:7">
      <c r="A73" s="455"/>
      <c r="B73" s="33" t="s">
        <v>398</v>
      </c>
      <c r="C73" s="2" t="s">
        <v>570</v>
      </c>
      <c r="D73" s="29" t="s">
        <v>584</v>
      </c>
      <c r="E73" s="25" t="s">
        <v>698</v>
      </c>
      <c r="F73" s="25" t="s">
        <v>704</v>
      </c>
      <c r="G73" s="2"/>
    </row>
    <row r="74" spans="1:7">
      <c r="A74" s="455"/>
      <c r="B74" s="33" t="s">
        <v>398</v>
      </c>
      <c r="C74" s="2" t="s">
        <v>705</v>
      </c>
      <c r="D74" s="2" t="s">
        <v>567</v>
      </c>
      <c r="E74" s="25" t="s">
        <v>706</v>
      </c>
      <c r="F74" s="25" t="s">
        <v>699</v>
      </c>
      <c r="G74" s="2"/>
    </row>
    <row r="75" spans="1:7">
      <c r="A75" s="455"/>
      <c r="B75" s="33" t="s">
        <v>398</v>
      </c>
      <c r="C75" s="2" t="s">
        <v>707</v>
      </c>
      <c r="D75" s="2" t="s">
        <v>567</v>
      </c>
      <c r="E75" s="25" t="s">
        <v>708</v>
      </c>
      <c r="F75" s="25" t="s">
        <v>709</v>
      </c>
      <c r="G75" s="2"/>
    </row>
    <row r="76" spans="1:7">
      <c r="A76" s="455" t="s">
        <v>710</v>
      </c>
      <c r="B76" s="33" t="s">
        <v>398</v>
      </c>
      <c r="C76" s="2" t="s">
        <v>648</v>
      </c>
      <c r="D76" s="29" t="s">
        <v>584</v>
      </c>
      <c r="E76" s="25" t="s">
        <v>711</v>
      </c>
      <c r="F76" s="25" t="s">
        <v>712</v>
      </c>
      <c r="G76" s="2"/>
    </row>
    <row r="77" spans="1:7">
      <c r="A77" s="455"/>
      <c r="B77" s="33" t="s">
        <v>398</v>
      </c>
      <c r="C77" s="2" t="s">
        <v>682</v>
      </c>
      <c r="D77" s="29" t="s">
        <v>713</v>
      </c>
      <c r="E77" s="25" t="s">
        <v>714</v>
      </c>
      <c r="F77" s="25" t="s">
        <v>715</v>
      </c>
      <c r="G77" s="2"/>
    </row>
    <row r="78" spans="1:7">
      <c r="A78" s="455"/>
      <c r="B78" s="33" t="s">
        <v>398</v>
      </c>
      <c r="C78" s="2" t="s">
        <v>707</v>
      </c>
      <c r="D78" s="2" t="s">
        <v>567</v>
      </c>
      <c r="E78" s="25" t="s">
        <v>708</v>
      </c>
      <c r="F78" s="25" t="s">
        <v>716</v>
      </c>
      <c r="G78" s="2"/>
    </row>
    <row r="79" spans="1:7">
      <c r="A79" s="455"/>
      <c r="B79" s="33" t="s">
        <v>398</v>
      </c>
      <c r="C79" s="33" t="s">
        <v>557</v>
      </c>
      <c r="D79" s="33" t="s">
        <v>584</v>
      </c>
      <c r="E79" s="34" t="s">
        <v>717</v>
      </c>
      <c r="F79" s="34" t="s">
        <v>597</v>
      </c>
      <c r="G79" s="2"/>
    </row>
    <row r="80" spans="1:7">
      <c r="A80" s="455"/>
      <c r="B80" s="33" t="s">
        <v>398</v>
      </c>
      <c r="C80" s="2" t="s">
        <v>648</v>
      </c>
      <c r="D80" s="33" t="s">
        <v>584</v>
      </c>
      <c r="E80" s="25" t="s">
        <v>718</v>
      </c>
      <c r="F80" s="25" t="s">
        <v>719</v>
      </c>
      <c r="G80" s="2"/>
    </row>
    <row r="81" spans="1:7">
      <c r="A81" s="455"/>
      <c r="B81" s="33" t="s">
        <v>398</v>
      </c>
      <c r="C81" s="41" t="s">
        <v>604</v>
      </c>
      <c r="D81" s="2" t="s">
        <v>562</v>
      </c>
      <c r="E81" s="25" t="s">
        <v>720</v>
      </c>
      <c r="F81" s="25" t="s">
        <v>621</v>
      </c>
      <c r="G81" s="2"/>
    </row>
    <row r="82" spans="1:7" ht="12.75">
      <c r="A82" s="455"/>
      <c r="B82" s="33" t="s">
        <v>398</v>
      </c>
      <c r="C82" s="2" t="s">
        <v>721</v>
      </c>
      <c r="D82" s="29" t="s">
        <v>713</v>
      </c>
      <c r="E82" s="25" t="s">
        <v>722</v>
      </c>
      <c r="F82" s="25" t="s">
        <v>723</v>
      </c>
      <c r="G82" s="2"/>
    </row>
    <row r="83" spans="1:7" ht="12.75">
      <c r="A83" s="455" t="s">
        <v>724</v>
      </c>
      <c r="B83" s="33" t="s">
        <v>398</v>
      </c>
      <c r="C83" s="2" t="s">
        <v>648</v>
      </c>
      <c r="D83" s="29" t="s">
        <v>584</v>
      </c>
      <c r="E83" s="25" t="s">
        <v>711</v>
      </c>
      <c r="F83" s="25" t="s">
        <v>725</v>
      </c>
      <c r="G83" s="2"/>
    </row>
    <row r="84" spans="1:7" ht="12.75">
      <c r="A84" s="455"/>
      <c r="B84" s="33" t="s">
        <v>398</v>
      </c>
      <c r="C84" s="2" t="s">
        <v>682</v>
      </c>
      <c r="D84" s="29" t="s">
        <v>713</v>
      </c>
      <c r="E84" s="25" t="s">
        <v>726</v>
      </c>
      <c r="F84" s="25" t="s">
        <v>727</v>
      </c>
      <c r="G84" s="2"/>
    </row>
    <row r="85" spans="1:7" ht="12.75">
      <c r="A85" s="455"/>
      <c r="B85" s="33" t="s">
        <v>398</v>
      </c>
      <c r="C85" s="2" t="s">
        <v>648</v>
      </c>
      <c r="D85" s="33" t="s">
        <v>584</v>
      </c>
      <c r="E85" s="25" t="s">
        <v>718</v>
      </c>
      <c r="F85" s="25" t="s">
        <v>728</v>
      </c>
      <c r="G85" s="2"/>
    </row>
    <row r="86" spans="1:7" ht="12.75">
      <c r="A86" s="455"/>
      <c r="B86" s="33" t="s">
        <v>398</v>
      </c>
      <c r="C86" s="2" t="s">
        <v>561</v>
      </c>
      <c r="D86" s="33" t="s">
        <v>584</v>
      </c>
      <c r="E86" s="25" t="s">
        <v>729</v>
      </c>
      <c r="F86" s="25" t="s">
        <v>621</v>
      </c>
      <c r="G86" s="2"/>
    </row>
    <row r="87" spans="1:7" ht="12.75">
      <c r="A87" s="455"/>
      <c r="B87" s="33" t="s">
        <v>398</v>
      </c>
      <c r="C87" s="2" t="s">
        <v>648</v>
      </c>
      <c r="D87" s="33" t="s">
        <v>584</v>
      </c>
      <c r="E87" s="25" t="s">
        <v>730</v>
      </c>
      <c r="F87" s="25" t="s">
        <v>731</v>
      </c>
      <c r="G87" s="2"/>
    </row>
    <row r="88" spans="1:7" ht="12.75">
      <c r="A88" s="464" t="s">
        <v>732</v>
      </c>
      <c r="B88" s="33" t="s">
        <v>398</v>
      </c>
      <c r="C88" s="2" t="s">
        <v>707</v>
      </c>
      <c r="D88" s="2" t="s">
        <v>567</v>
      </c>
      <c r="E88" s="25" t="s">
        <v>708</v>
      </c>
      <c r="F88" s="25" t="s">
        <v>733</v>
      </c>
      <c r="G88" s="2"/>
    </row>
    <row r="89" spans="1:7" ht="12.75">
      <c r="A89" s="464"/>
      <c r="B89" s="33" t="s">
        <v>398</v>
      </c>
      <c r="C89" s="2" t="s">
        <v>682</v>
      </c>
      <c r="D89" s="29" t="s">
        <v>713</v>
      </c>
      <c r="E89" s="25" t="s">
        <v>726</v>
      </c>
      <c r="F89" s="25" t="s">
        <v>734</v>
      </c>
      <c r="G89" s="2"/>
    </row>
    <row r="90" spans="1:7" ht="12.75">
      <c r="A90" s="464"/>
      <c r="B90" s="33" t="s">
        <v>398</v>
      </c>
      <c r="C90" s="2" t="s">
        <v>735</v>
      </c>
      <c r="D90" s="33" t="s">
        <v>584</v>
      </c>
      <c r="E90" s="25" t="s">
        <v>711</v>
      </c>
      <c r="F90" s="25" t="s">
        <v>736</v>
      </c>
      <c r="G90" s="2"/>
    </row>
    <row r="91" spans="1:7" ht="12.75">
      <c r="A91" s="464"/>
      <c r="B91" s="33" t="s">
        <v>398</v>
      </c>
      <c r="C91" s="2" t="s">
        <v>737</v>
      </c>
      <c r="D91" s="33" t="s">
        <v>584</v>
      </c>
      <c r="E91" s="25" t="s">
        <v>711</v>
      </c>
      <c r="F91" s="25" t="s">
        <v>738</v>
      </c>
      <c r="G91" s="2"/>
    </row>
    <row r="92" spans="1:7" ht="12.75">
      <c r="A92" s="464"/>
      <c r="B92" s="33" t="s">
        <v>398</v>
      </c>
      <c r="C92" s="2" t="s">
        <v>739</v>
      </c>
      <c r="D92" s="33" t="s">
        <v>584</v>
      </c>
      <c r="E92" s="25" t="s">
        <v>711</v>
      </c>
      <c r="F92" s="25" t="s">
        <v>740</v>
      </c>
      <c r="G92" s="2"/>
    </row>
    <row r="93" spans="1:7" ht="12.75">
      <c r="A93" s="455" t="s">
        <v>741</v>
      </c>
      <c r="B93" s="33" t="s">
        <v>398</v>
      </c>
      <c r="C93" s="2" t="s">
        <v>707</v>
      </c>
      <c r="D93" s="29" t="s">
        <v>713</v>
      </c>
      <c r="E93" s="25" t="s">
        <v>708</v>
      </c>
      <c r="F93" s="25" t="s">
        <v>742</v>
      </c>
      <c r="G93" s="2"/>
    </row>
    <row r="94" spans="1:7" ht="12.75">
      <c r="A94" s="455"/>
      <c r="B94" s="33" t="s">
        <v>398</v>
      </c>
      <c r="C94" s="2" t="s">
        <v>682</v>
      </c>
      <c r="D94" s="29" t="s">
        <v>713</v>
      </c>
      <c r="E94" s="25" t="s">
        <v>743</v>
      </c>
      <c r="F94" s="25" t="s">
        <v>744</v>
      </c>
      <c r="G94" s="2"/>
    </row>
    <row r="95" spans="1:7" ht="12.75">
      <c r="A95" s="455"/>
      <c r="B95" s="33" t="s">
        <v>398</v>
      </c>
      <c r="C95" s="2" t="s">
        <v>739</v>
      </c>
      <c r="D95" s="33" t="s">
        <v>584</v>
      </c>
      <c r="E95" s="25" t="s">
        <v>745</v>
      </c>
      <c r="F95" s="25" t="s">
        <v>746</v>
      </c>
      <c r="G95" s="2"/>
    </row>
    <row r="96" spans="1:7" ht="12.75">
      <c r="A96" s="455"/>
      <c r="B96" s="33" t="s">
        <v>398</v>
      </c>
      <c r="C96" s="2" t="s">
        <v>735</v>
      </c>
      <c r="D96" s="33" t="s">
        <v>584</v>
      </c>
      <c r="E96" s="25" t="s">
        <v>747</v>
      </c>
      <c r="F96" s="25" t="s">
        <v>748</v>
      </c>
      <c r="G96" s="2"/>
    </row>
    <row r="97" spans="1:7" ht="12.75">
      <c r="A97" s="455" t="s">
        <v>749</v>
      </c>
      <c r="B97" s="33" t="s">
        <v>398</v>
      </c>
      <c r="C97" s="2" t="s">
        <v>374</v>
      </c>
      <c r="D97" s="2" t="s">
        <v>567</v>
      </c>
      <c r="E97" s="25" t="s">
        <v>750</v>
      </c>
      <c r="F97" s="25" t="s">
        <v>751</v>
      </c>
      <c r="G97" s="2"/>
    </row>
    <row r="98" spans="1:7" ht="12.75">
      <c r="A98" s="455"/>
      <c r="B98" s="33" t="s">
        <v>398</v>
      </c>
      <c r="C98" s="2" t="s">
        <v>752</v>
      </c>
      <c r="D98" s="2" t="s">
        <v>567</v>
      </c>
      <c r="E98" s="25" t="s">
        <v>753</v>
      </c>
      <c r="F98" s="25" t="s">
        <v>754</v>
      </c>
      <c r="G98" s="2"/>
    </row>
    <row r="99" spans="1:7" ht="12.75">
      <c r="A99" s="455"/>
      <c r="B99" s="33" t="s">
        <v>398</v>
      </c>
      <c r="C99" s="2" t="s">
        <v>561</v>
      </c>
      <c r="D99" s="2" t="s">
        <v>567</v>
      </c>
      <c r="E99" s="25" t="s">
        <v>755</v>
      </c>
      <c r="F99" s="25" t="s">
        <v>621</v>
      </c>
      <c r="G99" s="2"/>
    </row>
    <row r="100" spans="1:7" ht="12.75">
      <c r="A100" s="455"/>
      <c r="B100" s="33" t="s">
        <v>398</v>
      </c>
      <c r="C100" s="2" t="s">
        <v>737</v>
      </c>
      <c r="D100" s="2" t="s">
        <v>567</v>
      </c>
      <c r="E100" s="25" t="s">
        <v>756</v>
      </c>
      <c r="F100" s="25" t="s">
        <v>621</v>
      </c>
      <c r="G100" s="2"/>
    </row>
    <row r="101" spans="1:7" ht="12.75">
      <c r="A101" s="455"/>
      <c r="B101" s="33" t="s">
        <v>398</v>
      </c>
      <c r="C101" s="2" t="s">
        <v>648</v>
      </c>
      <c r="D101" s="2" t="s">
        <v>567</v>
      </c>
      <c r="E101" s="25" t="s">
        <v>757</v>
      </c>
      <c r="F101" s="25" t="s">
        <v>758</v>
      </c>
      <c r="G101" s="2"/>
    </row>
    <row r="102" spans="1:7" ht="12.75">
      <c r="A102" s="455" t="s">
        <v>759</v>
      </c>
      <c r="B102" s="33" t="s">
        <v>398</v>
      </c>
      <c r="C102" s="2" t="s">
        <v>760</v>
      </c>
      <c r="D102" s="2" t="s">
        <v>567</v>
      </c>
      <c r="E102" s="25" t="s">
        <v>755</v>
      </c>
      <c r="F102" s="25" t="s">
        <v>761</v>
      </c>
      <c r="G102" s="2"/>
    </row>
    <row r="103" spans="1:7" ht="12.75">
      <c r="A103" s="455"/>
      <c r="B103" s="33" t="s">
        <v>398</v>
      </c>
      <c r="C103" s="2" t="s">
        <v>762</v>
      </c>
      <c r="D103" s="2" t="s">
        <v>562</v>
      </c>
      <c r="E103" s="25" t="s">
        <v>763</v>
      </c>
      <c r="F103" s="25" t="s">
        <v>764</v>
      </c>
      <c r="G103" s="2"/>
    </row>
    <row r="104" spans="1:7" ht="12.75">
      <c r="A104" s="455"/>
      <c r="B104" s="33" t="s">
        <v>398</v>
      </c>
      <c r="C104" s="2" t="s">
        <v>737</v>
      </c>
      <c r="D104" s="2" t="s">
        <v>567</v>
      </c>
      <c r="E104" s="25" t="s">
        <v>756</v>
      </c>
      <c r="F104" s="25" t="s">
        <v>765</v>
      </c>
      <c r="G104" s="2"/>
    </row>
    <row r="105" spans="1:7" ht="12.75">
      <c r="A105" s="455"/>
      <c r="B105" s="33" t="s">
        <v>398</v>
      </c>
      <c r="C105" s="2" t="s">
        <v>561</v>
      </c>
      <c r="D105" s="2" t="s">
        <v>567</v>
      </c>
      <c r="E105" s="25" t="s">
        <v>766</v>
      </c>
      <c r="F105" s="25" t="s">
        <v>767</v>
      </c>
      <c r="G105" s="2"/>
    </row>
    <row r="106" spans="1:7" ht="12.75">
      <c r="A106" s="455"/>
      <c r="B106" s="33" t="s">
        <v>398</v>
      </c>
      <c r="C106" s="2" t="s">
        <v>593</v>
      </c>
      <c r="D106" s="2" t="s">
        <v>567</v>
      </c>
      <c r="E106" s="25" t="s">
        <v>768</v>
      </c>
      <c r="F106" s="25" t="s">
        <v>769</v>
      </c>
      <c r="G106" s="2"/>
    </row>
    <row r="107" spans="1:7" ht="12">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9">
    <mergeCell ref="A102:A106"/>
    <mergeCell ref="A3:A4"/>
    <mergeCell ref="A6:A9"/>
    <mergeCell ref="A57:A63"/>
    <mergeCell ref="A64:A70"/>
    <mergeCell ref="A51:A56"/>
    <mergeCell ref="A42:A50"/>
    <mergeCell ref="A97:A101"/>
    <mergeCell ref="B6:B9"/>
    <mergeCell ref="A10:A12"/>
    <mergeCell ref="A13:A16"/>
    <mergeCell ref="A34:A41"/>
    <mergeCell ref="A23:A33"/>
    <mergeCell ref="A17:A22"/>
    <mergeCell ref="A93:A96"/>
    <mergeCell ref="A88:A92"/>
    <mergeCell ref="A83:A87"/>
    <mergeCell ref="A71:A75"/>
    <mergeCell ref="A76:A8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4"/>
  <sheetViews>
    <sheetView topLeftCell="A150" workbookViewId="0">
      <selection activeCell="F205" sqref="F205"/>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539</v>
      </c>
      <c r="B1" s="24" t="s">
        <v>540</v>
      </c>
      <c r="C1" s="24" t="s">
        <v>541</v>
      </c>
      <c r="D1" s="24" t="s">
        <v>542</v>
      </c>
      <c r="E1" s="24" t="s">
        <v>543</v>
      </c>
      <c r="F1" s="24" t="s">
        <v>544</v>
      </c>
      <c r="G1" s="24" t="s">
        <v>545</v>
      </c>
    </row>
    <row r="2" spans="1:7" ht="20.25" hidden="1" customHeight="1">
      <c r="A2" s="26" t="s">
        <v>546</v>
      </c>
      <c r="B2" s="26" t="s">
        <v>547</v>
      </c>
      <c r="C2" s="26" t="s">
        <v>548</v>
      </c>
      <c r="D2" s="26" t="s">
        <v>549</v>
      </c>
      <c r="E2" s="26" t="s">
        <v>550</v>
      </c>
      <c r="F2" s="26" t="s">
        <v>551</v>
      </c>
      <c r="G2" s="27"/>
    </row>
    <row r="3" spans="1:7" ht="20.25" hidden="1" customHeight="1">
      <c r="A3" s="28">
        <v>46115</v>
      </c>
      <c r="B3" s="29" t="s">
        <v>298</v>
      </c>
      <c r="C3" s="29" t="s">
        <v>770</v>
      </c>
      <c r="D3" s="29" t="s">
        <v>562</v>
      </c>
      <c r="E3" s="30" t="s">
        <v>771</v>
      </c>
      <c r="F3" s="30" t="s">
        <v>772</v>
      </c>
      <c r="G3" s="31" t="s">
        <v>773</v>
      </c>
    </row>
    <row r="4" spans="1:7" ht="20.25" hidden="1" customHeight="1">
      <c r="A4" s="32">
        <v>46118</v>
      </c>
      <c r="B4" s="33" t="s">
        <v>298</v>
      </c>
      <c r="C4" s="33" t="s">
        <v>774</v>
      </c>
      <c r="D4" s="33" t="s">
        <v>775</v>
      </c>
      <c r="E4" s="34" t="s">
        <v>776</v>
      </c>
      <c r="F4" s="34" t="s">
        <v>777</v>
      </c>
      <c r="G4" s="35"/>
    </row>
    <row r="5" spans="1:7" ht="20.25" hidden="1" customHeight="1">
      <c r="A5" s="461">
        <v>46119</v>
      </c>
      <c r="B5" s="33" t="s">
        <v>298</v>
      </c>
      <c r="C5" s="33" t="s">
        <v>778</v>
      </c>
      <c r="D5" s="33" t="s">
        <v>779</v>
      </c>
      <c r="E5" s="34" t="s">
        <v>780</v>
      </c>
      <c r="F5" s="34" t="s">
        <v>781</v>
      </c>
      <c r="G5" s="35" t="s">
        <v>782</v>
      </c>
    </row>
    <row r="6" spans="1:7" ht="39" hidden="1" customHeight="1">
      <c r="A6" s="459"/>
      <c r="B6" s="33" t="s">
        <v>298</v>
      </c>
      <c r="C6" s="33" t="s">
        <v>381</v>
      </c>
      <c r="D6" s="33" t="s">
        <v>554</v>
      </c>
      <c r="E6" s="34" t="s">
        <v>783</v>
      </c>
      <c r="F6" s="34" t="s">
        <v>784</v>
      </c>
      <c r="G6" s="37" t="s">
        <v>785</v>
      </c>
    </row>
    <row r="7" spans="1:7" ht="20.25" hidden="1" customHeight="1">
      <c r="A7" s="460"/>
      <c r="B7" s="33" t="s">
        <v>298</v>
      </c>
      <c r="C7" s="33" t="s">
        <v>382</v>
      </c>
      <c r="D7" s="33" t="s">
        <v>786</v>
      </c>
      <c r="E7" s="34" t="s">
        <v>787</v>
      </c>
      <c r="F7" s="34" t="s">
        <v>788</v>
      </c>
      <c r="G7" s="35" t="s">
        <v>789</v>
      </c>
    </row>
    <row r="8" spans="1:7" ht="20.25" hidden="1" customHeight="1">
      <c r="A8" s="461">
        <v>46120</v>
      </c>
      <c r="B8" s="33" t="s">
        <v>298</v>
      </c>
      <c r="C8" s="33" t="s">
        <v>383</v>
      </c>
      <c r="D8" s="33" t="s">
        <v>790</v>
      </c>
      <c r="E8" s="34" t="s">
        <v>791</v>
      </c>
      <c r="F8" s="34" t="s">
        <v>792</v>
      </c>
      <c r="G8" s="35" t="s">
        <v>793</v>
      </c>
    </row>
    <row r="9" spans="1:7" ht="20.25" hidden="1" customHeight="1">
      <c r="A9" s="459"/>
      <c r="B9" s="33" t="s">
        <v>298</v>
      </c>
      <c r="C9" s="33" t="s">
        <v>370</v>
      </c>
      <c r="D9" s="33" t="s">
        <v>576</v>
      </c>
      <c r="E9" s="34" t="s">
        <v>794</v>
      </c>
      <c r="F9" s="34" t="s">
        <v>795</v>
      </c>
      <c r="G9" s="35" t="s">
        <v>796</v>
      </c>
    </row>
    <row r="10" spans="1:7" ht="20.25" hidden="1" customHeight="1">
      <c r="A10" s="459"/>
      <c r="B10" s="33" t="s">
        <v>298</v>
      </c>
      <c r="C10" s="33" t="s">
        <v>797</v>
      </c>
      <c r="D10" s="33" t="s">
        <v>798</v>
      </c>
      <c r="E10" s="34" t="s">
        <v>799</v>
      </c>
      <c r="F10" s="34" t="s">
        <v>800</v>
      </c>
      <c r="G10" s="35" t="s">
        <v>801</v>
      </c>
    </row>
    <row r="11" spans="1:7" ht="20.25" hidden="1" customHeight="1">
      <c r="A11" s="459"/>
      <c r="B11" s="33" t="s">
        <v>298</v>
      </c>
      <c r="C11" s="33" t="s">
        <v>332</v>
      </c>
      <c r="D11" s="33" t="s">
        <v>713</v>
      </c>
      <c r="E11" s="34" t="s">
        <v>802</v>
      </c>
      <c r="F11" s="34" t="s">
        <v>803</v>
      </c>
      <c r="G11" s="35" t="s">
        <v>804</v>
      </c>
    </row>
    <row r="12" spans="1:7" ht="20.25" hidden="1" customHeight="1">
      <c r="A12" s="460"/>
      <c r="B12" s="33" t="s">
        <v>298</v>
      </c>
      <c r="C12" s="33" t="s">
        <v>805</v>
      </c>
      <c r="D12" s="33" t="s">
        <v>798</v>
      </c>
      <c r="E12" s="34" t="s">
        <v>806</v>
      </c>
      <c r="F12" s="34" t="s">
        <v>807</v>
      </c>
      <c r="G12" s="35"/>
    </row>
    <row r="13" spans="1:7" ht="20.25" hidden="1" customHeight="1">
      <c r="A13" s="476" t="s">
        <v>808</v>
      </c>
      <c r="B13" s="473" t="s">
        <v>298</v>
      </c>
      <c r="C13" s="33" t="s">
        <v>338</v>
      </c>
      <c r="D13" s="29" t="s">
        <v>713</v>
      </c>
      <c r="E13" s="34" t="s">
        <v>809</v>
      </c>
      <c r="F13" s="34" t="s">
        <v>810</v>
      </c>
      <c r="G13" s="35"/>
    </row>
    <row r="14" spans="1:7" ht="20.25" hidden="1" customHeight="1">
      <c r="A14" s="477"/>
      <c r="B14" s="474"/>
      <c r="C14" s="33" t="s">
        <v>778</v>
      </c>
      <c r="D14" s="29" t="s">
        <v>554</v>
      </c>
      <c r="E14" s="34" t="s">
        <v>811</v>
      </c>
      <c r="F14" s="34" t="s">
        <v>812</v>
      </c>
      <c r="G14" s="35"/>
    </row>
    <row r="15" spans="1:7" ht="20.25" hidden="1" customHeight="1">
      <c r="A15" s="477"/>
      <c r="B15" s="474"/>
      <c r="C15" s="33" t="s">
        <v>350</v>
      </c>
      <c r="D15" s="29" t="s">
        <v>713</v>
      </c>
      <c r="E15" s="34" t="s">
        <v>813</v>
      </c>
      <c r="F15" s="34" t="s">
        <v>814</v>
      </c>
      <c r="G15" s="35"/>
    </row>
    <row r="16" spans="1:7" ht="20.25" hidden="1" customHeight="1">
      <c r="A16" s="477"/>
      <c r="B16" s="474"/>
      <c r="C16" s="33" t="s">
        <v>815</v>
      </c>
      <c r="D16" s="29" t="s">
        <v>584</v>
      </c>
      <c r="E16" s="34" t="s">
        <v>816</v>
      </c>
      <c r="F16" s="34" t="s">
        <v>817</v>
      </c>
      <c r="G16" s="35"/>
    </row>
    <row r="17" spans="1:7" ht="20.25" hidden="1" customHeight="1">
      <c r="A17" s="477"/>
      <c r="B17" s="474"/>
      <c r="C17" s="33" t="s">
        <v>382</v>
      </c>
      <c r="D17" s="29" t="s">
        <v>786</v>
      </c>
      <c r="E17" s="34" t="s">
        <v>818</v>
      </c>
      <c r="F17" s="34" t="s">
        <v>819</v>
      </c>
      <c r="G17" s="35"/>
    </row>
    <row r="18" spans="1:7" ht="20.25" hidden="1" customHeight="1">
      <c r="A18" s="477"/>
      <c r="B18" s="474"/>
      <c r="C18" s="33" t="s">
        <v>322</v>
      </c>
      <c r="D18" s="29" t="s">
        <v>775</v>
      </c>
      <c r="E18" s="34" t="s">
        <v>820</v>
      </c>
      <c r="F18" s="34" t="s">
        <v>821</v>
      </c>
      <c r="G18" s="35"/>
    </row>
    <row r="19" spans="1:7" ht="20.25" hidden="1" customHeight="1">
      <c r="A19" s="477"/>
      <c r="B19" s="474"/>
      <c r="C19" s="33" t="s">
        <v>805</v>
      </c>
      <c r="D19" s="29" t="s">
        <v>554</v>
      </c>
      <c r="E19" s="34" t="s">
        <v>822</v>
      </c>
      <c r="F19" s="34" t="s">
        <v>823</v>
      </c>
      <c r="G19" s="35"/>
    </row>
    <row r="20" spans="1:7" ht="20.25" hidden="1" customHeight="1">
      <c r="A20" s="477"/>
      <c r="B20" s="474"/>
      <c r="C20" s="33" t="s">
        <v>390</v>
      </c>
      <c r="D20" s="29" t="s">
        <v>554</v>
      </c>
      <c r="E20" s="34" t="s">
        <v>824</v>
      </c>
      <c r="F20" s="34" t="s">
        <v>825</v>
      </c>
      <c r="G20" s="35"/>
    </row>
    <row r="21" spans="1:7" ht="38.25" hidden="1" customHeight="1">
      <c r="A21" s="477"/>
      <c r="B21" s="474"/>
      <c r="C21" s="33" t="s">
        <v>381</v>
      </c>
      <c r="D21" s="29" t="s">
        <v>554</v>
      </c>
      <c r="E21" s="34" t="s">
        <v>826</v>
      </c>
      <c r="F21" s="34" t="s">
        <v>827</v>
      </c>
      <c r="G21" s="37" t="s">
        <v>828</v>
      </c>
    </row>
    <row r="22" spans="1:7" ht="20.25" hidden="1" customHeight="1">
      <c r="A22" s="477"/>
      <c r="B22" s="474"/>
      <c r="C22" s="33" t="s">
        <v>389</v>
      </c>
      <c r="D22" s="29" t="s">
        <v>829</v>
      </c>
      <c r="E22" s="34" t="s">
        <v>830</v>
      </c>
      <c r="F22" s="34" t="s">
        <v>831</v>
      </c>
      <c r="G22" s="35"/>
    </row>
    <row r="23" spans="1:7" ht="20.25" hidden="1" customHeight="1">
      <c r="A23" s="477"/>
      <c r="B23" s="474"/>
      <c r="C23" s="33" t="s">
        <v>832</v>
      </c>
      <c r="D23" s="33" t="s">
        <v>567</v>
      </c>
      <c r="E23" s="34" t="s">
        <v>816</v>
      </c>
      <c r="F23" s="34" t="s">
        <v>817</v>
      </c>
      <c r="G23" s="35"/>
    </row>
    <row r="24" spans="1:7" ht="51.75" hidden="1" customHeight="1">
      <c r="A24" s="478"/>
      <c r="B24" s="475"/>
      <c r="C24" s="33" t="s">
        <v>833</v>
      </c>
      <c r="D24" s="29" t="s">
        <v>713</v>
      </c>
      <c r="E24" s="34" t="s">
        <v>834</v>
      </c>
      <c r="F24" s="34" t="s">
        <v>835</v>
      </c>
      <c r="G24" s="37" t="s">
        <v>836</v>
      </c>
    </row>
    <row r="25" spans="1:7" ht="63.75" hidden="1" customHeight="1">
      <c r="A25" s="481" t="s">
        <v>837</v>
      </c>
      <c r="B25" s="481" t="s">
        <v>298</v>
      </c>
      <c r="C25" s="33" t="s">
        <v>838</v>
      </c>
      <c r="D25" s="29" t="s">
        <v>554</v>
      </c>
      <c r="E25" s="34" t="s">
        <v>839</v>
      </c>
      <c r="F25" s="34" t="s">
        <v>840</v>
      </c>
      <c r="G25" s="35"/>
    </row>
    <row r="26" spans="1:7" ht="49.5" hidden="1" customHeight="1">
      <c r="A26" s="464"/>
      <c r="B26" s="464"/>
      <c r="C26" s="33" t="s">
        <v>389</v>
      </c>
      <c r="D26" s="29" t="s">
        <v>829</v>
      </c>
      <c r="E26" s="34" t="s">
        <v>841</v>
      </c>
      <c r="F26" s="34" t="s">
        <v>842</v>
      </c>
      <c r="G26" s="35"/>
    </row>
    <row r="27" spans="1:7" ht="33" hidden="1" customHeight="1">
      <c r="A27" s="464"/>
      <c r="B27" s="464"/>
      <c r="C27" s="33" t="s">
        <v>843</v>
      </c>
      <c r="D27" s="29" t="s">
        <v>713</v>
      </c>
      <c r="E27" s="34" t="s">
        <v>844</v>
      </c>
      <c r="F27" s="34" t="s">
        <v>845</v>
      </c>
      <c r="G27" s="35"/>
    </row>
    <row r="28" spans="1:7" ht="35.25" hidden="1" customHeight="1">
      <c r="A28" s="464"/>
      <c r="B28" s="464"/>
      <c r="C28" s="33" t="s">
        <v>382</v>
      </c>
      <c r="D28" s="29" t="s">
        <v>786</v>
      </c>
      <c r="E28" s="34" t="s">
        <v>846</v>
      </c>
      <c r="F28" s="34" t="s">
        <v>847</v>
      </c>
      <c r="G28" s="35"/>
    </row>
    <row r="29" spans="1:7" ht="33.75" hidden="1" customHeight="1">
      <c r="A29" s="464"/>
      <c r="B29" s="464"/>
      <c r="C29" s="33" t="s">
        <v>848</v>
      </c>
      <c r="D29" s="29" t="s">
        <v>567</v>
      </c>
      <c r="E29" s="34" t="s">
        <v>849</v>
      </c>
      <c r="F29" s="34" t="s">
        <v>850</v>
      </c>
      <c r="G29" s="35"/>
    </row>
    <row r="30" spans="1:7" ht="20.25" hidden="1" customHeight="1">
      <c r="A30" s="464"/>
      <c r="B30" s="464"/>
      <c r="C30" s="33" t="s">
        <v>338</v>
      </c>
      <c r="D30" s="29" t="s">
        <v>775</v>
      </c>
      <c r="E30" s="34" t="s">
        <v>851</v>
      </c>
      <c r="F30" s="34" t="s">
        <v>852</v>
      </c>
      <c r="G30" s="35"/>
    </row>
    <row r="31" spans="1:7" ht="56.25" hidden="1" customHeight="1">
      <c r="A31" s="464"/>
      <c r="B31" s="464"/>
      <c r="C31" s="33" t="s">
        <v>853</v>
      </c>
      <c r="D31" s="29" t="s">
        <v>829</v>
      </c>
      <c r="E31" s="34" t="s">
        <v>854</v>
      </c>
      <c r="F31" s="34" t="s">
        <v>855</v>
      </c>
      <c r="G31" s="35"/>
    </row>
    <row r="32" spans="1:7" ht="48" hidden="1" customHeight="1">
      <c r="A32" s="464"/>
      <c r="B32" s="464"/>
      <c r="C32" s="33" t="s">
        <v>853</v>
      </c>
      <c r="D32" s="29" t="s">
        <v>554</v>
      </c>
      <c r="E32" s="34" t="s">
        <v>856</v>
      </c>
      <c r="F32" s="34" t="s">
        <v>857</v>
      </c>
      <c r="G32" s="35"/>
    </row>
    <row r="33" spans="1:7" ht="20.25" hidden="1" customHeight="1">
      <c r="A33" s="464"/>
      <c r="B33" s="464"/>
      <c r="C33" s="33" t="s">
        <v>805</v>
      </c>
      <c r="D33" s="29" t="s">
        <v>713</v>
      </c>
      <c r="E33" s="34" t="s">
        <v>858</v>
      </c>
      <c r="F33" s="34" t="s">
        <v>859</v>
      </c>
      <c r="G33" s="35"/>
    </row>
    <row r="34" spans="1:7" ht="20.25" hidden="1" customHeight="1">
      <c r="A34" s="464"/>
      <c r="B34" s="464"/>
      <c r="C34" s="33" t="s">
        <v>848</v>
      </c>
      <c r="D34" s="29" t="s">
        <v>567</v>
      </c>
      <c r="E34" s="34" t="s">
        <v>860</v>
      </c>
      <c r="F34" s="34" t="s">
        <v>861</v>
      </c>
      <c r="G34" s="35"/>
    </row>
    <row r="35" spans="1:7" ht="38.25" hidden="1" customHeight="1">
      <c r="A35" s="464"/>
      <c r="B35" s="464"/>
      <c r="C35" s="33" t="s">
        <v>370</v>
      </c>
      <c r="D35" s="29" t="s">
        <v>554</v>
      </c>
      <c r="E35" s="34" t="s">
        <v>862</v>
      </c>
      <c r="F35" s="34" t="s">
        <v>861</v>
      </c>
      <c r="G35" s="37" t="s">
        <v>863</v>
      </c>
    </row>
    <row r="36" spans="1:7" ht="20.25" hidden="1" customHeight="1">
      <c r="A36" s="464"/>
      <c r="B36" s="464"/>
      <c r="C36" s="33" t="s">
        <v>864</v>
      </c>
      <c r="D36" s="29" t="s">
        <v>713</v>
      </c>
      <c r="E36" s="34" t="s">
        <v>865</v>
      </c>
      <c r="F36" s="34"/>
      <c r="G36" s="35"/>
    </row>
    <row r="37" spans="1:7" ht="20.25" hidden="1" customHeight="1">
      <c r="A37" s="464"/>
      <c r="B37" s="464"/>
      <c r="C37" s="33" t="s">
        <v>388</v>
      </c>
      <c r="D37" s="29" t="s">
        <v>567</v>
      </c>
      <c r="E37" s="34" t="s">
        <v>866</v>
      </c>
      <c r="F37" s="34" t="s">
        <v>867</v>
      </c>
      <c r="G37" s="35"/>
    </row>
    <row r="38" spans="1:7" ht="74.25" hidden="1" customHeight="1">
      <c r="A38" s="464"/>
      <c r="B38" s="464"/>
      <c r="C38" s="33" t="s">
        <v>853</v>
      </c>
      <c r="D38" s="29" t="s">
        <v>554</v>
      </c>
      <c r="E38" s="34" t="s">
        <v>868</v>
      </c>
      <c r="F38" s="34" t="s">
        <v>869</v>
      </c>
      <c r="G38" s="37" t="s">
        <v>870</v>
      </c>
    </row>
    <row r="39" spans="1:7" ht="35.25" hidden="1" customHeight="1">
      <c r="A39" s="464"/>
      <c r="B39" s="464"/>
      <c r="C39" s="33" t="s">
        <v>382</v>
      </c>
      <c r="D39" s="29" t="s">
        <v>576</v>
      </c>
      <c r="E39" s="34" t="s">
        <v>871</v>
      </c>
      <c r="F39" s="34" t="s">
        <v>872</v>
      </c>
      <c r="G39" s="35" t="s">
        <v>873</v>
      </c>
    </row>
    <row r="40" spans="1:7" ht="88.5" hidden="1" customHeight="1">
      <c r="A40" s="464"/>
      <c r="B40" s="464"/>
      <c r="C40" s="33" t="s">
        <v>325</v>
      </c>
      <c r="D40" s="29" t="s">
        <v>713</v>
      </c>
      <c r="E40" s="34" t="s">
        <v>874</v>
      </c>
      <c r="F40" s="34" t="s">
        <v>875</v>
      </c>
      <c r="G40" s="35"/>
    </row>
    <row r="41" spans="1:7" ht="20.25" hidden="1" customHeight="1">
      <c r="A41" s="464"/>
      <c r="B41" s="464"/>
      <c r="C41" s="41" t="s">
        <v>380</v>
      </c>
      <c r="D41" s="29" t="s">
        <v>713</v>
      </c>
      <c r="E41" s="38" t="s">
        <v>876</v>
      </c>
      <c r="F41" s="79" t="s">
        <v>877</v>
      </c>
      <c r="G41" s="42"/>
    </row>
    <row r="42" spans="1:7" ht="20.25" hidden="1" customHeight="1">
      <c r="A42" s="464"/>
      <c r="B42" s="464"/>
      <c r="C42" s="2" t="s">
        <v>878</v>
      </c>
      <c r="D42" s="29" t="s">
        <v>713</v>
      </c>
      <c r="E42" s="25" t="s">
        <v>879</v>
      </c>
      <c r="F42" s="78" t="s">
        <v>880</v>
      </c>
      <c r="G42" s="2"/>
    </row>
    <row r="43" spans="1:7" ht="20.25" hidden="1" customHeight="1">
      <c r="A43" s="464"/>
      <c r="B43" s="464"/>
      <c r="C43" s="2" t="s">
        <v>369</v>
      </c>
      <c r="D43" s="29" t="s">
        <v>829</v>
      </c>
      <c r="E43" s="25" t="s">
        <v>881</v>
      </c>
      <c r="F43" s="25" t="s">
        <v>882</v>
      </c>
      <c r="G43" s="2"/>
    </row>
    <row r="44" spans="1:7" ht="20.25" hidden="1" customHeight="1">
      <c r="A44" s="479" t="s">
        <v>883</v>
      </c>
      <c r="B44" s="464" t="s">
        <v>298</v>
      </c>
      <c r="C44" s="2" t="s">
        <v>380</v>
      </c>
      <c r="D44" s="29" t="s">
        <v>775</v>
      </c>
      <c r="E44" s="25" t="s">
        <v>884</v>
      </c>
      <c r="F44" s="25" t="s">
        <v>885</v>
      </c>
      <c r="G44" s="2"/>
    </row>
    <row r="45" spans="1:7" ht="30.75" hidden="1" customHeight="1">
      <c r="A45" s="480"/>
      <c r="B45" s="464"/>
      <c r="C45" s="2" t="s">
        <v>382</v>
      </c>
      <c r="D45" s="29" t="s">
        <v>576</v>
      </c>
      <c r="E45" s="25" t="s">
        <v>886</v>
      </c>
      <c r="F45" s="25" t="s">
        <v>887</v>
      </c>
      <c r="G45" s="2"/>
    </row>
    <row r="46" spans="1:7" ht="66" hidden="1" customHeight="1">
      <c r="A46" s="480"/>
      <c r="B46" s="464"/>
      <c r="C46" s="2" t="s">
        <v>396</v>
      </c>
      <c r="D46" s="29" t="s">
        <v>829</v>
      </c>
      <c r="E46" s="25" t="s">
        <v>888</v>
      </c>
      <c r="F46" s="25" t="s">
        <v>889</v>
      </c>
      <c r="G46" s="25" t="s">
        <v>890</v>
      </c>
    </row>
    <row r="47" spans="1:7" ht="33" hidden="1" customHeight="1">
      <c r="A47" s="480"/>
      <c r="B47" s="464"/>
      <c r="C47" s="2" t="s">
        <v>295</v>
      </c>
      <c r="D47" s="29" t="s">
        <v>775</v>
      </c>
      <c r="E47" s="25" t="s">
        <v>891</v>
      </c>
      <c r="F47" s="25" t="s">
        <v>892</v>
      </c>
      <c r="G47" s="2"/>
    </row>
    <row r="48" spans="1:7" ht="20.25" hidden="1" customHeight="1">
      <c r="A48" s="480"/>
      <c r="B48" s="464"/>
      <c r="C48" s="2" t="s">
        <v>893</v>
      </c>
      <c r="D48" s="29" t="s">
        <v>713</v>
      </c>
      <c r="E48" s="25" t="s">
        <v>894</v>
      </c>
      <c r="F48" s="25" t="s">
        <v>895</v>
      </c>
      <c r="G48" s="2"/>
    </row>
    <row r="49" spans="1:7" ht="20.25" hidden="1" customHeight="1">
      <c r="A49" s="480"/>
      <c r="B49" s="464"/>
      <c r="C49" s="2" t="s">
        <v>322</v>
      </c>
      <c r="D49" s="29" t="s">
        <v>775</v>
      </c>
      <c r="E49" s="25" t="s">
        <v>896</v>
      </c>
      <c r="F49" s="25" t="s">
        <v>897</v>
      </c>
      <c r="G49" s="2" t="s">
        <v>898</v>
      </c>
    </row>
    <row r="50" spans="1:7" ht="20.25" hidden="1" customHeight="1">
      <c r="A50" s="480"/>
      <c r="B50" s="464"/>
      <c r="C50" s="2" t="s">
        <v>770</v>
      </c>
      <c r="D50" s="29" t="s">
        <v>584</v>
      </c>
      <c r="E50" s="25" t="s">
        <v>899</v>
      </c>
      <c r="F50" s="25" t="s">
        <v>900</v>
      </c>
      <c r="G50" s="2" t="s">
        <v>901</v>
      </c>
    </row>
    <row r="51" spans="1:7" ht="53.25" hidden="1" customHeight="1">
      <c r="A51" s="480"/>
      <c r="B51" s="464"/>
      <c r="C51" s="2" t="s">
        <v>390</v>
      </c>
      <c r="D51" s="29" t="s">
        <v>584</v>
      </c>
      <c r="E51" s="25" t="s">
        <v>902</v>
      </c>
      <c r="F51" s="25" t="s">
        <v>903</v>
      </c>
      <c r="G51" s="2" t="s">
        <v>901</v>
      </c>
    </row>
    <row r="52" spans="1:7" ht="66.75" hidden="1" customHeight="1">
      <c r="A52" s="480"/>
      <c r="B52" s="464"/>
      <c r="C52" s="2" t="s">
        <v>385</v>
      </c>
      <c r="D52" s="29" t="s">
        <v>584</v>
      </c>
      <c r="E52" s="25" t="s">
        <v>902</v>
      </c>
      <c r="F52" s="25" t="s">
        <v>903</v>
      </c>
      <c r="G52" s="2" t="s">
        <v>901</v>
      </c>
    </row>
    <row r="53" spans="1:7" ht="66.75" hidden="1" customHeight="1">
      <c r="A53" s="480"/>
      <c r="B53" s="464"/>
      <c r="C53" s="2" t="s">
        <v>853</v>
      </c>
      <c r="D53" s="29" t="s">
        <v>584</v>
      </c>
      <c r="E53" s="25" t="s">
        <v>902</v>
      </c>
      <c r="F53" s="25" t="s">
        <v>904</v>
      </c>
      <c r="G53" s="2"/>
    </row>
    <row r="54" spans="1:7" ht="20.25" hidden="1" customHeight="1">
      <c r="A54" s="480"/>
      <c r="B54" s="464"/>
      <c r="C54" s="2" t="s">
        <v>474</v>
      </c>
      <c r="D54" s="29" t="s">
        <v>567</v>
      </c>
      <c r="E54" s="25" t="s">
        <v>905</v>
      </c>
      <c r="F54" s="25" t="s">
        <v>906</v>
      </c>
      <c r="G54" s="2"/>
    </row>
    <row r="55" spans="1:7" ht="20.25" hidden="1" customHeight="1">
      <c r="A55" s="480"/>
      <c r="B55" s="464"/>
      <c r="C55" s="2" t="s">
        <v>833</v>
      </c>
      <c r="D55" s="29" t="s">
        <v>713</v>
      </c>
      <c r="E55" s="25" t="s">
        <v>907</v>
      </c>
      <c r="F55" s="25" t="s">
        <v>908</v>
      </c>
      <c r="G55" s="2"/>
    </row>
    <row r="56" spans="1:7" ht="20.25" hidden="1" customHeight="1">
      <c r="A56" s="480"/>
      <c r="B56" s="464"/>
      <c r="C56" s="2" t="s">
        <v>909</v>
      </c>
      <c r="D56" s="29" t="s">
        <v>713</v>
      </c>
      <c r="E56" s="25" t="s">
        <v>910</v>
      </c>
      <c r="F56" s="25" t="s">
        <v>911</v>
      </c>
      <c r="G56" s="2"/>
    </row>
    <row r="57" spans="1:7" ht="56.25" hidden="1" customHeight="1">
      <c r="A57" s="480"/>
      <c r="B57" s="464"/>
      <c r="C57" s="2" t="s">
        <v>805</v>
      </c>
      <c r="D57" s="29" t="s">
        <v>798</v>
      </c>
      <c r="E57" s="25" t="s">
        <v>912</v>
      </c>
      <c r="F57" s="25" t="s">
        <v>913</v>
      </c>
      <c r="G57" s="25" t="s">
        <v>914</v>
      </c>
    </row>
    <row r="58" spans="1:7" ht="20.25" customHeight="1">
      <c r="A58" s="464" t="s">
        <v>915</v>
      </c>
      <c r="B58" s="464" t="s">
        <v>298</v>
      </c>
      <c r="C58" s="2" t="s">
        <v>380</v>
      </c>
      <c r="D58" s="29" t="s">
        <v>713</v>
      </c>
      <c r="E58" s="25" t="s">
        <v>916</v>
      </c>
      <c r="F58" s="25" t="s">
        <v>917</v>
      </c>
      <c r="G58" s="2"/>
    </row>
    <row r="59" spans="1:7" ht="20.25" customHeight="1">
      <c r="A59" s="464"/>
      <c r="B59" s="464"/>
      <c r="C59" s="2" t="s">
        <v>918</v>
      </c>
      <c r="D59" s="29" t="s">
        <v>567</v>
      </c>
      <c r="E59" s="25" t="s">
        <v>919</v>
      </c>
      <c r="F59" s="25" t="s">
        <v>920</v>
      </c>
      <c r="G59" s="2"/>
    </row>
    <row r="60" spans="1:7" ht="20.25" customHeight="1">
      <c r="A60" s="464"/>
      <c r="B60" s="464"/>
      <c r="C60" s="2" t="s">
        <v>390</v>
      </c>
      <c r="D60" s="29" t="s">
        <v>829</v>
      </c>
      <c r="E60" s="25" t="s">
        <v>921</v>
      </c>
      <c r="F60" s="25" t="s">
        <v>922</v>
      </c>
      <c r="G60" s="2"/>
    </row>
    <row r="61" spans="1:7" ht="20.25" customHeight="1">
      <c r="A61" s="464"/>
      <c r="B61" s="464"/>
      <c r="C61" s="2" t="s">
        <v>338</v>
      </c>
      <c r="D61" s="29" t="s">
        <v>713</v>
      </c>
      <c r="E61" s="25" t="s">
        <v>923</v>
      </c>
      <c r="F61" s="25" t="s">
        <v>924</v>
      </c>
      <c r="G61" s="25" t="s">
        <v>925</v>
      </c>
    </row>
    <row r="62" spans="1:7" ht="20.25" customHeight="1">
      <c r="A62" s="464"/>
      <c r="B62" s="464"/>
      <c r="C62" s="2" t="s">
        <v>370</v>
      </c>
      <c r="D62" s="29" t="s">
        <v>576</v>
      </c>
      <c r="E62" s="25" t="s">
        <v>926</v>
      </c>
      <c r="F62" s="25" t="s">
        <v>927</v>
      </c>
      <c r="G62" s="2"/>
    </row>
    <row r="63" spans="1:7" ht="34.5" customHeight="1">
      <c r="A63" s="464"/>
      <c r="B63" s="464"/>
      <c r="C63" s="2" t="s">
        <v>370</v>
      </c>
      <c r="D63" s="29" t="s">
        <v>567</v>
      </c>
      <c r="E63" s="107" t="s">
        <v>928</v>
      </c>
      <c r="F63" s="107" t="s">
        <v>929</v>
      </c>
      <c r="G63" s="2"/>
    </row>
    <row r="64" spans="1:7" ht="53.25" customHeight="1">
      <c r="A64" s="464"/>
      <c r="B64" s="464"/>
      <c r="C64" s="2" t="s">
        <v>382</v>
      </c>
      <c r="D64" s="29" t="s">
        <v>567</v>
      </c>
      <c r="E64" s="25" t="s">
        <v>930</v>
      </c>
      <c r="F64" s="25" t="s">
        <v>931</v>
      </c>
      <c r="G64" s="25" t="s">
        <v>932</v>
      </c>
    </row>
    <row r="65" spans="1:7" ht="30.75" customHeight="1">
      <c r="A65" s="464"/>
      <c r="B65" s="464"/>
      <c r="C65" s="2" t="s">
        <v>474</v>
      </c>
      <c r="D65" s="29" t="s">
        <v>576</v>
      </c>
      <c r="E65" s="25" t="s">
        <v>933</v>
      </c>
      <c r="F65" s="25" t="s">
        <v>934</v>
      </c>
      <c r="G65" s="2"/>
    </row>
    <row r="66" spans="1:7" ht="30.75" customHeight="1">
      <c r="A66" s="464"/>
      <c r="B66" s="464"/>
      <c r="C66" s="2" t="s">
        <v>474</v>
      </c>
      <c r="D66" s="29" t="s">
        <v>567</v>
      </c>
      <c r="E66" s="25" t="s">
        <v>935</v>
      </c>
      <c r="F66" s="25" t="s">
        <v>936</v>
      </c>
      <c r="G66" s="2"/>
    </row>
    <row r="67" spans="1:7" ht="20.25" customHeight="1">
      <c r="A67" s="464"/>
      <c r="B67" s="464"/>
      <c r="C67" s="2" t="s">
        <v>878</v>
      </c>
      <c r="D67" s="29" t="s">
        <v>713</v>
      </c>
      <c r="E67" s="25" t="s">
        <v>937</v>
      </c>
      <c r="F67" s="25" t="s">
        <v>938</v>
      </c>
      <c r="G67" s="2"/>
    </row>
    <row r="68" spans="1:7" ht="20.25" customHeight="1">
      <c r="A68" s="464"/>
      <c r="B68" s="464"/>
      <c r="C68" s="2" t="s">
        <v>295</v>
      </c>
      <c r="D68" s="29" t="s">
        <v>713</v>
      </c>
      <c r="E68" s="25" t="s">
        <v>937</v>
      </c>
      <c r="F68" s="25" t="s">
        <v>939</v>
      </c>
      <c r="G68" s="2"/>
    </row>
    <row r="69" spans="1:7" ht="28.5" customHeight="1">
      <c r="A69" s="464"/>
      <c r="B69" s="464"/>
      <c r="C69" s="2" t="s">
        <v>389</v>
      </c>
      <c r="D69" s="29" t="s">
        <v>829</v>
      </c>
      <c r="E69" s="25" t="s">
        <v>940</v>
      </c>
      <c r="F69" s="25" t="s">
        <v>941</v>
      </c>
      <c r="G69" s="2"/>
    </row>
    <row r="70" spans="1:7" ht="50.25" customHeight="1">
      <c r="A70" s="464"/>
      <c r="B70" s="464"/>
      <c r="C70" s="2" t="s">
        <v>848</v>
      </c>
      <c r="D70" s="29" t="s">
        <v>567</v>
      </c>
      <c r="E70" s="25" t="s">
        <v>942</v>
      </c>
      <c r="F70" s="25" t="s">
        <v>943</v>
      </c>
      <c r="G70" s="25" t="s">
        <v>944</v>
      </c>
    </row>
    <row r="71" spans="1:7" ht="20.25" customHeight="1">
      <c r="A71" s="471" t="s">
        <v>945</v>
      </c>
      <c r="B71" s="468" t="s">
        <v>946</v>
      </c>
      <c r="C71" s="2" t="s">
        <v>947</v>
      </c>
      <c r="D71" s="29" t="s">
        <v>567</v>
      </c>
      <c r="E71" s="25" t="s">
        <v>948</v>
      </c>
      <c r="F71" s="25" t="s">
        <v>949</v>
      </c>
      <c r="G71" s="2"/>
    </row>
    <row r="72" spans="1:7" ht="20.25" customHeight="1">
      <c r="A72" s="471"/>
      <c r="B72" s="468"/>
      <c r="C72" s="2" t="s">
        <v>474</v>
      </c>
      <c r="D72" s="29" t="s">
        <v>576</v>
      </c>
      <c r="E72" s="25" t="s">
        <v>933</v>
      </c>
      <c r="F72" s="25" t="s">
        <v>950</v>
      </c>
      <c r="G72" s="2"/>
    </row>
    <row r="73" spans="1:7" ht="20.25" customHeight="1">
      <c r="A73" s="471"/>
      <c r="B73" s="468"/>
      <c r="C73" s="2" t="s">
        <v>474</v>
      </c>
      <c r="D73" s="29" t="s">
        <v>576</v>
      </c>
      <c r="E73" s="25" t="s">
        <v>951</v>
      </c>
      <c r="F73" s="25" t="s">
        <v>952</v>
      </c>
      <c r="G73" s="2"/>
    </row>
    <row r="74" spans="1:7" ht="20.25" customHeight="1">
      <c r="A74" s="471"/>
      <c r="B74" s="468"/>
      <c r="C74" s="2" t="s">
        <v>370</v>
      </c>
      <c r="D74" s="29" t="s">
        <v>567</v>
      </c>
      <c r="E74" s="25" t="s">
        <v>953</v>
      </c>
      <c r="F74" s="25" t="s">
        <v>954</v>
      </c>
      <c r="G74" s="2" t="s">
        <v>955</v>
      </c>
    </row>
    <row r="75" spans="1:7" ht="20.25" customHeight="1">
      <c r="A75" s="471"/>
      <c r="B75" s="468"/>
      <c r="C75" s="2" t="s">
        <v>805</v>
      </c>
      <c r="D75" s="29" t="s">
        <v>829</v>
      </c>
      <c r="E75" s="25" t="s">
        <v>956</v>
      </c>
      <c r="F75" s="25" t="s">
        <v>957</v>
      </c>
      <c r="G75" s="2"/>
    </row>
    <row r="76" spans="1:7" ht="20.25" customHeight="1">
      <c r="A76" s="471"/>
      <c r="B76" s="468"/>
      <c r="C76" s="2" t="s">
        <v>805</v>
      </c>
      <c r="D76" s="29" t="s">
        <v>829</v>
      </c>
      <c r="E76" s="25" t="s">
        <v>958</v>
      </c>
      <c r="F76" s="25" t="s">
        <v>959</v>
      </c>
      <c r="G76" s="2" t="s">
        <v>960</v>
      </c>
    </row>
    <row r="77" spans="1:7" ht="20.25" customHeight="1">
      <c r="A77" s="471"/>
      <c r="B77" s="468"/>
      <c r="C77" s="2" t="s">
        <v>390</v>
      </c>
      <c r="D77" s="29" t="s">
        <v>829</v>
      </c>
      <c r="E77" s="25" t="s">
        <v>961</v>
      </c>
      <c r="F77" s="25" t="s">
        <v>962</v>
      </c>
      <c r="G77" s="2"/>
    </row>
    <row r="78" spans="1:7" ht="20.25" customHeight="1">
      <c r="A78" s="471"/>
      <c r="B78" s="468"/>
      <c r="C78" s="2" t="s">
        <v>380</v>
      </c>
      <c r="D78" s="29" t="s">
        <v>786</v>
      </c>
      <c r="E78" s="25" t="s">
        <v>963</v>
      </c>
      <c r="F78" s="25" t="s">
        <v>964</v>
      </c>
      <c r="G78" s="2" t="s">
        <v>965</v>
      </c>
    </row>
    <row r="79" spans="1:7" ht="20.25" customHeight="1">
      <c r="A79" s="471"/>
      <c r="B79" s="468"/>
      <c r="C79" s="2" t="s">
        <v>966</v>
      </c>
      <c r="D79" s="29" t="s">
        <v>567</v>
      </c>
      <c r="E79" s="25" t="s">
        <v>967</v>
      </c>
      <c r="F79" s="25" t="s">
        <v>968</v>
      </c>
      <c r="G79" s="2" t="s">
        <v>969</v>
      </c>
    </row>
    <row r="80" spans="1:7" ht="20.25" customHeight="1">
      <c r="A80" s="471"/>
      <c r="B80" s="468"/>
      <c r="C80" s="2" t="s">
        <v>389</v>
      </c>
      <c r="D80" s="29" t="s">
        <v>567</v>
      </c>
      <c r="E80" s="25" t="s">
        <v>970</v>
      </c>
      <c r="F80" s="25" t="s">
        <v>971</v>
      </c>
      <c r="G80" s="2" t="s">
        <v>972</v>
      </c>
    </row>
    <row r="81" spans="1:7" ht="20.25" customHeight="1">
      <c r="A81" s="471"/>
      <c r="B81" s="468"/>
      <c r="C81" s="2" t="s">
        <v>383</v>
      </c>
      <c r="D81" s="29" t="s">
        <v>567</v>
      </c>
      <c r="E81" s="25" t="s">
        <v>973</v>
      </c>
      <c r="F81" s="25" t="s">
        <v>974</v>
      </c>
      <c r="G81" s="2" t="s">
        <v>975</v>
      </c>
    </row>
    <row r="82" spans="1:7" ht="20.25" customHeight="1">
      <c r="A82" s="464" t="s">
        <v>976</v>
      </c>
      <c r="B82" s="468" t="s">
        <v>946</v>
      </c>
      <c r="C82" s="2" t="s">
        <v>977</v>
      </c>
      <c r="D82" s="29" t="s">
        <v>779</v>
      </c>
      <c r="E82" s="25" t="s">
        <v>978</v>
      </c>
      <c r="F82" s="25" t="s">
        <v>979</v>
      </c>
      <c r="G82" s="2" t="s">
        <v>980</v>
      </c>
    </row>
    <row r="83" spans="1:7" ht="20.25" customHeight="1">
      <c r="A83" s="464"/>
      <c r="B83" s="468"/>
      <c r="C83" s="2" t="s">
        <v>370</v>
      </c>
      <c r="D83" s="29" t="s">
        <v>562</v>
      </c>
      <c r="E83" s="25" t="s">
        <v>981</v>
      </c>
      <c r="F83" s="25" t="s">
        <v>982</v>
      </c>
      <c r="G83" s="2" t="s">
        <v>983</v>
      </c>
    </row>
    <row r="84" spans="1:7" ht="20.25" customHeight="1">
      <c r="A84" s="464"/>
      <c r="B84" s="468"/>
      <c r="C84" s="2" t="s">
        <v>383</v>
      </c>
      <c r="D84" s="29" t="s">
        <v>562</v>
      </c>
      <c r="E84" s="25" t="s">
        <v>984</v>
      </c>
      <c r="F84" s="25" t="s">
        <v>985</v>
      </c>
      <c r="G84" s="2"/>
    </row>
    <row r="85" spans="1:7" ht="20.25" customHeight="1">
      <c r="A85" s="464"/>
      <c r="B85" s="468"/>
      <c r="C85" s="2" t="s">
        <v>295</v>
      </c>
      <c r="D85" s="29" t="s">
        <v>567</v>
      </c>
      <c r="E85" s="25" t="s">
        <v>986</v>
      </c>
      <c r="F85" s="25" t="s">
        <v>987</v>
      </c>
      <c r="G85" s="2"/>
    </row>
    <row r="86" spans="1:7" ht="20.25" customHeight="1">
      <c r="A86" s="464"/>
      <c r="B86" s="468"/>
      <c r="C86" s="108" t="s">
        <v>988</v>
      </c>
      <c r="D86" s="29" t="s">
        <v>713</v>
      </c>
      <c r="E86" s="109" t="s">
        <v>989</v>
      </c>
      <c r="F86" s="2" t="s">
        <v>990</v>
      </c>
      <c r="G86" s="2" t="s">
        <v>991</v>
      </c>
    </row>
    <row r="87" spans="1:7" ht="20.25" customHeight="1">
      <c r="A87" s="464"/>
      <c r="B87" s="468"/>
      <c r="C87" s="108" t="s">
        <v>331</v>
      </c>
      <c r="D87" s="29" t="s">
        <v>713</v>
      </c>
      <c r="E87" s="109" t="s">
        <v>992</v>
      </c>
      <c r="F87" s="2" t="s">
        <v>993</v>
      </c>
      <c r="G87" s="2" t="s">
        <v>991</v>
      </c>
    </row>
    <row r="88" spans="1:7" ht="20.25" customHeight="1">
      <c r="A88" s="464"/>
      <c r="B88" s="468"/>
      <c r="C88" s="108" t="s">
        <v>994</v>
      </c>
      <c r="D88" s="29" t="s">
        <v>713</v>
      </c>
      <c r="E88" s="109" t="s">
        <v>995</v>
      </c>
      <c r="F88" s="2" t="s">
        <v>990</v>
      </c>
      <c r="G88" s="114" t="s">
        <v>991</v>
      </c>
    </row>
    <row r="89" spans="1:7" ht="20.25" customHeight="1">
      <c r="A89" s="464"/>
      <c r="B89" s="468"/>
      <c r="C89" s="108" t="s">
        <v>996</v>
      </c>
      <c r="D89" s="29" t="s">
        <v>713</v>
      </c>
      <c r="E89" s="109" t="s">
        <v>997</v>
      </c>
      <c r="F89" s="2" t="s">
        <v>990</v>
      </c>
      <c r="G89" s="2" t="s">
        <v>991</v>
      </c>
    </row>
    <row r="90" spans="1:7" ht="20.25" customHeight="1">
      <c r="A90" s="464"/>
      <c r="B90" s="468"/>
      <c r="C90" s="108" t="s">
        <v>998</v>
      </c>
      <c r="D90" s="29" t="s">
        <v>713</v>
      </c>
      <c r="E90" s="109" t="s">
        <v>999</v>
      </c>
      <c r="F90" s="2" t="s">
        <v>1000</v>
      </c>
      <c r="G90" s="115" t="s">
        <v>991</v>
      </c>
    </row>
    <row r="91" spans="1:7" ht="20.25" customHeight="1">
      <c r="A91" s="464"/>
      <c r="B91" s="468"/>
      <c r="C91" s="108" t="s">
        <v>1001</v>
      </c>
      <c r="D91" s="29" t="s">
        <v>713</v>
      </c>
      <c r="E91" s="109" t="s">
        <v>1002</v>
      </c>
      <c r="F91" s="2" t="s">
        <v>990</v>
      </c>
      <c r="G91" s="114" t="s">
        <v>991</v>
      </c>
    </row>
    <row r="92" spans="1:7" ht="20.25" customHeight="1">
      <c r="A92" s="464"/>
      <c r="B92" s="468"/>
      <c r="C92" s="108" t="s">
        <v>1003</v>
      </c>
      <c r="D92" s="29" t="s">
        <v>713</v>
      </c>
      <c r="E92" s="109" t="s">
        <v>1004</v>
      </c>
      <c r="F92" s="2" t="s">
        <v>1005</v>
      </c>
      <c r="G92" s="2"/>
    </row>
    <row r="93" spans="1:7" ht="20.25" customHeight="1">
      <c r="A93" s="464"/>
      <c r="B93" s="468"/>
      <c r="C93" s="108" t="s">
        <v>1006</v>
      </c>
      <c r="D93" s="29" t="s">
        <v>713</v>
      </c>
      <c r="E93" s="109" t="s">
        <v>1007</v>
      </c>
      <c r="F93" s="113" t="s">
        <v>880</v>
      </c>
      <c r="G93" s="2" t="s">
        <v>991</v>
      </c>
    </row>
    <row r="94" spans="1:7" ht="20.25" customHeight="1">
      <c r="A94" s="464"/>
      <c r="B94" s="468"/>
      <c r="C94" s="108" t="s">
        <v>341</v>
      </c>
      <c r="D94" s="29" t="s">
        <v>713</v>
      </c>
      <c r="E94" s="25" t="s">
        <v>1008</v>
      </c>
      <c r="F94" s="25" t="s">
        <v>1000</v>
      </c>
      <c r="G94" s="115" t="s">
        <v>991</v>
      </c>
    </row>
    <row r="95" spans="1:7" ht="20.25" customHeight="1">
      <c r="A95" s="464"/>
      <c r="B95" s="468"/>
      <c r="C95" s="109" t="s">
        <v>1009</v>
      </c>
      <c r="D95" s="29" t="s">
        <v>713</v>
      </c>
      <c r="E95" s="25" t="s">
        <v>1010</v>
      </c>
      <c r="F95" s="2" t="s">
        <v>990</v>
      </c>
      <c r="G95" s="114" t="s">
        <v>991</v>
      </c>
    </row>
    <row r="96" spans="1:7" ht="20.25" customHeight="1">
      <c r="A96" s="464"/>
      <c r="B96" s="468"/>
      <c r="C96" s="109" t="s">
        <v>1011</v>
      </c>
      <c r="D96" s="29" t="s">
        <v>713</v>
      </c>
      <c r="E96" s="25" t="s">
        <v>1010</v>
      </c>
      <c r="F96" s="2" t="s">
        <v>990</v>
      </c>
      <c r="G96" s="114" t="s">
        <v>991</v>
      </c>
    </row>
    <row r="97" spans="1:7" ht="20.25" customHeight="1">
      <c r="A97" s="464" t="s">
        <v>1012</v>
      </c>
      <c r="B97" s="468" t="s">
        <v>946</v>
      </c>
      <c r="C97" s="2" t="s">
        <v>295</v>
      </c>
      <c r="D97" s="29" t="s">
        <v>713</v>
      </c>
      <c r="E97" s="25" t="s">
        <v>1013</v>
      </c>
      <c r="F97" s="25" t="s">
        <v>1014</v>
      </c>
      <c r="G97" s="2"/>
    </row>
    <row r="98" spans="1:7" ht="20.25" customHeight="1">
      <c r="A98" s="464"/>
      <c r="B98" s="468"/>
      <c r="C98" s="2" t="s">
        <v>338</v>
      </c>
      <c r="D98" s="29" t="s">
        <v>713</v>
      </c>
      <c r="E98" s="25" t="s">
        <v>1015</v>
      </c>
      <c r="F98" s="25" t="s">
        <v>1016</v>
      </c>
      <c r="G98" s="2"/>
    </row>
    <row r="99" spans="1:7" ht="20.25" customHeight="1">
      <c r="A99" s="464"/>
      <c r="B99" s="468"/>
      <c r="C99" s="2" t="s">
        <v>1017</v>
      </c>
      <c r="D99" s="29" t="s">
        <v>713</v>
      </c>
      <c r="E99" s="25" t="s">
        <v>1018</v>
      </c>
      <c r="F99" s="25" t="s">
        <v>1019</v>
      </c>
      <c r="G99" s="2"/>
    </row>
    <row r="100" spans="1:7" ht="20.25" customHeight="1">
      <c r="A100" s="464"/>
      <c r="B100" s="468"/>
      <c r="C100" s="2" t="s">
        <v>1020</v>
      </c>
      <c r="D100" s="29" t="s">
        <v>713</v>
      </c>
      <c r="E100" s="25" t="s">
        <v>1021</v>
      </c>
      <c r="F100" s="25" t="s">
        <v>1022</v>
      </c>
      <c r="G100" s="114" t="s">
        <v>991</v>
      </c>
    </row>
    <row r="101" spans="1:7" ht="27.75" customHeight="1">
      <c r="A101" s="464"/>
      <c r="B101" s="468"/>
      <c r="C101" s="2" t="s">
        <v>838</v>
      </c>
      <c r="D101" s="29" t="s">
        <v>829</v>
      </c>
      <c r="E101" s="25" t="s">
        <v>1023</v>
      </c>
      <c r="F101" s="25" t="s">
        <v>1024</v>
      </c>
      <c r="G101" s="2"/>
    </row>
    <row r="102" spans="1:7" ht="20.25" customHeight="1">
      <c r="A102" s="464"/>
      <c r="B102" s="468"/>
      <c r="C102" s="2" t="s">
        <v>1025</v>
      </c>
      <c r="D102" s="29" t="s">
        <v>713</v>
      </c>
      <c r="E102" s="25" t="s">
        <v>1026</v>
      </c>
      <c r="F102" s="25" t="s">
        <v>1027</v>
      </c>
      <c r="G102" s="114" t="s">
        <v>991</v>
      </c>
    </row>
    <row r="103" spans="1:7" ht="20.25" customHeight="1">
      <c r="A103" s="464" t="s">
        <v>1028</v>
      </c>
      <c r="B103" s="468"/>
      <c r="C103" s="2" t="s">
        <v>1029</v>
      </c>
      <c r="D103" s="29" t="s">
        <v>713</v>
      </c>
      <c r="E103" s="25" t="s">
        <v>1030</v>
      </c>
      <c r="F103" s="25" t="s">
        <v>1031</v>
      </c>
      <c r="G103" s="114" t="s">
        <v>991</v>
      </c>
    </row>
    <row r="104" spans="1:7" ht="20.25" customHeight="1">
      <c r="A104" s="464"/>
      <c r="B104" s="468"/>
      <c r="C104" s="2" t="s">
        <v>1032</v>
      </c>
      <c r="D104" s="29" t="s">
        <v>713</v>
      </c>
      <c r="E104" s="25" t="s">
        <v>1026</v>
      </c>
      <c r="F104" s="2" t="s">
        <v>990</v>
      </c>
      <c r="G104" s="114" t="s">
        <v>991</v>
      </c>
    </row>
    <row r="105" spans="1:7" ht="28.5" customHeight="1">
      <c r="A105" s="464"/>
      <c r="B105" s="468"/>
      <c r="C105" s="2" t="s">
        <v>370</v>
      </c>
      <c r="D105" s="29" t="s">
        <v>584</v>
      </c>
      <c r="E105" s="25" t="s">
        <v>1033</v>
      </c>
      <c r="F105" s="25" t="s">
        <v>1034</v>
      </c>
      <c r="G105" s="2"/>
    </row>
    <row r="106" spans="1:7" ht="20.25" customHeight="1">
      <c r="A106" s="464"/>
      <c r="B106" s="468"/>
      <c r="C106" s="2" t="s">
        <v>295</v>
      </c>
      <c r="D106" s="29" t="s">
        <v>713</v>
      </c>
      <c r="E106" s="25" t="s">
        <v>1035</v>
      </c>
      <c r="F106" s="25" t="s">
        <v>1036</v>
      </c>
      <c r="G106" s="2"/>
    </row>
    <row r="107" spans="1:7" ht="20.25" customHeight="1">
      <c r="A107" s="464"/>
      <c r="B107" s="468"/>
      <c r="C107" s="2" t="s">
        <v>390</v>
      </c>
      <c r="D107" s="29" t="s">
        <v>576</v>
      </c>
      <c r="E107" s="25" t="s">
        <v>1037</v>
      </c>
      <c r="F107" s="25" t="s">
        <v>1038</v>
      </c>
      <c r="G107" s="2" t="s">
        <v>1039</v>
      </c>
    </row>
    <row r="108" spans="1:7" ht="20.25" customHeight="1">
      <c r="A108" s="464"/>
      <c r="B108" s="468"/>
      <c r="C108" s="2" t="s">
        <v>996</v>
      </c>
      <c r="D108" s="29" t="s">
        <v>713</v>
      </c>
      <c r="E108" s="25" t="s">
        <v>1040</v>
      </c>
      <c r="F108" s="25" t="s">
        <v>1041</v>
      </c>
      <c r="G108" s="2" t="s">
        <v>1042</v>
      </c>
    </row>
    <row r="109" spans="1:7" ht="20.25" customHeight="1">
      <c r="A109" s="464"/>
      <c r="B109" s="468"/>
      <c r="C109" s="2" t="s">
        <v>1001</v>
      </c>
      <c r="D109" s="29" t="s">
        <v>713</v>
      </c>
      <c r="E109" s="25" t="s">
        <v>1040</v>
      </c>
      <c r="F109" s="25" t="s">
        <v>1041</v>
      </c>
      <c r="G109" s="114" t="s">
        <v>991</v>
      </c>
    </row>
    <row r="110" spans="1:7" ht="20.25" customHeight="1">
      <c r="A110" s="464"/>
      <c r="B110" s="468"/>
      <c r="C110" s="2" t="s">
        <v>947</v>
      </c>
      <c r="D110" s="29" t="s">
        <v>584</v>
      </c>
      <c r="E110" s="25" t="s">
        <v>1043</v>
      </c>
      <c r="F110" s="25" t="s">
        <v>1044</v>
      </c>
      <c r="G110" s="2" t="s">
        <v>1045</v>
      </c>
    </row>
    <row r="111" spans="1:7" ht="33.75" customHeight="1">
      <c r="A111" s="464" t="s">
        <v>1046</v>
      </c>
      <c r="B111" s="468" t="s">
        <v>946</v>
      </c>
      <c r="C111" s="2" t="s">
        <v>382</v>
      </c>
      <c r="D111" s="29" t="s">
        <v>567</v>
      </c>
      <c r="E111" s="469" t="s">
        <v>1047</v>
      </c>
      <c r="F111" s="468" t="s">
        <v>1048</v>
      </c>
      <c r="G111" s="2"/>
    </row>
    <row r="112" spans="1:7" ht="20.25" customHeight="1">
      <c r="A112" s="464"/>
      <c r="B112" s="468"/>
      <c r="C112" s="2" t="s">
        <v>370</v>
      </c>
      <c r="D112" s="29" t="s">
        <v>567</v>
      </c>
      <c r="E112" s="469"/>
      <c r="F112" s="468"/>
      <c r="G112" s="2"/>
    </row>
    <row r="113" spans="1:7" ht="20.25" customHeight="1">
      <c r="A113" s="464"/>
      <c r="B113" s="468"/>
      <c r="C113" s="2" t="s">
        <v>389</v>
      </c>
      <c r="D113" s="29" t="s">
        <v>567</v>
      </c>
      <c r="E113" s="469"/>
      <c r="F113" s="468"/>
      <c r="G113" s="2"/>
    </row>
    <row r="114" spans="1:7" ht="20.25" customHeight="1">
      <c r="A114" s="464"/>
      <c r="B114" s="468"/>
      <c r="C114" s="2" t="s">
        <v>770</v>
      </c>
      <c r="D114" s="29" t="s">
        <v>567</v>
      </c>
      <c r="E114" s="469"/>
      <c r="F114" s="468"/>
      <c r="G114" s="2"/>
    </row>
    <row r="115" spans="1:7" ht="20.25" customHeight="1">
      <c r="A115" s="464"/>
      <c r="B115" s="468"/>
      <c r="C115" s="2" t="s">
        <v>369</v>
      </c>
      <c r="D115" s="29" t="s">
        <v>567</v>
      </c>
      <c r="E115" s="469"/>
      <c r="F115" s="468"/>
      <c r="G115" s="2"/>
    </row>
    <row r="116" spans="1:7" ht="20.25" customHeight="1">
      <c r="A116" s="464"/>
      <c r="B116" s="468"/>
      <c r="C116" s="2" t="s">
        <v>947</v>
      </c>
      <c r="D116" s="29" t="s">
        <v>567</v>
      </c>
      <c r="E116" s="469"/>
      <c r="F116" s="468"/>
      <c r="G116" s="2"/>
    </row>
    <row r="117" spans="1:7" ht="38.25" customHeight="1">
      <c r="A117" s="464"/>
      <c r="B117" s="468"/>
      <c r="C117" s="2" t="s">
        <v>998</v>
      </c>
      <c r="D117" s="29" t="s">
        <v>713</v>
      </c>
      <c r="E117" s="25" t="s">
        <v>713</v>
      </c>
      <c r="F117" s="25" t="s">
        <v>1049</v>
      </c>
      <c r="G117" s="2" t="s">
        <v>1050</v>
      </c>
    </row>
    <row r="118" spans="1:7" ht="20.25" customHeight="1">
      <c r="A118" s="464"/>
      <c r="B118" s="468"/>
      <c r="C118" s="2" t="s">
        <v>474</v>
      </c>
      <c r="D118" s="29" t="s">
        <v>567</v>
      </c>
      <c r="E118" s="25" t="s">
        <v>1051</v>
      </c>
      <c r="F118" s="25" t="s">
        <v>1052</v>
      </c>
      <c r="G118" s="2" t="s">
        <v>1053</v>
      </c>
    </row>
    <row r="119" spans="1:7" ht="20.25" customHeight="1">
      <c r="A119" s="464"/>
      <c r="B119" s="468"/>
      <c r="C119" s="2" t="s">
        <v>947</v>
      </c>
      <c r="D119" s="29" t="s">
        <v>567</v>
      </c>
      <c r="E119" s="25" t="s">
        <v>1054</v>
      </c>
      <c r="F119" s="25" t="s">
        <v>1055</v>
      </c>
      <c r="G119" s="2" t="s">
        <v>1056</v>
      </c>
    </row>
    <row r="120" spans="1:7" ht="20.25" customHeight="1">
      <c r="A120" s="464"/>
      <c r="B120" s="468"/>
      <c r="C120" s="2" t="s">
        <v>1057</v>
      </c>
      <c r="D120" s="29" t="s">
        <v>713</v>
      </c>
      <c r="E120" s="25" t="s">
        <v>713</v>
      </c>
      <c r="F120" s="25" t="s">
        <v>1058</v>
      </c>
      <c r="G120" s="2"/>
    </row>
    <row r="121" spans="1:7" ht="20.25" customHeight="1">
      <c r="A121" s="464"/>
      <c r="B121" s="468"/>
      <c r="C121" s="2" t="s">
        <v>1059</v>
      </c>
      <c r="D121" s="29" t="s">
        <v>713</v>
      </c>
      <c r="E121" s="25" t="s">
        <v>713</v>
      </c>
      <c r="F121" s="25" t="s">
        <v>1060</v>
      </c>
      <c r="G121" s="2"/>
    </row>
    <row r="122" spans="1:7" ht="20.25" customHeight="1">
      <c r="A122" s="464"/>
      <c r="B122" s="468"/>
      <c r="C122" s="2" t="s">
        <v>996</v>
      </c>
      <c r="D122" s="29" t="s">
        <v>713</v>
      </c>
      <c r="E122" s="25" t="s">
        <v>713</v>
      </c>
      <c r="F122" s="25" t="s">
        <v>1061</v>
      </c>
      <c r="G122" s="2"/>
    </row>
    <row r="123" spans="1:7" ht="20.25" customHeight="1">
      <c r="A123" s="464"/>
      <c r="B123" s="468"/>
      <c r="C123" s="2" t="s">
        <v>474</v>
      </c>
      <c r="D123" s="29" t="s">
        <v>567</v>
      </c>
      <c r="E123" s="25" t="s">
        <v>1062</v>
      </c>
      <c r="F123" s="25" t="s">
        <v>1063</v>
      </c>
      <c r="G123" s="2"/>
    </row>
    <row r="124" spans="1:7" ht="20.25" customHeight="1">
      <c r="A124" s="464"/>
      <c r="B124" s="468"/>
      <c r="C124" s="2" t="s">
        <v>389</v>
      </c>
      <c r="D124" s="29" t="s">
        <v>567</v>
      </c>
      <c r="E124" s="25" t="s">
        <v>1064</v>
      </c>
      <c r="F124" s="25" t="s">
        <v>1065</v>
      </c>
      <c r="G124" s="2"/>
    </row>
    <row r="125" spans="1:7" ht="20.25" customHeight="1">
      <c r="A125" s="464"/>
      <c r="B125" s="468"/>
      <c r="C125" s="2" t="s">
        <v>369</v>
      </c>
      <c r="D125" s="29" t="s">
        <v>567</v>
      </c>
      <c r="E125" s="25" t="s">
        <v>1064</v>
      </c>
      <c r="F125" s="25" t="s">
        <v>1066</v>
      </c>
      <c r="G125" s="2"/>
    </row>
    <row r="126" spans="1:7" ht="20.25" customHeight="1">
      <c r="A126" s="464"/>
      <c r="B126" s="468"/>
      <c r="C126" s="2" t="s">
        <v>370</v>
      </c>
      <c r="D126" s="29" t="s">
        <v>567</v>
      </c>
      <c r="E126" s="25" t="s">
        <v>1067</v>
      </c>
      <c r="F126" s="25" t="s">
        <v>1068</v>
      </c>
      <c r="G126" s="2" t="s">
        <v>1069</v>
      </c>
    </row>
    <row r="127" spans="1:7" ht="48" customHeight="1">
      <c r="A127" s="464"/>
      <c r="B127" s="468"/>
      <c r="C127" s="2" t="s">
        <v>1070</v>
      </c>
      <c r="D127" s="2" t="s">
        <v>567</v>
      </c>
      <c r="E127" s="25" t="s">
        <v>1071</v>
      </c>
      <c r="F127" s="25" t="s">
        <v>1072</v>
      </c>
      <c r="G127" s="2"/>
    </row>
    <row r="128" spans="1:7" ht="20.25" customHeight="1">
      <c r="A128" s="464" t="s">
        <v>1073</v>
      </c>
      <c r="B128" s="464" t="s">
        <v>946</v>
      </c>
      <c r="C128" s="2" t="s">
        <v>1009</v>
      </c>
      <c r="D128" s="29" t="s">
        <v>713</v>
      </c>
      <c r="E128" s="25" t="s">
        <v>1074</v>
      </c>
      <c r="F128" s="25" t="s">
        <v>1075</v>
      </c>
      <c r="G128" s="2"/>
    </row>
    <row r="129" spans="1:7" ht="20.25" customHeight="1">
      <c r="A129" s="464"/>
      <c r="B129" s="464"/>
      <c r="C129" s="2" t="s">
        <v>389</v>
      </c>
      <c r="D129" s="29" t="s">
        <v>554</v>
      </c>
      <c r="E129" s="25" t="s">
        <v>1076</v>
      </c>
      <c r="F129" s="25" t="s">
        <v>1077</v>
      </c>
      <c r="G129" s="2"/>
    </row>
    <row r="130" spans="1:7" ht="20.25" customHeight="1">
      <c r="A130" s="464"/>
      <c r="B130" s="464"/>
      <c r="C130" s="2" t="s">
        <v>295</v>
      </c>
      <c r="D130" s="29" t="s">
        <v>713</v>
      </c>
      <c r="E130" s="25" t="s">
        <v>1078</v>
      </c>
      <c r="F130" s="25" t="s">
        <v>1079</v>
      </c>
      <c r="G130" s="2"/>
    </row>
    <row r="131" spans="1:7" ht="20.25" customHeight="1">
      <c r="A131" s="464"/>
      <c r="B131" s="464"/>
      <c r="C131" s="2" t="s">
        <v>474</v>
      </c>
      <c r="D131" s="29" t="s">
        <v>576</v>
      </c>
      <c r="E131" s="25" t="s">
        <v>1080</v>
      </c>
      <c r="F131" s="25" t="s">
        <v>1081</v>
      </c>
      <c r="G131" s="2" t="s">
        <v>1082</v>
      </c>
    </row>
    <row r="132" spans="1:7" ht="20.25" customHeight="1">
      <c r="A132" s="464"/>
      <c r="B132" s="464"/>
      <c r="C132" s="2" t="s">
        <v>893</v>
      </c>
      <c r="D132" s="29" t="s">
        <v>713</v>
      </c>
      <c r="E132" s="25" t="s">
        <v>1083</v>
      </c>
      <c r="F132" s="25"/>
      <c r="G132" s="2"/>
    </row>
    <row r="133" spans="1:7" ht="20.25" customHeight="1">
      <c r="A133" s="464"/>
      <c r="B133" s="464"/>
      <c r="C133" s="2" t="s">
        <v>1084</v>
      </c>
      <c r="D133" s="29" t="s">
        <v>713</v>
      </c>
      <c r="E133" s="25" t="s">
        <v>1083</v>
      </c>
      <c r="F133" s="25"/>
      <c r="G133" s="2"/>
    </row>
    <row r="134" spans="1:7" ht="20.25" customHeight="1">
      <c r="A134" s="464"/>
      <c r="B134" s="464"/>
      <c r="C134" s="2" t="s">
        <v>1085</v>
      </c>
      <c r="D134" s="29" t="s">
        <v>713</v>
      </c>
      <c r="E134" s="25" t="s">
        <v>1083</v>
      </c>
      <c r="F134" s="25"/>
      <c r="G134" s="2"/>
    </row>
    <row r="135" spans="1:7" ht="20.25" customHeight="1">
      <c r="A135" s="464"/>
      <c r="B135" s="464"/>
      <c r="C135" s="2" t="s">
        <v>1086</v>
      </c>
      <c r="D135" s="29" t="s">
        <v>713</v>
      </c>
      <c r="E135" s="25" t="s">
        <v>1083</v>
      </c>
      <c r="F135" s="25"/>
      <c r="G135" s="2"/>
    </row>
    <row r="136" spans="1:7" ht="20.25" customHeight="1">
      <c r="A136" s="464"/>
      <c r="B136" s="464"/>
      <c r="C136" s="2" t="s">
        <v>1087</v>
      </c>
      <c r="D136" s="29" t="s">
        <v>713</v>
      </c>
      <c r="E136" s="25" t="s">
        <v>1083</v>
      </c>
      <c r="F136" s="25"/>
      <c r="G136" s="2"/>
    </row>
    <row r="137" spans="1:7" ht="20.25" customHeight="1">
      <c r="A137" s="464"/>
      <c r="B137" s="464"/>
      <c r="C137" s="2" t="s">
        <v>474</v>
      </c>
      <c r="D137" s="29" t="s">
        <v>567</v>
      </c>
      <c r="E137" s="25" t="s">
        <v>1088</v>
      </c>
      <c r="F137" s="25" t="s">
        <v>1089</v>
      </c>
      <c r="G137" s="2"/>
    </row>
    <row r="138" spans="1:7" ht="42.75" customHeight="1">
      <c r="A138" s="464"/>
      <c r="B138" s="464"/>
      <c r="C138" s="2" t="s">
        <v>389</v>
      </c>
      <c r="D138" s="29" t="s">
        <v>576</v>
      </c>
      <c r="E138" s="25" t="s">
        <v>577</v>
      </c>
      <c r="F138" s="25" t="s">
        <v>1090</v>
      </c>
      <c r="G138" s="25" t="s">
        <v>1091</v>
      </c>
    </row>
    <row r="139" spans="1:7" ht="47.25" customHeight="1">
      <c r="A139" s="464" t="s">
        <v>1092</v>
      </c>
      <c r="B139" s="464" t="s">
        <v>946</v>
      </c>
      <c r="C139" s="2" t="s">
        <v>474</v>
      </c>
      <c r="D139" s="29" t="s">
        <v>713</v>
      </c>
      <c r="E139" s="25" t="s">
        <v>1093</v>
      </c>
      <c r="F139" s="25" t="s">
        <v>1094</v>
      </c>
      <c r="G139" s="2"/>
    </row>
    <row r="140" spans="1:7" ht="20.25" customHeight="1">
      <c r="A140" s="464"/>
      <c r="B140" s="464"/>
      <c r="C140" s="2" t="s">
        <v>1095</v>
      </c>
      <c r="D140" s="29" t="s">
        <v>713</v>
      </c>
      <c r="E140" s="25" t="s">
        <v>1096</v>
      </c>
      <c r="F140" s="25" t="s">
        <v>1097</v>
      </c>
      <c r="G140" s="2"/>
    </row>
    <row r="141" spans="1:7" ht="20.25" customHeight="1">
      <c r="A141" s="464"/>
      <c r="B141" s="464"/>
      <c r="C141" s="2" t="s">
        <v>1098</v>
      </c>
      <c r="D141" s="29" t="s">
        <v>713</v>
      </c>
      <c r="E141" s="25" t="s">
        <v>1096</v>
      </c>
      <c r="F141" s="25" t="s">
        <v>1097</v>
      </c>
      <c r="G141" s="2"/>
    </row>
    <row r="142" spans="1:7" ht="20.25" customHeight="1">
      <c r="A142" s="464"/>
      <c r="B142" s="464"/>
      <c r="C142" s="2" t="s">
        <v>1099</v>
      </c>
      <c r="D142" s="29" t="s">
        <v>713</v>
      </c>
      <c r="E142" s="25" t="s">
        <v>1100</v>
      </c>
      <c r="F142" s="25" t="s">
        <v>1101</v>
      </c>
      <c r="G142" s="2"/>
    </row>
    <row r="143" spans="1:7" ht="20.25" customHeight="1">
      <c r="A143" s="464"/>
      <c r="B143" s="464"/>
      <c r="C143" s="2" t="s">
        <v>391</v>
      </c>
      <c r="D143" s="29" t="s">
        <v>829</v>
      </c>
      <c r="E143" s="25" t="s">
        <v>1102</v>
      </c>
      <c r="F143" s="25" t="s">
        <v>1103</v>
      </c>
      <c r="G143" s="2"/>
    </row>
    <row r="144" spans="1:7" ht="20.25" customHeight="1">
      <c r="A144" s="464"/>
      <c r="B144" s="464"/>
      <c r="C144" s="2" t="s">
        <v>947</v>
      </c>
      <c r="D144" s="29" t="s">
        <v>567</v>
      </c>
      <c r="E144" s="25" t="s">
        <v>1104</v>
      </c>
      <c r="F144" s="25" t="s">
        <v>1105</v>
      </c>
      <c r="G144" s="2"/>
    </row>
    <row r="145" spans="1:7" ht="66.75" customHeight="1">
      <c r="A145" s="464"/>
      <c r="B145" s="464"/>
      <c r="C145" s="2" t="s">
        <v>1095</v>
      </c>
      <c r="D145" s="29" t="s">
        <v>713</v>
      </c>
      <c r="E145" s="25" t="s">
        <v>1106</v>
      </c>
      <c r="F145" s="25" t="s">
        <v>1107</v>
      </c>
      <c r="G145" s="2"/>
    </row>
    <row r="146" spans="1:7" ht="30" customHeight="1">
      <c r="A146" s="464"/>
      <c r="B146" s="464"/>
      <c r="C146" s="2" t="s">
        <v>370</v>
      </c>
      <c r="D146" s="29" t="s">
        <v>576</v>
      </c>
      <c r="E146" s="25" t="s">
        <v>1108</v>
      </c>
      <c r="F146" s="25" t="s">
        <v>1109</v>
      </c>
      <c r="G146" s="78" t="s">
        <v>1110</v>
      </c>
    </row>
    <row r="147" spans="1:7" ht="35.25" customHeight="1">
      <c r="A147" s="464"/>
      <c r="B147" s="464"/>
      <c r="C147" s="2" t="s">
        <v>389</v>
      </c>
      <c r="D147" s="29" t="s">
        <v>576</v>
      </c>
      <c r="E147" s="25" t="s">
        <v>1111</v>
      </c>
      <c r="F147" s="25" t="s">
        <v>1112</v>
      </c>
      <c r="G147" s="2"/>
    </row>
    <row r="148" spans="1:7" ht="20.25" customHeight="1">
      <c r="A148" s="464"/>
      <c r="B148" s="464"/>
      <c r="C148" s="2" t="s">
        <v>1113</v>
      </c>
      <c r="D148" s="29" t="s">
        <v>713</v>
      </c>
      <c r="E148" s="25" t="s">
        <v>1100</v>
      </c>
      <c r="F148" s="25" t="s">
        <v>1101</v>
      </c>
      <c r="G148" s="2"/>
    </row>
    <row r="149" spans="1:7" ht="20.25" customHeight="1">
      <c r="A149" s="470" t="s">
        <v>1114</v>
      </c>
      <c r="B149" s="464" t="s">
        <v>946</v>
      </c>
      <c r="C149" s="2" t="s">
        <v>893</v>
      </c>
      <c r="D149" s="29" t="s">
        <v>775</v>
      </c>
      <c r="E149" s="25" t="s">
        <v>1115</v>
      </c>
      <c r="F149" s="25" t="s">
        <v>1116</v>
      </c>
      <c r="G149" s="2"/>
    </row>
    <row r="150" spans="1:7" ht="20.25" customHeight="1">
      <c r="A150" s="470"/>
      <c r="B150" s="464"/>
      <c r="C150" s="2" t="s">
        <v>1117</v>
      </c>
      <c r="D150" s="2" t="s">
        <v>567</v>
      </c>
      <c r="E150" s="25" t="s">
        <v>1118</v>
      </c>
      <c r="F150" s="25" t="s">
        <v>1119</v>
      </c>
      <c r="G150" s="2"/>
    </row>
    <row r="151" spans="1:7" ht="20.25" customHeight="1">
      <c r="A151" s="470"/>
      <c r="B151" s="464"/>
      <c r="C151" s="2" t="s">
        <v>1120</v>
      </c>
      <c r="D151" s="29" t="s">
        <v>713</v>
      </c>
      <c r="E151" s="25" t="s">
        <v>1121</v>
      </c>
      <c r="F151" s="25" t="s">
        <v>1122</v>
      </c>
      <c r="G151" s="114" t="s">
        <v>1123</v>
      </c>
    </row>
    <row r="152" spans="1:7" ht="20.25" customHeight="1">
      <c r="A152" s="470"/>
      <c r="B152" s="464"/>
      <c r="C152" s="2" t="s">
        <v>1124</v>
      </c>
      <c r="D152" s="29" t="s">
        <v>584</v>
      </c>
      <c r="E152" s="25" t="s">
        <v>1125</v>
      </c>
      <c r="F152" s="25" t="s">
        <v>1126</v>
      </c>
      <c r="G152" s="2"/>
    </row>
    <row r="153" spans="1:7" ht="20.25" customHeight="1">
      <c r="A153" s="470"/>
      <c r="B153" s="464"/>
      <c r="C153" s="2" t="s">
        <v>848</v>
      </c>
      <c r="D153" s="29" t="s">
        <v>567</v>
      </c>
      <c r="E153" s="25" t="s">
        <v>1118</v>
      </c>
      <c r="F153" s="25" t="s">
        <v>1127</v>
      </c>
      <c r="G153" s="2"/>
    </row>
    <row r="154" spans="1:7" ht="20.25" customHeight="1">
      <c r="A154" s="470"/>
      <c r="B154" s="464"/>
      <c r="C154" s="2" t="s">
        <v>335</v>
      </c>
      <c r="D154" s="29" t="s">
        <v>713</v>
      </c>
      <c r="E154" s="25" t="s">
        <v>1128</v>
      </c>
      <c r="F154" s="25"/>
      <c r="G154" s="114" t="s">
        <v>1123</v>
      </c>
    </row>
    <row r="155" spans="1:7" ht="20.25" customHeight="1">
      <c r="A155" s="470"/>
      <c r="B155" s="464"/>
      <c r="C155" s="2" t="s">
        <v>1095</v>
      </c>
      <c r="D155" s="29" t="s">
        <v>713</v>
      </c>
      <c r="E155" s="25" t="s">
        <v>1128</v>
      </c>
      <c r="F155" s="25"/>
      <c r="G155" s="114" t="s">
        <v>1123</v>
      </c>
    </row>
    <row r="156" spans="1:7" ht="20.25" customHeight="1">
      <c r="A156" s="470"/>
      <c r="B156" s="464"/>
      <c r="C156" s="2" t="s">
        <v>1129</v>
      </c>
      <c r="D156" s="29" t="s">
        <v>713</v>
      </c>
      <c r="E156" s="25" t="s">
        <v>1130</v>
      </c>
      <c r="F156" s="25" t="s">
        <v>1131</v>
      </c>
      <c r="G156" s="2"/>
    </row>
    <row r="157" spans="1:7" ht="20.25" customHeight="1">
      <c r="A157" s="470"/>
      <c r="B157" s="464"/>
      <c r="C157" s="2" t="s">
        <v>998</v>
      </c>
      <c r="D157" s="29" t="s">
        <v>713</v>
      </c>
      <c r="E157" s="25" t="s">
        <v>1130</v>
      </c>
      <c r="F157" s="25" t="s">
        <v>1131</v>
      </c>
      <c r="G157" s="2"/>
    </row>
    <row r="158" spans="1:7" ht="20.25" customHeight="1">
      <c r="A158" s="470"/>
      <c r="B158" s="464"/>
      <c r="C158" s="2" t="s">
        <v>341</v>
      </c>
      <c r="D158" s="29" t="s">
        <v>713</v>
      </c>
      <c r="E158" s="25" t="s">
        <v>1130</v>
      </c>
      <c r="F158" s="25" t="s">
        <v>1131</v>
      </c>
      <c r="G158" s="2"/>
    </row>
    <row r="159" spans="1:7" ht="20.25" customHeight="1">
      <c r="A159" s="470"/>
      <c r="B159" s="464"/>
      <c r="C159" s="2" t="s">
        <v>1059</v>
      </c>
      <c r="D159" s="29" t="s">
        <v>713</v>
      </c>
      <c r="E159" s="25" t="s">
        <v>1132</v>
      </c>
      <c r="F159" s="25" t="s">
        <v>1133</v>
      </c>
      <c r="G159" s="114" t="s">
        <v>1134</v>
      </c>
    </row>
    <row r="160" spans="1:7" ht="20.25" customHeight="1">
      <c r="A160" s="470"/>
      <c r="B160" s="464"/>
      <c r="C160" s="2" t="s">
        <v>1135</v>
      </c>
      <c r="D160" s="29" t="s">
        <v>713</v>
      </c>
      <c r="E160" s="25" t="s">
        <v>1136</v>
      </c>
      <c r="F160" s="25" t="s">
        <v>1137</v>
      </c>
      <c r="G160" s="2"/>
    </row>
    <row r="161" spans="1:7" ht="20.25" customHeight="1">
      <c r="A161" s="470"/>
      <c r="B161" s="464"/>
      <c r="C161" s="2" t="s">
        <v>998</v>
      </c>
      <c r="D161" s="29" t="s">
        <v>713</v>
      </c>
      <c r="E161" s="25" t="s">
        <v>1138</v>
      </c>
      <c r="F161" s="25" t="s">
        <v>1139</v>
      </c>
      <c r="G161" s="2"/>
    </row>
    <row r="162" spans="1:7" ht="20.25" customHeight="1">
      <c r="A162" s="470"/>
      <c r="B162" s="464"/>
      <c r="C162" s="2" t="s">
        <v>1129</v>
      </c>
      <c r="D162" s="29" t="s">
        <v>713</v>
      </c>
      <c r="E162" s="25" t="s">
        <v>1138</v>
      </c>
      <c r="F162" s="25" t="s">
        <v>1139</v>
      </c>
      <c r="G162" s="2"/>
    </row>
    <row r="163" spans="1:7" ht="20.25" customHeight="1">
      <c r="A163" s="470"/>
      <c r="B163" s="464"/>
      <c r="C163" s="2" t="s">
        <v>341</v>
      </c>
      <c r="D163" s="29" t="s">
        <v>713</v>
      </c>
      <c r="E163" s="25" t="s">
        <v>1138</v>
      </c>
      <c r="F163" s="25" t="s">
        <v>1139</v>
      </c>
      <c r="G163" s="2"/>
    </row>
    <row r="164" spans="1:7" ht="20.25" customHeight="1">
      <c r="A164" s="472" t="s">
        <v>1140</v>
      </c>
      <c r="B164" s="464" t="s">
        <v>946</v>
      </c>
      <c r="C164" s="2" t="s">
        <v>474</v>
      </c>
      <c r="D164" s="29" t="s">
        <v>713</v>
      </c>
      <c r="E164" s="25" t="s">
        <v>1141</v>
      </c>
      <c r="F164" s="25" t="s">
        <v>1142</v>
      </c>
      <c r="G164" s="2"/>
    </row>
    <row r="165" spans="1:7" ht="20.25" customHeight="1">
      <c r="A165" s="472"/>
      <c r="B165" s="464"/>
      <c r="C165" s="2" t="s">
        <v>1113</v>
      </c>
      <c r="D165" s="29" t="s">
        <v>713</v>
      </c>
      <c r="E165" s="25" t="s">
        <v>1143</v>
      </c>
      <c r="F165" s="25" t="s">
        <v>1144</v>
      </c>
      <c r="G165" s="2"/>
    </row>
    <row r="166" spans="1:7" ht="20.25" customHeight="1">
      <c r="A166" s="472"/>
      <c r="B166" s="464"/>
      <c r="C166" s="2" t="s">
        <v>295</v>
      </c>
      <c r="D166" s="29" t="s">
        <v>713</v>
      </c>
      <c r="E166" s="25" t="s">
        <v>1145</v>
      </c>
      <c r="F166" s="25" t="s">
        <v>1146</v>
      </c>
      <c r="G166" s="2"/>
    </row>
    <row r="167" spans="1:7" ht="20.25" customHeight="1">
      <c r="A167" s="472"/>
      <c r="B167" s="464"/>
      <c r="C167" s="2" t="s">
        <v>1117</v>
      </c>
      <c r="D167" s="29" t="s">
        <v>713</v>
      </c>
      <c r="E167" s="25" t="s">
        <v>1147</v>
      </c>
      <c r="F167" s="25" t="s">
        <v>1148</v>
      </c>
      <c r="G167" s="2"/>
    </row>
    <row r="168" spans="1:7" ht="20.25" customHeight="1">
      <c r="A168" s="472"/>
      <c r="B168" s="464"/>
      <c r="C168" s="2" t="s">
        <v>1149</v>
      </c>
      <c r="D168" s="29" t="s">
        <v>713</v>
      </c>
      <c r="E168" s="25" t="s">
        <v>1150</v>
      </c>
      <c r="F168" s="25" t="s">
        <v>1151</v>
      </c>
      <c r="G168" s="2"/>
    </row>
    <row r="169" spans="1:7" ht="20.25" customHeight="1">
      <c r="A169" s="472"/>
      <c r="B169" s="464"/>
      <c r="C169" s="2" t="s">
        <v>369</v>
      </c>
      <c r="D169" s="29" t="s">
        <v>713</v>
      </c>
      <c r="E169" s="25" t="s">
        <v>1152</v>
      </c>
      <c r="F169" s="25" t="s">
        <v>1153</v>
      </c>
      <c r="G169" s="2"/>
    </row>
    <row r="170" spans="1:7" ht="20.25" customHeight="1">
      <c r="A170" s="472"/>
      <c r="B170" s="464"/>
      <c r="C170" s="2" t="s">
        <v>1086</v>
      </c>
      <c r="D170" s="29" t="s">
        <v>713</v>
      </c>
      <c r="E170" s="25" t="s">
        <v>1154</v>
      </c>
      <c r="F170" s="25" t="s">
        <v>1155</v>
      </c>
      <c r="G170" s="2"/>
    </row>
    <row r="171" spans="1:7" ht="20.25" customHeight="1">
      <c r="A171" s="472"/>
      <c r="B171" s="464"/>
      <c r="C171" s="2" t="s">
        <v>363</v>
      </c>
      <c r="D171" s="29" t="s">
        <v>713</v>
      </c>
      <c r="E171" s="25" t="s">
        <v>1156</v>
      </c>
      <c r="F171" s="25" t="s">
        <v>1157</v>
      </c>
      <c r="G171" s="2"/>
    </row>
    <row r="172" spans="1:7" ht="20.25" customHeight="1">
      <c r="A172" s="472"/>
      <c r="B172" s="464"/>
      <c r="C172" s="2" t="s">
        <v>893</v>
      </c>
      <c r="D172" s="29" t="s">
        <v>713</v>
      </c>
      <c r="E172" s="25" t="s">
        <v>1158</v>
      </c>
      <c r="F172" s="25" t="s">
        <v>1159</v>
      </c>
      <c r="G172" s="2"/>
    </row>
    <row r="173" spans="1:7" ht="46.5" customHeight="1">
      <c r="A173" s="472"/>
      <c r="B173" s="464"/>
      <c r="C173" s="2" t="s">
        <v>388</v>
      </c>
      <c r="D173" s="29" t="s">
        <v>576</v>
      </c>
      <c r="E173" s="25" t="s">
        <v>1160</v>
      </c>
      <c r="F173" s="25" t="s">
        <v>1161</v>
      </c>
      <c r="G173" s="25" t="s">
        <v>1162</v>
      </c>
    </row>
    <row r="174" spans="1:7" ht="20.25" customHeight="1">
      <c r="A174" s="472"/>
      <c r="B174" s="464"/>
      <c r="C174" s="2" t="s">
        <v>1163</v>
      </c>
      <c r="D174" s="29" t="s">
        <v>713</v>
      </c>
      <c r="E174" s="25" t="s">
        <v>1164</v>
      </c>
      <c r="F174" s="25" t="s">
        <v>1165</v>
      </c>
      <c r="G174" s="2"/>
    </row>
    <row r="175" spans="1:7" ht="20.25" customHeight="1">
      <c r="A175" s="472"/>
      <c r="B175" s="464"/>
      <c r="C175" s="2" t="s">
        <v>1084</v>
      </c>
      <c r="D175" s="29" t="s">
        <v>713</v>
      </c>
      <c r="E175" s="25" t="s">
        <v>1166</v>
      </c>
      <c r="F175" s="25" t="s">
        <v>1167</v>
      </c>
      <c r="G175" s="2" t="s">
        <v>1168</v>
      </c>
    </row>
    <row r="176" spans="1:7" ht="20.25" customHeight="1">
      <c r="A176" s="472"/>
      <c r="B176" s="464"/>
      <c r="C176" s="2" t="s">
        <v>1087</v>
      </c>
      <c r="D176" s="29" t="s">
        <v>713</v>
      </c>
      <c r="E176" s="25" t="s">
        <v>1169</v>
      </c>
      <c r="F176" s="25" t="s">
        <v>1170</v>
      </c>
      <c r="G176" s="2"/>
    </row>
    <row r="177" spans="1:7" ht="20.25" customHeight="1">
      <c r="A177" s="472"/>
      <c r="B177" s="464"/>
      <c r="C177" s="2" t="s">
        <v>328</v>
      </c>
      <c r="D177" s="29" t="s">
        <v>713</v>
      </c>
      <c r="E177" s="25" t="s">
        <v>1079</v>
      </c>
      <c r="F177" s="25" t="s">
        <v>1171</v>
      </c>
      <c r="G177" s="2"/>
    </row>
    <row r="178" spans="1:7" ht="20.25" customHeight="1">
      <c r="A178" s="472"/>
      <c r="B178" s="464"/>
      <c r="C178" s="2" t="s">
        <v>1009</v>
      </c>
      <c r="D178" s="29" t="s">
        <v>713</v>
      </c>
      <c r="E178" s="25" t="s">
        <v>1079</v>
      </c>
      <c r="F178" s="25"/>
      <c r="G178" s="2"/>
    </row>
    <row r="179" spans="1:7" ht="20.25" customHeight="1">
      <c r="A179" s="472"/>
      <c r="B179" s="464"/>
      <c r="C179" s="2" t="s">
        <v>390</v>
      </c>
      <c r="D179" s="29" t="s">
        <v>584</v>
      </c>
      <c r="E179" s="25" t="s">
        <v>1172</v>
      </c>
      <c r="F179" s="25" t="s">
        <v>1173</v>
      </c>
      <c r="G179" s="2"/>
    </row>
    <row r="180" spans="1:7" ht="20.25" customHeight="1">
      <c r="A180" s="472"/>
      <c r="B180" s="464"/>
      <c r="C180" s="2" t="s">
        <v>370</v>
      </c>
      <c r="D180" s="29" t="s">
        <v>576</v>
      </c>
      <c r="E180" s="25" t="s">
        <v>1174</v>
      </c>
      <c r="F180" s="25" t="s">
        <v>1175</v>
      </c>
      <c r="G180" s="2"/>
    </row>
    <row r="181" spans="1:7" ht="20.25" customHeight="1">
      <c r="A181" s="472"/>
      <c r="B181" s="464"/>
      <c r="C181" s="2" t="s">
        <v>1095</v>
      </c>
      <c r="D181" s="29" t="s">
        <v>713</v>
      </c>
      <c r="E181" s="25" t="s">
        <v>1079</v>
      </c>
      <c r="F181" s="25" t="s">
        <v>1176</v>
      </c>
      <c r="G181" s="2"/>
    </row>
    <row r="182" spans="1:7" ht="20.25" customHeight="1">
      <c r="A182" s="467" t="s">
        <v>1177</v>
      </c>
      <c r="B182" s="468" t="s">
        <v>946</v>
      </c>
      <c r="C182" s="2" t="s">
        <v>893</v>
      </c>
      <c r="D182" s="2"/>
      <c r="E182" s="25"/>
      <c r="F182" s="25"/>
      <c r="G182" s="2"/>
    </row>
    <row r="183" spans="1:7" ht="20.25" customHeight="1">
      <c r="A183" s="467"/>
      <c r="B183" s="468"/>
      <c r="C183" s="2" t="s">
        <v>1087</v>
      </c>
      <c r="D183" s="2"/>
      <c r="E183" s="25"/>
      <c r="F183" s="25"/>
      <c r="G183" s="2"/>
    </row>
    <row r="184" spans="1:7" ht="20.25" customHeight="1">
      <c r="A184" s="467"/>
      <c r="B184" s="468"/>
      <c r="C184" s="2" t="s">
        <v>1084</v>
      </c>
      <c r="D184" s="29" t="s">
        <v>713</v>
      </c>
      <c r="E184" s="25" t="s">
        <v>1079</v>
      </c>
      <c r="F184" s="25" t="s">
        <v>1178</v>
      </c>
      <c r="G184" s="2" t="s">
        <v>1179</v>
      </c>
    </row>
    <row r="185" spans="1:7" ht="20.25" customHeight="1">
      <c r="A185" s="467"/>
      <c r="B185" s="468"/>
      <c r="C185" s="2" t="s">
        <v>328</v>
      </c>
      <c r="D185" s="29" t="s">
        <v>713</v>
      </c>
      <c r="E185" s="25" t="s">
        <v>1180</v>
      </c>
      <c r="F185" s="25" t="s">
        <v>1181</v>
      </c>
      <c r="G185" s="2"/>
    </row>
    <row r="186" spans="1:7" ht="20.25" customHeight="1">
      <c r="A186" s="467"/>
      <c r="B186" s="468"/>
      <c r="C186" s="2" t="s">
        <v>295</v>
      </c>
      <c r="D186" s="29" t="s">
        <v>713</v>
      </c>
      <c r="E186" s="25" t="s">
        <v>1182</v>
      </c>
      <c r="F186" s="25" t="s">
        <v>1183</v>
      </c>
      <c r="G186" s="2"/>
    </row>
    <row r="187" spans="1:7" ht="20.25" customHeight="1">
      <c r="A187" s="467"/>
      <c r="B187" s="468"/>
      <c r="C187" s="2" t="s">
        <v>341</v>
      </c>
      <c r="D187" s="29" t="s">
        <v>713</v>
      </c>
      <c r="E187" s="25" t="s">
        <v>1079</v>
      </c>
      <c r="F187" s="25" t="s">
        <v>1184</v>
      </c>
      <c r="G187" s="2"/>
    </row>
    <row r="188" spans="1:7" ht="20.25" customHeight="1">
      <c r="A188" s="467"/>
      <c r="B188" s="468"/>
      <c r="C188" s="2" t="s">
        <v>1009</v>
      </c>
      <c r="D188" s="29" t="s">
        <v>713</v>
      </c>
      <c r="E188" s="25" t="s">
        <v>1079</v>
      </c>
      <c r="F188" s="25" t="s">
        <v>1184</v>
      </c>
      <c r="G188" s="2"/>
    </row>
    <row r="189" spans="1:7" ht="20.25" customHeight="1">
      <c r="A189" s="467" t="s">
        <v>1185</v>
      </c>
      <c r="B189" s="468" t="s">
        <v>298</v>
      </c>
      <c r="C189" s="2" t="s">
        <v>341</v>
      </c>
      <c r="D189" s="29" t="s">
        <v>713</v>
      </c>
      <c r="E189" s="25" t="s">
        <v>1186</v>
      </c>
      <c r="F189" s="25" t="s">
        <v>1187</v>
      </c>
      <c r="G189" s="2"/>
    </row>
    <row r="190" spans="1:7" ht="20.25" customHeight="1">
      <c r="A190" s="467"/>
      <c r="B190" s="468"/>
      <c r="C190" s="2" t="s">
        <v>370</v>
      </c>
      <c r="D190" s="29" t="s">
        <v>576</v>
      </c>
      <c r="E190" s="25" t="s">
        <v>1188</v>
      </c>
      <c r="F190" s="25" t="s">
        <v>1189</v>
      </c>
      <c r="G190" s="2" t="s">
        <v>1190</v>
      </c>
    </row>
    <row r="191" spans="1:7" ht="36" customHeight="1">
      <c r="A191" s="467"/>
      <c r="B191" s="468"/>
      <c r="C191" s="2" t="s">
        <v>391</v>
      </c>
      <c r="D191" s="29" t="s">
        <v>775</v>
      </c>
      <c r="E191" s="2" t="s">
        <v>1191</v>
      </c>
      <c r="F191" s="365" t="s">
        <v>1192</v>
      </c>
    </row>
    <row r="192" spans="1:7" ht="20.25" customHeight="1">
      <c r="A192" s="467"/>
      <c r="B192" s="468"/>
      <c r="C192" s="2" t="s">
        <v>369</v>
      </c>
      <c r="D192" s="29" t="s">
        <v>775</v>
      </c>
      <c r="E192" s="2" t="s">
        <v>1191</v>
      </c>
      <c r="F192" s="364" t="s">
        <v>1193</v>
      </c>
      <c r="G192" s="364" t="s">
        <v>1194</v>
      </c>
    </row>
    <row r="193" spans="1:6" ht="20.25" customHeight="1">
      <c r="A193" s="467"/>
      <c r="B193" s="468"/>
      <c r="C193" s="2" t="s">
        <v>1095</v>
      </c>
      <c r="D193" s="29" t="s">
        <v>713</v>
      </c>
      <c r="E193" s="2" t="s">
        <v>1195</v>
      </c>
      <c r="F193" s="2" t="s">
        <v>1196</v>
      </c>
    </row>
    <row r="194" spans="1:6" ht="20.25" customHeight="1">
      <c r="A194" s="467"/>
      <c r="B194" s="468"/>
      <c r="C194" s="2" t="s">
        <v>335</v>
      </c>
      <c r="D194" s="29" t="s">
        <v>713</v>
      </c>
      <c r="E194" s="2" t="s">
        <v>1195</v>
      </c>
      <c r="F194" s="2" t="s">
        <v>1196</v>
      </c>
    </row>
    <row r="195" spans="1:6" ht="20.25" customHeight="1">
      <c r="A195" s="467"/>
      <c r="B195" s="468"/>
      <c r="C195" s="2" t="s">
        <v>295</v>
      </c>
      <c r="D195" s="29" t="s">
        <v>713</v>
      </c>
      <c r="E195" s="25" t="s">
        <v>1197</v>
      </c>
      <c r="F195" s="25" t="s">
        <v>1198</v>
      </c>
    </row>
    <row r="196" spans="1:6" ht="20.25" customHeight="1">
      <c r="A196" s="467"/>
      <c r="B196" s="468"/>
      <c r="C196" s="2" t="s">
        <v>328</v>
      </c>
      <c r="D196" s="29" t="s">
        <v>713</v>
      </c>
      <c r="E196" s="25" t="s">
        <v>1186</v>
      </c>
      <c r="F196" s="2" t="s">
        <v>1158</v>
      </c>
    </row>
    <row r="197" spans="1:6" ht="20.25" customHeight="1">
      <c r="A197" s="467"/>
      <c r="B197" s="468"/>
      <c r="C197" s="2" t="s">
        <v>1199</v>
      </c>
      <c r="D197" s="29" t="s">
        <v>713</v>
      </c>
      <c r="E197" s="25" t="s">
        <v>1186</v>
      </c>
      <c r="F197" s="2" t="s">
        <v>1158</v>
      </c>
    </row>
    <row r="198" spans="1:6" ht="20.25" customHeight="1">
      <c r="A198" s="467" t="s">
        <v>1200</v>
      </c>
      <c r="B198" s="468" t="s">
        <v>298</v>
      </c>
      <c r="C198" s="2" t="s">
        <v>1201</v>
      </c>
      <c r="D198" s="29" t="s">
        <v>829</v>
      </c>
      <c r="E198" s="2" t="s">
        <v>1202</v>
      </c>
      <c r="F198" s="2" t="s">
        <v>1203</v>
      </c>
    </row>
    <row r="199" spans="1:6" ht="20.25" customHeight="1">
      <c r="A199" s="467"/>
      <c r="B199" s="468"/>
      <c r="C199" s="2" t="s">
        <v>369</v>
      </c>
      <c r="D199" s="29" t="s">
        <v>567</v>
      </c>
      <c r="E199" s="2" t="s">
        <v>1204</v>
      </c>
      <c r="F199" s="2" t="s">
        <v>1205</v>
      </c>
    </row>
    <row r="200" spans="1:6" ht="20.25" customHeight="1">
      <c r="A200" s="467"/>
      <c r="B200" s="468"/>
      <c r="C200" s="2" t="s">
        <v>1206</v>
      </c>
      <c r="D200" s="29" t="s">
        <v>713</v>
      </c>
      <c r="E200" s="2" t="s">
        <v>1207</v>
      </c>
      <c r="F200" s="2" t="s">
        <v>1208</v>
      </c>
    </row>
    <row r="201" spans="1:6" ht="20.25" customHeight="1">
      <c r="A201" s="467"/>
      <c r="B201" s="468"/>
      <c r="C201" s="2" t="s">
        <v>369</v>
      </c>
      <c r="D201" s="29" t="s">
        <v>567</v>
      </c>
      <c r="E201" s="2" t="s">
        <v>1209</v>
      </c>
      <c r="F201" s="2" t="s">
        <v>880</v>
      </c>
    </row>
    <row r="202" spans="1:6" ht="20.25" customHeight="1">
      <c r="A202" s="467"/>
      <c r="B202" s="468"/>
      <c r="C202" s="2" t="s">
        <v>335</v>
      </c>
      <c r="D202" s="29" t="s">
        <v>713</v>
      </c>
      <c r="E202" s="2" t="s">
        <v>1210</v>
      </c>
      <c r="F202" s="2" t="s">
        <v>1211</v>
      </c>
    </row>
    <row r="203" spans="1:6" ht="38.25" customHeight="1">
      <c r="A203" s="467"/>
      <c r="B203" s="468"/>
      <c r="C203" s="2" t="s">
        <v>1212</v>
      </c>
      <c r="D203" s="29" t="s">
        <v>567</v>
      </c>
      <c r="E203" s="25" t="s">
        <v>1213</v>
      </c>
      <c r="F203" s="2" t="s">
        <v>1214</v>
      </c>
    </row>
    <row r="204" spans="1:6" ht="20.25" customHeight="1">
      <c r="A204" s="467"/>
      <c r="B204" s="468"/>
      <c r="C204" s="2" t="s">
        <v>1215</v>
      </c>
      <c r="D204" s="29" t="s">
        <v>713</v>
      </c>
      <c r="E204" s="2" t="s">
        <v>1216</v>
      </c>
      <c r="F204" s="2" t="s">
        <v>1217</v>
      </c>
    </row>
  </sheetData>
  <mergeCells count="35">
    <mergeCell ref="A5:A7"/>
    <mergeCell ref="A8:A12"/>
    <mergeCell ref="B13:B24"/>
    <mergeCell ref="A13:A24"/>
    <mergeCell ref="A58:A70"/>
    <mergeCell ref="B58:B70"/>
    <mergeCell ref="A44:A57"/>
    <mergeCell ref="B44:B57"/>
    <mergeCell ref="A25:A43"/>
    <mergeCell ref="B25:B43"/>
    <mergeCell ref="A103:A110"/>
    <mergeCell ref="A71:A81"/>
    <mergeCell ref="A182:A188"/>
    <mergeCell ref="B182:B188"/>
    <mergeCell ref="A189:A197"/>
    <mergeCell ref="A82:A96"/>
    <mergeCell ref="A111:A127"/>
    <mergeCell ref="B111:B127"/>
    <mergeCell ref="B164:B181"/>
    <mergeCell ref="A164:A181"/>
    <mergeCell ref="B189:B197"/>
    <mergeCell ref="B71:B81"/>
    <mergeCell ref="A97:A102"/>
    <mergeCell ref="B82:B96"/>
    <mergeCell ref="B97:B110"/>
    <mergeCell ref="A198:A204"/>
    <mergeCell ref="B198:B204"/>
    <mergeCell ref="F111:F116"/>
    <mergeCell ref="E111:E116"/>
    <mergeCell ref="A128:A138"/>
    <mergeCell ref="B128:B138"/>
    <mergeCell ref="A149:A163"/>
    <mergeCell ref="B149:B163"/>
    <mergeCell ref="A139:A148"/>
    <mergeCell ref="B139:B148"/>
  </mergeCells>
  <phoneticPr fontId="3" type="noConversion"/>
  <conditionalFormatting sqref="C86:C94">
    <cfRule type="duplicateValues" dxfId="70" priority="1"/>
  </conditionalFormatting>
  <dataValidations count="2">
    <dataValidation type="list" allowBlank="1" showInputMessage="1" showErrorMessage="1" sqref="D3:D126 D128:D149 D151:D181 D184:D204"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1218</v>
      </c>
      <c r="B1" s="75" t="s">
        <v>1219</v>
      </c>
      <c r="C1" s="75" t="s">
        <v>1220</v>
      </c>
      <c r="D1" s="75" t="s">
        <v>1221</v>
      </c>
    </row>
    <row r="2" spans="1:4" ht="24.75" customHeight="1">
      <c r="A2" s="75" t="s">
        <v>1222</v>
      </c>
      <c r="B2" s="75">
        <v>2023</v>
      </c>
      <c r="C2" s="483" t="s">
        <v>1223</v>
      </c>
      <c r="D2" s="76"/>
    </row>
    <row r="3" spans="1:4" ht="24.75" customHeight="1">
      <c r="A3" s="75" t="s">
        <v>1224</v>
      </c>
      <c r="B3" s="75">
        <v>2024</v>
      </c>
      <c r="C3" s="484"/>
      <c r="D3" s="76"/>
    </row>
    <row r="4" spans="1:4" ht="24.75" customHeight="1">
      <c r="A4" s="75" t="s">
        <v>1224</v>
      </c>
      <c r="B4" s="75">
        <v>2025</v>
      </c>
      <c r="C4" s="484"/>
      <c r="D4" s="76" t="s">
        <v>1225</v>
      </c>
    </row>
    <row r="5" spans="1:4" ht="24.75" customHeight="1">
      <c r="A5" s="75" t="s">
        <v>1226</v>
      </c>
      <c r="B5" s="75">
        <v>2025</v>
      </c>
      <c r="C5" s="484"/>
      <c r="D5" s="76" t="s">
        <v>1227</v>
      </c>
    </row>
    <row r="6" spans="1:4" ht="24.75" customHeight="1">
      <c r="A6" s="75" t="s">
        <v>1228</v>
      </c>
      <c r="B6" s="75">
        <v>2026</v>
      </c>
      <c r="C6" s="485"/>
      <c r="D6" s="76" t="s">
        <v>1227</v>
      </c>
    </row>
    <row r="7" spans="1:4" ht="24.75" customHeight="1">
      <c r="A7" s="75" t="s">
        <v>1229</v>
      </c>
      <c r="B7" s="75">
        <v>2022</v>
      </c>
      <c r="C7" s="482" t="s">
        <v>1230</v>
      </c>
      <c r="D7" s="76"/>
    </row>
    <row r="8" spans="1:4" ht="24.75" customHeight="1">
      <c r="A8" s="75" t="s">
        <v>1231</v>
      </c>
      <c r="B8" s="75">
        <v>2025</v>
      </c>
      <c r="C8" s="482"/>
      <c r="D8" s="76"/>
    </row>
    <row r="9" spans="1:4" ht="24.75" customHeight="1">
      <c r="A9" s="110" t="s">
        <v>1232</v>
      </c>
      <c r="B9" s="110">
        <v>2025</v>
      </c>
      <c r="C9" s="110" t="s">
        <v>1233</v>
      </c>
      <c r="D9" s="112"/>
    </row>
    <row r="10" spans="1:4" ht="24.75" customHeight="1">
      <c r="A10" s="111" t="s">
        <v>1234</v>
      </c>
      <c r="B10" s="111">
        <v>2025</v>
      </c>
      <c r="C10" s="111" t="s">
        <v>370</v>
      </c>
      <c r="D10" s="111"/>
    </row>
  </sheetData>
  <mergeCells count="2">
    <mergeCell ref="C7:C8"/>
    <mergeCell ref="C2:C6"/>
  </mergeCells>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AJ457"/>
  <sheetViews>
    <sheetView zoomScale="78" zoomScaleNormal="78" workbookViewId="0">
      <pane xSplit="6" ySplit="2" topLeftCell="G3" activePane="bottomRight" state="frozen"/>
      <selection pane="bottomRight" activeCell="G11" sqref="G11"/>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6"/>
      <c r="B1" s="264" t="s">
        <v>1235</v>
      </c>
      <c r="C1" s="264"/>
      <c r="D1" s="264"/>
      <c r="E1" s="264"/>
      <c r="F1" s="265"/>
      <c r="G1" s="266"/>
      <c r="H1" s="264"/>
      <c r="I1" s="264"/>
      <c r="J1" s="264"/>
      <c r="K1" s="266"/>
      <c r="L1" s="264"/>
      <c r="M1" s="266"/>
      <c r="N1" s="264"/>
      <c r="O1" s="266"/>
      <c r="P1" s="266"/>
      <c r="Q1" s="264"/>
      <c r="R1" s="264"/>
      <c r="S1" s="264"/>
      <c r="T1" s="264"/>
      <c r="U1" s="264"/>
      <c r="V1" s="266"/>
      <c r="W1" s="264"/>
      <c r="X1" s="266"/>
      <c r="Y1" s="266"/>
      <c r="Z1" s="266"/>
      <c r="AA1" s="267"/>
      <c r="AB1" s="486"/>
      <c r="AC1" s="486"/>
      <c r="AD1" s="486"/>
      <c r="AE1" s="486"/>
      <c r="AF1" s="486"/>
      <c r="AG1" s="486"/>
      <c r="AH1" s="486"/>
      <c r="AI1" s="486"/>
      <c r="AJ1" s="487"/>
    </row>
    <row r="2" spans="1:36" ht="24.75" customHeight="1">
      <c r="A2" s="116" t="s">
        <v>1236</v>
      </c>
      <c r="B2" s="268" t="s">
        <v>231</v>
      </c>
      <c r="C2" s="268" t="s">
        <v>1237</v>
      </c>
      <c r="D2" s="268" t="s">
        <v>1238</v>
      </c>
      <c r="E2" s="268" t="s">
        <v>1239</v>
      </c>
      <c r="F2" s="269" t="s">
        <v>1240</v>
      </c>
      <c r="G2" s="269" t="s">
        <v>1241</v>
      </c>
      <c r="H2" s="268" t="s">
        <v>1242</v>
      </c>
      <c r="I2" s="268" t="s">
        <v>1243</v>
      </c>
      <c r="J2" s="268" t="s">
        <v>1244</v>
      </c>
      <c r="K2" s="269" t="s">
        <v>1245</v>
      </c>
      <c r="L2" s="268" t="s">
        <v>1246</v>
      </c>
      <c r="M2" s="269" t="s">
        <v>1247</v>
      </c>
      <c r="N2" s="268" t="s">
        <v>1248</v>
      </c>
      <c r="O2" s="269" t="s">
        <v>1249</v>
      </c>
      <c r="P2" s="269" t="s">
        <v>1250</v>
      </c>
      <c r="Q2" s="269" t="s">
        <v>1251</v>
      </c>
      <c r="R2" s="269" t="s">
        <v>238</v>
      </c>
      <c r="S2" s="269" t="s">
        <v>1252</v>
      </c>
      <c r="T2" s="269" t="s">
        <v>1253</v>
      </c>
      <c r="U2" s="269" t="s">
        <v>1254</v>
      </c>
      <c r="V2" s="269" t="s">
        <v>1255</v>
      </c>
      <c r="W2" s="268" t="s">
        <v>1256</v>
      </c>
      <c r="X2" s="269" t="s">
        <v>1257</v>
      </c>
      <c r="Y2" s="269" t="s">
        <v>1258</v>
      </c>
      <c r="Z2" s="269" t="s">
        <v>1259</v>
      </c>
      <c r="AA2" s="270" t="s">
        <v>1260</v>
      </c>
      <c r="AB2" s="271" t="s">
        <v>1261</v>
      </c>
      <c r="AC2" s="271" t="s">
        <v>1262</v>
      </c>
      <c r="AD2" s="271" t="s">
        <v>1263</v>
      </c>
      <c r="AE2" s="271" t="s">
        <v>1264</v>
      </c>
      <c r="AF2" s="271" t="s">
        <v>1265</v>
      </c>
      <c r="AG2" s="271" t="s">
        <v>1266</v>
      </c>
      <c r="AH2" s="271" t="s">
        <v>1267</v>
      </c>
      <c r="AI2" s="272" t="s">
        <v>1268</v>
      </c>
      <c r="AJ2" s="273" t="s">
        <v>1269</v>
      </c>
    </row>
    <row r="3" spans="1:36" s="2" customFormat="1" ht="24.75" customHeight="1">
      <c r="A3" s="116"/>
      <c r="B3" s="117" t="s">
        <v>1270</v>
      </c>
      <c r="C3" s="117" t="s">
        <v>1271</v>
      </c>
      <c r="D3" s="117">
        <v>1500</v>
      </c>
      <c r="E3" s="117" t="s">
        <v>1272</v>
      </c>
      <c r="F3" s="118" t="s">
        <v>384</v>
      </c>
      <c r="G3" s="118" t="s">
        <v>1273</v>
      </c>
      <c r="H3" s="117" t="s">
        <v>298</v>
      </c>
      <c r="I3" s="117"/>
      <c r="J3" s="117" t="s">
        <v>282</v>
      </c>
      <c r="K3" s="123" t="s">
        <v>1274</v>
      </c>
      <c r="L3" s="117" t="s">
        <v>1275</v>
      </c>
      <c r="M3" s="123" t="s">
        <v>261</v>
      </c>
      <c r="N3" s="117" t="s">
        <v>1276</v>
      </c>
      <c r="O3" s="118" t="s">
        <v>1277</v>
      </c>
      <c r="P3" s="118" t="s">
        <v>1278</v>
      </c>
      <c r="Q3" s="117"/>
      <c r="R3" s="117"/>
      <c r="S3" s="117"/>
      <c r="T3" s="117"/>
      <c r="U3" s="117"/>
      <c r="V3" s="127"/>
      <c r="W3" s="119"/>
      <c r="X3" s="128"/>
      <c r="Y3" s="128"/>
      <c r="Z3" s="118" t="s">
        <v>1279</v>
      </c>
      <c r="AA3" s="118" t="s">
        <v>1280</v>
      </c>
      <c r="AB3" s="117"/>
      <c r="AC3" s="117"/>
      <c r="AD3" s="122"/>
      <c r="AE3" s="122"/>
      <c r="AF3" s="122" t="s">
        <v>1281</v>
      </c>
      <c r="AG3" s="122">
        <v>5</v>
      </c>
      <c r="AH3" s="122"/>
      <c r="AI3" s="122">
        <v>0</v>
      </c>
      <c r="AJ3" s="122"/>
    </row>
    <row r="4" spans="1:36" s="2" customFormat="1" ht="24.75" customHeight="1">
      <c r="A4" s="116"/>
      <c r="B4" s="117" t="s">
        <v>1270</v>
      </c>
      <c r="C4" s="117" t="s">
        <v>1271</v>
      </c>
      <c r="D4" s="117">
        <v>1000</v>
      </c>
      <c r="E4" s="117" t="s">
        <v>1272</v>
      </c>
      <c r="F4" s="118" t="s">
        <v>368</v>
      </c>
      <c r="G4" s="118" t="s">
        <v>1282</v>
      </c>
      <c r="H4" s="117" t="s">
        <v>424</v>
      </c>
      <c r="I4" s="117" t="s">
        <v>1283</v>
      </c>
      <c r="J4" s="117" t="s">
        <v>1284</v>
      </c>
      <c r="K4" s="123" t="s">
        <v>1275</v>
      </c>
      <c r="L4" s="117" t="s">
        <v>1275</v>
      </c>
      <c r="M4" s="123" t="s">
        <v>1284</v>
      </c>
      <c r="N4" s="117" t="s">
        <v>1276</v>
      </c>
      <c r="O4" s="118" t="s">
        <v>1285</v>
      </c>
      <c r="P4" s="118" t="s">
        <v>1286</v>
      </c>
      <c r="Q4" s="117"/>
      <c r="R4" s="117"/>
      <c r="S4" s="117" t="s">
        <v>1270</v>
      </c>
      <c r="T4" s="117"/>
      <c r="U4" s="117"/>
      <c r="V4" s="123" t="s">
        <v>1287</v>
      </c>
      <c r="W4" s="117"/>
      <c r="X4" s="144" t="s">
        <v>1288</v>
      </c>
      <c r="Y4" s="128"/>
      <c r="Z4" s="128" t="s">
        <v>1289</v>
      </c>
      <c r="AA4" s="124" t="s">
        <v>1290</v>
      </c>
      <c r="AB4" s="122"/>
      <c r="AC4" s="122"/>
      <c r="AD4" s="122"/>
      <c r="AE4" s="122"/>
      <c r="AF4" s="122"/>
      <c r="AG4" s="122"/>
      <c r="AH4" s="122"/>
      <c r="AI4" s="122"/>
      <c r="AJ4" s="122"/>
    </row>
    <row r="5" spans="1:36" ht="24.75" customHeight="1">
      <c r="A5" s="116"/>
      <c r="B5" s="117" t="s">
        <v>1270</v>
      </c>
      <c r="C5" s="117" t="s">
        <v>1291</v>
      </c>
      <c r="D5" s="117"/>
      <c r="E5" s="117" t="s">
        <v>1272</v>
      </c>
      <c r="F5" s="128" t="s">
        <v>385</v>
      </c>
      <c r="G5" s="118" t="s">
        <v>1292</v>
      </c>
      <c r="H5" s="117" t="s">
        <v>298</v>
      </c>
      <c r="I5" s="117"/>
      <c r="J5" s="117" t="s">
        <v>269</v>
      </c>
      <c r="K5" s="123" t="s">
        <v>1274</v>
      </c>
      <c r="L5" s="117" t="s">
        <v>269</v>
      </c>
      <c r="M5" s="123" t="s">
        <v>1293</v>
      </c>
      <c r="N5" s="117" t="s">
        <v>1294</v>
      </c>
      <c r="O5" s="118" t="s">
        <v>1295</v>
      </c>
      <c r="P5" s="118" t="s">
        <v>1296</v>
      </c>
      <c r="Q5" s="117"/>
      <c r="R5" s="117"/>
      <c r="S5" s="117" t="s">
        <v>1270</v>
      </c>
      <c r="T5" s="117"/>
      <c r="U5" s="117"/>
      <c r="V5" s="167" t="s">
        <v>1297</v>
      </c>
      <c r="W5" s="125"/>
      <c r="X5" s="128" t="s">
        <v>1298</v>
      </c>
      <c r="Y5" s="128"/>
      <c r="Z5" s="128" t="s">
        <v>385</v>
      </c>
      <c r="AA5" s="126" t="s">
        <v>1299</v>
      </c>
      <c r="AB5" s="117" t="s">
        <v>1300</v>
      </c>
      <c r="AC5" s="117" t="s">
        <v>1301</v>
      </c>
      <c r="AD5" s="117" t="s">
        <v>1300</v>
      </c>
      <c r="AE5" s="117" t="s">
        <v>1300</v>
      </c>
      <c r="AF5" s="122" t="s">
        <v>1302</v>
      </c>
      <c r="AG5" s="122">
        <v>5</v>
      </c>
      <c r="AH5" s="122"/>
      <c r="AI5" s="122"/>
      <c r="AJ5" s="122" t="s">
        <v>1303</v>
      </c>
    </row>
    <row r="6" spans="1:36" ht="24.75" customHeight="1">
      <c r="A6" s="116"/>
      <c r="B6" s="117" t="s">
        <v>1270</v>
      </c>
      <c r="C6" s="117" t="s">
        <v>1271</v>
      </c>
      <c r="D6" s="117"/>
      <c r="E6" s="117" t="s">
        <v>1272</v>
      </c>
      <c r="F6" s="128" t="s">
        <v>390</v>
      </c>
      <c r="G6" s="118" t="s">
        <v>1304</v>
      </c>
      <c r="H6" s="117" t="s">
        <v>298</v>
      </c>
      <c r="I6" s="117"/>
      <c r="J6" s="117" t="s">
        <v>269</v>
      </c>
      <c r="K6" s="123" t="s">
        <v>1274</v>
      </c>
      <c r="L6" s="117" t="s">
        <v>269</v>
      </c>
      <c r="M6" s="123" t="s">
        <v>1284</v>
      </c>
      <c r="N6" s="117" t="s">
        <v>1305</v>
      </c>
      <c r="O6" s="118" t="s">
        <v>1306</v>
      </c>
      <c r="P6" s="118" t="s">
        <v>1307</v>
      </c>
      <c r="Q6" s="117"/>
      <c r="R6" s="117"/>
      <c r="S6" s="117"/>
      <c r="T6" s="117"/>
      <c r="U6" s="117"/>
      <c r="V6" s="127" t="s">
        <v>1308</v>
      </c>
      <c r="W6" s="119"/>
      <c r="X6" s="128" t="s">
        <v>1309</v>
      </c>
      <c r="Y6" s="128"/>
      <c r="Z6" s="118"/>
      <c r="AA6" s="126" t="s">
        <v>1310</v>
      </c>
      <c r="AB6" s="117" t="s">
        <v>1300</v>
      </c>
      <c r="AC6" s="117" t="s">
        <v>1301</v>
      </c>
      <c r="AD6" s="117" t="s">
        <v>1300</v>
      </c>
      <c r="AE6" s="117" t="s">
        <v>1300</v>
      </c>
      <c r="AF6" s="122" t="s">
        <v>1281</v>
      </c>
      <c r="AG6" s="122">
        <v>7</v>
      </c>
      <c r="AH6" s="122"/>
      <c r="AI6" s="122"/>
      <c r="AJ6" s="122" t="s">
        <v>1303</v>
      </c>
    </row>
    <row r="7" spans="1:36" ht="24.75" customHeight="1">
      <c r="A7" s="116"/>
      <c r="B7" s="117" t="s">
        <v>1270</v>
      </c>
      <c r="C7" s="117" t="s">
        <v>1291</v>
      </c>
      <c r="D7" s="117"/>
      <c r="E7" s="117" t="s">
        <v>1272</v>
      </c>
      <c r="F7" s="128" t="s">
        <v>391</v>
      </c>
      <c r="G7" s="118" t="s">
        <v>1311</v>
      </c>
      <c r="H7" s="117" t="s">
        <v>298</v>
      </c>
      <c r="I7" s="117"/>
      <c r="J7" s="117" t="s">
        <v>269</v>
      </c>
      <c r="K7" s="123" t="s">
        <v>1274</v>
      </c>
      <c r="L7" s="117" t="s">
        <v>269</v>
      </c>
      <c r="M7" s="123" t="s">
        <v>261</v>
      </c>
      <c r="N7" s="117" t="s">
        <v>1276</v>
      </c>
      <c r="O7" s="118" t="s">
        <v>1312</v>
      </c>
      <c r="P7" s="118" t="s">
        <v>1313</v>
      </c>
      <c r="Q7" s="117"/>
      <c r="R7" s="117"/>
      <c r="S7" s="117"/>
      <c r="T7" s="117"/>
      <c r="U7" s="117"/>
      <c r="V7" s="127" t="s">
        <v>1314</v>
      </c>
      <c r="W7" s="119"/>
      <c r="X7" s="128" t="s">
        <v>1315</v>
      </c>
      <c r="Y7" s="128"/>
      <c r="Z7" s="118"/>
      <c r="AA7" s="118" t="s">
        <v>1316</v>
      </c>
      <c r="AB7" s="117" t="s">
        <v>1301</v>
      </c>
      <c r="AC7" s="117" t="s">
        <v>1301</v>
      </c>
      <c r="AD7" s="117" t="s">
        <v>1301</v>
      </c>
      <c r="AE7" s="117" t="s">
        <v>1301</v>
      </c>
      <c r="AF7" s="122" t="s">
        <v>1281</v>
      </c>
      <c r="AG7" s="122">
        <v>7</v>
      </c>
      <c r="AH7" s="122"/>
      <c r="AI7" s="122"/>
      <c r="AJ7" s="122" t="s">
        <v>1303</v>
      </c>
    </row>
    <row r="8" spans="1:36" ht="24.75" customHeight="1">
      <c r="A8" s="116"/>
      <c r="B8" s="117" t="s">
        <v>1270</v>
      </c>
      <c r="C8" s="117" t="s">
        <v>1291</v>
      </c>
      <c r="D8" s="117"/>
      <c r="E8" s="117" t="s">
        <v>1272</v>
      </c>
      <c r="F8" s="128" t="s">
        <v>392</v>
      </c>
      <c r="G8" s="118" t="s">
        <v>1317</v>
      </c>
      <c r="H8" s="117" t="s">
        <v>298</v>
      </c>
      <c r="I8" s="117"/>
      <c r="J8" s="117" t="s">
        <v>1318</v>
      </c>
      <c r="K8" s="123" t="s">
        <v>1274</v>
      </c>
      <c r="L8" s="117" t="s">
        <v>269</v>
      </c>
      <c r="M8" s="123" t="s">
        <v>1293</v>
      </c>
      <c r="N8" s="117" t="s">
        <v>1294</v>
      </c>
      <c r="O8" s="118" t="s">
        <v>1319</v>
      </c>
      <c r="P8" s="118" t="s">
        <v>1320</v>
      </c>
      <c r="Q8" s="117"/>
      <c r="R8" s="117"/>
      <c r="S8" s="117"/>
      <c r="T8" s="117"/>
      <c r="U8" s="117"/>
      <c r="V8" s="127" t="s">
        <v>1321</v>
      </c>
      <c r="W8" s="119"/>
      <c r="X8" s="128" t="s">
        <v>1322</v>
      </c>
      <c r="Y8" s="128"/>
      <c r="Z8" s="118" t="s">
        <v>1323</v>
      </c>
      <c r="AA8" s="126" t="s">
        <v>1324</v>
      </c>
      <c r="AB8" s="117" t="s">
        <v>1300</v>
      </c>
      <c r="AC8" s="117" t="s">
        <v>1300</v>
      </c>
      <c r="AD8" s="117" t="s">
        <v>1300</v>
      </c>
      <c r="AE8" s="117" t="s">
        <v>1300</v>
      </c>
      <c r="AF8" s="122" t="s">
        <v>1302</v>
      </c>
      <c r="AG8" s="122">
        <v>7</v>
      </c>
      <c r="AH8" s="122" t="s">
        <v>1325</v>
      </c>
      <c r="AI8" s="123" t="s">
        <v>1326</v>
      </c>
      <c r="AJ8" s="122" t="s">
        <v>1303</v>
      </c>
    </row>
    <row r="9" spans="1:36" ht="24.75" customHeight="1">
      <c r="A9" s="116"/>
      <c r="B9" s="117" t="s">
        <v>1270</v>
      </c>
      <c r="C9" s="117" t="s">
        <v>1271</v>
      </c>
      <c r="D9" s="117">
        <v>100</v>
      </c>
      <c r="E9" s="117" t="s">
        <v>1272</v>
      </c>
      <c r="F9" s="118" t="s">
        <v>393</v>
      </c>
      <c r="G9" s="118" t="s">
        <v>1273</v>
      </c>
      <c r="H9" s="117" t="s">
        <v>424</v>
      </c>
      <c r="I9" s="117" t="s">
        <v>302</v>
      </c>
      <c r="J9" s="117" t="s">
        <v>326</v>
      </c>
      <c r="K9" s="123" t="s">
        <v>1327</v>
      </c>
      <c r="L9" s="117" t="s">
        <v>269</v>
      </c>
      <c r="M9" s="123" t="s">
        <v>326</v>
      </c>
      <c r="N9" s="117" t="s">
        <v>1276</v>
      </c>
      <c r="O9" s="118" t="s">
        <v>1328</v>
      </c>
      <c r="P9" s="118" t="s">
        <v>1329</v>
      </c>
      <c r="Q9" s="117"/>
      <c r="R9" s="117"/>
      <c r="S9" s="117"/>
      <c r="T9" s="117"/>
      <c r="U9" s="117"/>
      <c r="V9" s="127" t="s">
        <v>1330</v>
      </c>
      <c r="W9" s="119"/>
      <c r="X9" s="128" t="s">
        <v>1331</v>
      </c>
      <c r="Y9" s="128"/>
      <c r="Z9" s="118" t="s">
        <v>1332</v>
      </c>
      <c r="AA9" s="118" t="s">
        <v>1333</v>
      </c>
      <c r="AB9" s="117" t="s">
        <v>1334</v>
      </c>
      <c r="AC9" s="117" t="s">
        <v>1334</v>
      </c>
      <c r="AD9" s="117" t="s">
        <v>1334</v>
      </c>
      <c r="AE9" s="117" t="s">
        <v>1334</v>
      </c>
      <c r="AF9" s="122" t="s">
        <v>1281</v>
      </c>
      <c r="AG9" s="122">
        <v>5</v>
      </c>
      <c r="AH9" s="122"/>
      <c r="AI9" s="122">
        <v>0</v>
      </c>
      <c r="AJ9" s="122"/>
    </row>
    <row r="10" spans="1:36" ht="24.75" customHeight="1">
      <c r="A10" s="116"/>
      <c r="B10" s="117" t="s">
        <v>1270</v>
      </c>
      <c r="C10" s="117" t="s">
        <v>1291</v>
      </c>
      <c r="D10" s="117"/>
      <c r="E10" s="117" t="s">
        <v>1272</v>
      </c>
      <c r="F10" s="128" t="s">
        <v>394</v>
      </c>
      <c r="G10" s="118" t="s">
        <v>1335</v>
      </c>
      <c r="H10" s="117" t="s">
        <v>298</v>
      </c>
      <c r="I10" s="117"/>
      <c r="J10" s="117" t="s">
        <v>1293</v>
      </c>
      <c r="K10" s="123" t="s">
        <v>1274</v>
      </c>
      <c r="L10" s="117" t="s">
        <v>269</v>
      </c>
      <c r="M10" s="123" t="s">
        <v>1293</v>
      </c>
      <c r="N10" s="117" t="s">
        <v>1294</v>
      </c>
      <c r="O10" s="118" t="s">
        <v>1336</v>
      </c>
      <c r="P10" s="118" t="s">
        <v>1337</v>
      </c>
      <c r="Q10" s="117"/>
      <c r="R10" s="117"/>
      <c r="S10" s="117"/>
      <c r="T10" s="117"/>
      <c r="U10" s="117"/>
      <c r="V10" s="127" t="s">
        <v>1338</v>
      </c>
      <c r="W10" s="119"/>
      <c r="X10" s="118" t="s">
        <v>1339</v>
      </c>
      <c r="Y10" s="118"/>
      <c r="Z10" s="128" t="s">
        <v>1340</v>
      </c>
      <c r="AA10" s="118" t="s">
        <v>1341</v>
      </c>
      <c r="AB10" s="117" t="s">
        <v>1300</v>
      </c>
      <c r="AC10" s="117" t="s">
        <v>1300</v>
      </c>
      <c r="AD10" s="117" t="s">
        <v>1300</v>
      </c>
      <c r="AE10" s="117" t="s">
        <v>1300</v>
      </c>
      <c r="AF10" s="122" t="s">
        <v>1302</v>
      </c>
      <c r="AG10" s="122">
        <v>15</v>
      </c>
      <c r="AH10" s="122" t="s">
        <v>1325</v>
      </c>
      <c r="AI10" s="117" t="s">
        <v>1342</v>
      </c>
      <c r="AJ10" s="122" t="s">
        <v>1303</v>
      </c>
    </row>
    <row r="11" spans="1:36" ht="24.75" customHeight="1">
      <c r="A11" s="116"/>
      <c r="B11" s="117" t="s">
        <v>1270</v>
      </c>
      <c r="C11" s="117" t="s">
        <v>1343</v>
      </c>
      <c r="D11" s="117"/>
      <c r="E11" s="117" t="s">
        <v>1272</v>
      </c>
      <c r="F11" s="118" t="s">
        <v>395</v>
      </c>
      <c r="G11" s="118" t="s">
        <v>616</v>
      </c>
      <c r="H11" s="117" t="s">
        <v>302</v>
      </c>
      <c r="I11" s="117"/>
      <c r="J11" s="117" t="s">
        <v>261</v>
      </c>
      <c r="K11" s="123" t="s">
        <v>1274</v>
      </c>
      <c r="L11" s="117" t="s">
        <v>261</v>
      </c>
      <c r="M11" s="123" t="s">
        <v>1344</v>
      </c>
      <c r="N11" s="117" t="s">
        <v>1276</v>
      </c>
      <c r="O11" s="118" t="s">
        <v>1345</v>
      </c>
      <c r="P11" s="118" t="s">
        <v>1346</v>
      </c>
      <c r="Q11" s="123"/>
      <c r="R11" s="123"/>
      <c r="S11" s="117"/>
      <c r="T11" s="117"/>
      <c r="U11" s="117"/>
      <c r="V11" s="127">
        <f>82-10-8341-2208</f>
        <v>-10477</v>
      </c>
      <c r="W11" s="119"/>
      <c r="X11" s="118" t="s">
        <v>1347</v>
      </c>
      <c r="Y11" s="118"/>
      <c r="Z11" s="118"/>
      <c r="AA11" s="118" t="s">
        <v>1348</v>
      </c>
      <c r="AB11" s="117" t="s">
        <v>1349</v>
      </c>
      <c r="AC11" s="117" t="s">
        <v>1349</v>
      </c>
      <c r="AD11" s="117" t="s">
        <v>1349</v>
      </c>
      <c r="AE11" s="117" t="s">
        <v>1349</v>
      </c>
      <c r="AF11" s="122" t="s">
        <v>1302</v>
      </c>
      <c r="AG11" s="117">
        <v>15</v>
      </c>
      <c r="AH11" s="117"/>
      <c r="AI11" s="117">
        <v>0</v>
      </c>
      <c r="AJ11" s="117"/>
    </row>
    <row r="12" spans="1:36" ht="24.75" customHeight="1">
      <c r="A12" s="116"/>
      <c r="B12" s="117" t="s">
        <v>1270</v>
      </c>
      <c r="C12" s="117" t="s">
        <v>1343</v>
      </c>
      <c r="D12" s="117"/>
      <c r="E12" s="117" t="s">
        <v>1272</v>
      </c>
      <c r="F12" s="128" t="s">
        <v>396</v>
      </c>
      <c r="G12" s="118" t="s">
        <v>1350</v>
      </c>
      <c r="H12" s="117" t="s">
        <v>298</v>
      </c>
      <c r="I12" s="117"/>
      <c r="J12" s="117" t="s">
        <v>1351</v>
      </c>
      <c r="K12" s="123" t="s">
        <v>1274</v>
      </c>
      <c r="L12" s="117" t="s">
        <v>269</v>
      </c>
      <c r="M12" s="123" t="s">
        <v>1351</v>
      </c>
      <c r="N12" s="117" t="s">
        <v>1294</v>
      </c>
      <c r="O12" s="118" t="s">
        <v>1352</v>
      </c>
      <c r="P12" s="118" t="s">
        <v>1353</v>
      </c>
      <c r="Q12" s="117"/>
      <c r="R12" s="117"/>
      <c r="S12" s="117"/>
      <c r="T12" s="117"/>
      <c r="U12" s="117"/>
      <c r="V12" s="127">
        <f>86-20-31526590</f>
        <v>-31526524</v>
      </c>
      <c r="W12" s="119"/>
      <c r="X12" s="128" t="s">
        <v>1354</v>
      </c>
      <c r="Y12" s="118"/>
      <c r="Z12" s="128" t="s">
        <v>1355</v>
      </c>
      <c r="AA12" s="118" t="s">
        <v>1356</v>
      </c>
      <c r="AB12" s="117" t="s">
        <v>1301</v>
      </c>
      <c r="AC12" s="117" t="s">
        <v>1357</v>
      </c>
      <c r="AD12" s="117" t="s">
        <v>1301</v>
      </c>
      <c r="AE12" s="117" t="s">
        <v>1301</v>
      </c>
      <c r="AF12" s="122" t="s">
        <v>1302</v>
      </c>
      <c r="AG12" s="117">
        <v>15</v>
      </c>
      <c r="AH12" s="122" t="s">
        <v>1325</v>
      </c>
      <c r="AI12" s="117" t="s">
        <v>1358</v>
      </c>
      <c r="AJ12" s="122" t="s">
        <v>1303</v>
      </c>
    </row>
    <row r="13" spans="1:36" ht="24.75" customHeight="1">
      <c r="A13" s="116"/>
      <c r="B13" s="117" t="s">
        <v>1270</v>
      </c>
      <c r="C13" s="117" t="s">
        <v>1343</v>
      </c>
      <c r="D13" s="117"/>
      <c r="E13" s="117" t="s">
        <v>1272</v>
      </c>
      <c r="F13" s="128" t="s">
        <v>369</v>
      </c>
      <c r="G13" s="118" t="s">
        <v>1359</v>
      </c>
      <c r="H13" s="117" t="s">
        <v>298</v>
      </c>
      <c r="I13" s="117"/>
      <c r="J13" s="117" t="s">
        <v>1360</v>
      </c>
      <c r="K13" s="123" t="s">
        <v>1274</v>
      </c>
      <c r="L13" s="117" t="s">
        <v>269</v>
      </c>
      <c r="M13" s="123" t="s">
        <v>1360</v>
      </c>
      <c r="N13" s="117" t="s">
        <v>1276</v>
      </c>
      <c r="O13" s="118" t="s">
        <v>1361</v>
      </c>
      <c r="P13" s="118" t="s">
        <v>1362</v>
      </c>
      <c r="Q13" s="123"/>
      <c r="R13" s="123"/>
      <c r="S13" s="117"/>
      <c r="T13" s="117"/>
      <c r="U13" s="117"/>
      <c r="V13" s="127">
        <f>86-137-1517-1047</f>
        <v>-2615</v>
      </c>
      <c r="W13" s="119"/>
      <c r="X13" s="128" t="s">
        <v>1363</v>
      </c>
      <c r="Y13" s="128"/>
      <c r="Z13" s="128" t="s">
        <v>1364</v>
      </c>
      <c r="AA13" s="118" t="s">
        <v>1365</v>
      </c>
      <c r="AB13" s="117" t="s">
        <v>1300</v>
      </c>
      <c r="AC13" s="117" t="s">
        <v>1300</v>
      </c>
      <c r="AD13" s="117" t="s">
        <v>1300</v>
      </c>
      <c r="AE13" s="117" t="s">
        <v>1300</v>
      </c>
      <c r="AF13" s="122" t="s">
        <v>1281</v>
      </c>
      <c r="AG13" s="117">
        <v>7</v>
      </c>
      <c r="AH13" s="117"/>
      <c r="AI13" s="117"/>
      <c r="AJ13" s="122" t="s">
        <v>1303</v>
      </c>
    </row>
    <row r="14" spans="1:36" ht="24.75" customHeight="1">
      <c r="A14" s="116"/>
      <c r="B14" s="117" t="s">
        <v>1270</v>
      </c>
      <c r="C14" s="117" t="s">
        <v>1343</v>
      </c>
      <c r="D14" s="117"/>
      <c r="E14" s="117" t="s">
        <v>1272</v>
      </c>
      <c r="F14" s="118" t="s">
        <v>370</v>
      </c>
      <c r="G14" s="118" t="s">
        <v>1366</v>
      </c>
      <c r="H14" s="117" t="s">
        <v>298</v>
      </c>
      <c r="I14" s="117"/>
      <c r="J14" s="117" t="s">
        <v>269</v>
      </c>
      <c r="K14" s="123" t="s">
        <v>1274</v>
      </c>
      <c r="L14" s="117" t="s">
        <v>269</v>
      </c>
      <c r="M14" s="123" t="s">
        <v>360</v>
      </c>
      <c r="N14" s="117" t="s">
        <v>1305</v>
      </c>
      <c r="O14" s="118" t="s">
        <v>1367</v>
      </c>
      <c r="P14" s="118" t="s">
        <v>1368</v>
      </c>
      <c r="Q14" s="117"/>
      <c r="R14" s="117"/>
      <c r="S14" s="117"/>
      <c r="T14" s="117"/>
      <c r="U14" s="117"/>
      <c r="V14" s="123" t="s">
        <v>1369</v>
      </c>
      <c r="W14" s="117" t="s">
        <v>1370</v>
      </c>
      <c r="X14" s="128" t="s">
        <v>1371</v>
      </c>
      <c r="Y14" s="128"/>
      <c r="Z14" s="118" t="s">
        <v>1372</v>
      </c>
      <c r="AA14" s="118" t="s">
        <v>1373</v>
      </c>
      <c r="AB14" s="117" t="s">
        <v>1301</v>
      </c>
      <c r="AC14" s="117" t="s">
        <v>1357</v>
      </c>
      <c r="AD14" s="117" t="s">
        <v>1301</v>
      </c>
      <c r="AE14" s="117" t="s">
        <v>1301</v>
      </c>
      <c r="AF14" s="122" t="s">
        <v>1302</v>
      </c>
      <c r="AG14" s="122">
        <v>15</v>
      </c>
      <c r="AH14" s="117"/>
      <c r="AI14" s="117"/>
      <c r="AJ14" s="122" t="s">
        <v>1303</v>
      </c>
    </row>
    <row r="15" spans="1:36" ht="24.75" customHeight="1">
      <c r="A15" s="116"/>
      <c r="B15" s="117" t="s">
        <v>1270</v>
      </c>
      <c r="C15" s="117" t="s">
        <v>1343</v>
      </c>
      <c r="D15" s="117">
        <v>30</v>
      </c>
      <c r="E15" s="117" t="s">
        <v>1272</v>
      </c>
      <c r="F15" s="118" t="s">
        <v>371</v>
      </c>
      <c r="G15" s="118" t="s">
        <v>1374</v>
      </c>
      <c r="H15" s="117" t="s">
        <v>302</v>
      </c>
      <c r="I15" s="117"/>
      <c r="J15" s="117" t="s">
        <v>261</v>
      </c>
      <c r="K15" s="123" t="s">
        <v>1274</v>
      </c>
      <c r="L15" s="117" t="s">
        <v>261</v>
      </c>
      <c r="M15" s="123" t="s">
        <v>1344</v>
      </c>
      <c r="N15" s="117" t="s">
        <v>1276</v>
      </c>
      <c r="O15" s="118" t="s">
        <v>1375</v>
      </c>
      <c r="P15" s="118" t="s">
        <v>1376</v>
      </c>
      <c r="Q15" s="117"/>
      <c r="R15" s="117"/>
      <c r="S15" s="117"/>
      <c r="T15" s="117"/>
      <c r="U15" s="117"/>
      <c r="V15" s="123"/>
      <c r="W15" s="117"/>
      <c r="X15" s="118"/>
      <c r="Y15" s="118"/>
      <c r="Z15" s="118" t="s">
        <v>1377</v>
      </c>
      <c r="AA15" s="118" t="s">
        <v>1378</v>
      </c>
      <c r="AB15" s="117" t="s">
        <v>1349</v>
      </c>
      <c r="AC15" s="117" t="s">
        <v>1349</v>
      </c>
      <c r="AD15" s="117" t="s">
        <v>1349</v>
      </c>
      <c r="AE15" s="117" t="s">
        <v>1349</v>
      </c>
      <c r="AF15" s="122" t="s">
        <v>1302</v>
      </c>
      <c r="AG15" s="122">
        <v>15</v>
      </c>
      <c r="AH15" s="117"/>
      <c r="AI15" s="117">
        <v>0</v>
      </c>
      <c r="AJ15" s="117"/>
    </row>
    <row r="16" spans="1:36" ht="24.75" customHeight="1">
      <c r="A16" s="116"/>
      <c r="B16" s="117" t="s">
        <v>1270</v>
      </c>
      <c r="C16" s="117" t="s">
        <v>1343</v>
      </c>
      <c r="D16" s="117"/>
      <c r="E16" s="117" t="s">
        <v>1272</v>
      </c>
      <c r="F16" s="128" t="s">
        <v>372</v>
      </c>
      <c r="G16" s="118" t="s">
        <v>1379</v>
      </c>
      <c r="H16" s="117" t="s">
        <v>302</v>
      </c>
      <c r="I16" s="117"/>
      <c r="J16" s="117" t="s">
        <v>261</v>
      </c>
      <c r="K16" s="123" t="s">
        <v>1274</v>
      </c>
      <c r="L16" s="117" t="s">
        <v>261</v>
      </c>
      <c r="M16" s="123" t="s">
        <v>1344</v>
      </c>
      <c r="N16" s="117" t="s">
        <v>1294</v>
      </c>
      <c r="O16" s="118" t="s">
        <v>1380</v>
      </c>
      <c r="P16" s="118" t="s">
        <v>1381</v>
      </c>
      <c r="Q16" s="117"/>
      <c r="R16" s="117"/>
      <c r="S16" s="117"/>
      <c r="T16" s="117"/>
      <c r="U16" s="117"/>
      <c r="V16" s="123" t="s">
        <v>1382</v>
      </c>
      <c r="W16" s="117"/>
      <c r="X16" s="128" t="s">
        <v>1383</v>
      </c>
      <c r="Y16" s="128"/>
      <c r="Z16" s="118" t="s">
        <v>1384</v>
      </c>
      <c r="AA16" s="118" t="s">
        <v>1385</v>
      </c>
      <c r="AB16" s="117" t="s">
        <v>1301</v>
      </c>
      <c r="AC16" s="117" t="s">
        <v>1357</v>
      </c>
      <c r="AD16" s="117" t="s">
        <v>1301</v>
      </c>
      <c r="AE16" s="117" t="s">
        <v>1301</v>
      </c>
      <c r="AF16" s="122" t="s">
        <v>1281</v>
      </c>
      <c r="AG16" s="117">
        <v>5</v>
      </c>
      <c r="AH16" s="117"/>
      <c r="AI16" s="117">
        <v>0</v>
      </c>
      <c r="AJ16" s="117"/>
    </row>
    <row r="17" spans="1:36" ht="24.75" customHeight="1">
      <c r="A17" s="116"/>
      <c r="B17" s="117" t="s">
        <v>1270</v>
      </c>
      <c r="C17" s="117" t="s">
        <v>1343</v>
      </c>
      <c r="D17" s="117">
        <v>50</v>
      </c>
      <c r="E17" s="117" t="s">
        <v>1272</v>
      </c>
      <c r="F17" s="118" t="s">
        <v>373</v>
      </c>
      <c r="G17" s="118" t="s">
        <v>1386</v>
      </c>
      <c r="H17" s="117" t="s">
        <v>302</v>
      </c>
      <c r="I17" s="117"/>
      <c r="J17" s="117" t="s">
        <v>261</v>
      </c>
      <c r="K17" s="123" t="s">
        <v>1274</v>
      </c>
      <c r="L17" s="117" t="s">
        <v>261</v>
      </c>
      <c r="M17" s="123" t="s">
        <v>1344</v>
      </c>
      <c r="N17" s="117" t="s">
        <v>1305</v>
      </c>
      <c r="O17" s="118" t="s">
        <v>1387</v>
      </c>
      <c r="P17" s="118" t="s">
        <v>1376</v>
      </c>
      <c r="Q17" s="117"/>
      <c r="R17" s="117"/>
      <c r="S17" s="117"/>
      <c r="T17" s="117"/>
      <c r="U17" s="117"/>
      <c r="V17" s="123" t="s">
        <v>1388</v>
      </c>
      <c r="W17" s="117"/>
      <c r="X17" s="118" t="s">
        <v>1389</v>
      </c>
      <c r="Y17" s="128"/>
      <c r="Z17" s="118" t="s">
        <v>1390</v>
      </c>
      <c r="AA17" s="118" t="s">
        <v>1391</v>
      </c>
      <c r="AB17" s="117" t="s">
        <v>1349</v>
      </c>
      <c r="AC17" s="117" t="s">
        <v>1357</v>
      </c>
      <c r="AD17" s="117" t="s">
        <v>1349</v>
      </c>
      <c r="AE17" s="117" t="s">
        <v>1349</v>
      </c>
      <c r="AF17" s="122" t="s">
        <v>1302</v>
      </c>
      <c r="AG17" s="117">
        <v>15</v>
      </c>
      <c r="AH17" s="117" t="s">
        <v>1392</v>
      </c>
      <c r="AI17" s="129">
        <v>30000000</v>
      </c>
      <c r="AJ17" s="129"/>
    </row>
    <row r="18" spans="1:36" ht="24.75" customHeight="1">
      <c r="A18" s="116"/>
      <c r="B18" s="117" t="s">
        <v>1270</v>
      </c>
      <c r="C18" s="117" t="s">
        <v>1343</v>
      </c>
      <c r="D18" s="117">
        <v>20</v>
      </c>
      <c r="E18" s="117" t="s">
        <v>1272</v>
      </c>
      <c r="F18" s="118" t="s">
        <v>374</v>
      </c>
      <c r="G18" s="118" t="s">
        <v>1393</v>
      </c>
      <c r="H18" s="117" t="s">
        <v>302</v>
      </c>
      <c r="I18" s="117"/>
      <c r="J18" s="117" t="s">
        <v>261</v>
      </c>
      <c r="K18" s="123" t="s">
        <v>1274</v>
      </c>
      <c r="L18" s="117" t="s">
        <v>261</v>
      </c>
      <c r="M18" s="123" t="s">
        <v>1344</v>
      </c>
      <c r="N18" s="117" t="s">
        <v>1305</v>
      </c>
      <c r="O18" s="118" t="s">
        <v>1394</v>
      </c>
      <c r="P18" s="118" t="s">
        <v>1395</v>
      </c>
      <c r="Q18" s="117"/>
      <c r="R18" s="117"/>
      <c r="S18" s="117"/>
      <c r="T18" s="117"/>
      <c r="U18" s="117"/>
      <c r="V18" s="123" t="s">
        <v>1396</v>
      </c>
      <c r="W18" s="117"/>
      <c r="X18" s="118" t="s">
        <v>1397</v>
      </c>
      <c r="Y18" s="128"/>
      <c r="Z18" s="118"/>
      <c r="AA18" s="118" t="s">
        <v>1398</v>
      </c>
      <c r="AB18" s="117" t="s">
        <v>1349</v>
      </c>
      <c r="AC18" s="117" t="s">
        <v>1357</v>
      </c>
      <c r="AD18" s="117" t="s">
        <v>1300</v>
      </c>
      <c r="AE18" s="117" t="s">
        <v>1300</v>
      </c>
      <c r="AF18" s="117" t="s">
        <v>446</v>
      </c>
      <c r="AG18" s="117">
        <v>31</v>
      </c>
      <c r="AH18" s="117"/>
      <c r="AI18" s="117">
        <v>0</v>
      </c>
      <c r="AJ18" s="117"/>
    </row>
    <row r="19" spans="1:36" ht="24.75" customHeight="1">
      <c r="A19" s="116"/>
      <c r="B19" s="117" t="s">
        <v>1270</v>
      </c>
      <c r="C19" s="117" t="s">
        <v>1343</v>
      </c>
      <c r="D19" s="117"/>
      <c r="E19" s="117"/>
      <c r="F19" s="118" t="s">
        <v>1399</v>
      </c>
      <c r="G19" s="118" t="s">
        <v>1400</v>
      </c>
      <c r="H19" s="117" t="s">
        <v>302</v>
      </c>
      <c r="I19" s="117"/>
      <c r="J19" s="117" t="s">
        <v>261</v>
      </c>
      <c r="K19" s="123" t="s">
        <v>1274</v>
      </c>
      <c r="L19" s="117" t="s">
        <v>261</v>
      </c>
      <c r="M19" s="123" t="s">
        <v>1401</v>
      </c>
      <c r="N19" s="117" t="s">
        <v>1276</v>
      </c>
      <c r="O19" s="118"/>
      <c r="P19" s="118"/>
      <c r="Q19" s="117"/>
      <c r="R19" s="117"/>
      <c r="S19" s="117"/>
      <c r="T19" s="117"/>
      <c r="U19" s="117"/>
      <c r="V19" s="123"/>
      <c r="W19" s="117"/>
      <c r="X19" s="118"/>
      <c r="Y19" s="118"/>
      <c r="Z19" s="118" t="s">
        <v>1402</v>
      </c>
      <c r="AA19" s="118"/>
      <c r="AB19" s="117"/>
      <c r="AC19" s="117"/>
      <c r="AD19" s="117"/>
      <c r="AE19" s="117"/>
      <c r="AF19" s="117"/>
      <c r="AG19" s="117"/>
      <c r="AH19" s="117"/>
      <c r="AI19" s="117"/>
      <c r="AJ19" s="117"/>
    </row>
    <row r="20" spans="1:36" ht="24.75" customHeight="1">
      <c r="A20" s="116"/>
      <c r="B20" s="117" t="s">
        <v>1270</v>
      </c>
      <c r="C20" s="117" t="s">
        <v>1343</v>
      </c>
      <c r="D20" s="117"/>
      <c r="E20" s="117" t="s">
        <v>1403</v>
      </c>
      <c r="F20" s="118" t="s">
        <v>1404</v>
      </c>
      <c r="G20" s="118" t="s">
        <v>1405</v>
      </c>
      <c r="H20" s="117" t="s">
        <v>302</v>
      </c>
      <c r="I20" s="117"/>
      <c r="J20" s="117" t="s">
        <v>261</v>
      </c>
      <c r="K20" s="123" t="s">
        <v>1274</v>
      </c>
      <c r="L20" s="117" t="s">
        <v>261</v>
      </c>
      <c r="M20" s="123" t="s">
        <v>1344</v>
      </c>
      <c r="N20" s="117" t="s">
        <v>1276</v>
      </c>
      <c r="O20" s="118" t="s">
        <v>1406</v>
      </c>
      <c r="P20" s="118" t="s">
        <v>1395</v>
      </c>
      <c r="Q20" s="117"/>
      <c r="R20" s="117"/>
      <c r="S20" s="117"/>
      <c r="T20" s="117"/>
      <c r="U20" s="117"/>
      <c r="V20" s="123"/>
      <c r="W20" s="117"/>
      <c r="X20" s="118" t="s">
        <v>1407</v>
      </c>
      <c r="Y20" s="118"/>
      <c r="Z20" s="118"/>
      <c r="AA20" s="118" t="s">
        <v>1408</v>
      </c>
      <c r="AB20" s="117" t="s">
        <v>1349</v>
      </c>
      <c r="AC20" s="117" t="s">
        <v>1349</v>
      </c>
      <c r="AD20" s="117" t="s">
        <v>1349</v>
      </c>
      <c r="AE20" s="117" t="s">
        <v>1349</v>
      </c>
      <c r="AF20" s="117" t="s">
        <v>446</v>
      </c>
      <c r="AG20" s="117">
        <v>31</v>
      </c>
      <c r="AH20" s="117"/>
      <c r="AI20" s="117"/>
      <c r="AJ20" s="117"/>
    </row>
    <row r="21" spans="1:36" ht="24.75" customHeight="1">
      <c r="A21" s="116"/>
      <c r="B21" s="117" t="s">
        <v>1270</v>
      </c>
      <c r="C21" s="117" t="s">
        <v>1343</v>
      </c>
      <c r="D21" s="117"/>
      <c r="E21" s="117" t="s">
        <v>1272</v>
      </c>
      <c r="F21" s="128" t="s">
        <v>375</v>
      </c>
      <c r="G21" s="118" t="s">
        <v>1409</v>
      </c>
      <c r="H21" s="117" t="s">
        <v>298</v>
      </c>
      <c r="I21" s="117"/>
      <c r="J21" s="117" t="s">
        <v>1318</v>
      </c>
      <c r="K21" s="123" t="s">
        <v>1274</v>
      </c>
      <c r="L21" s="117" t="s">
        <v>269</v>
      </c>
      <c r="M21" s="123" t="s">
        <v>1284</v>
      </c>
      <c r="N21" s="117" t="s">
        <v>1294</v>
      </c>
      <c r="O21" s="118" t="s">
        <v>1410</v>
      </c>
      <c r="P21" s="118" t="s">
        <v>1411</v>
      </c>
      <c r="Q21" s="117"/>
      <c r="R21" s="117"/>
      <c r="S21" s="117"/>
      <c r="T21" s="117"/>
      <c r="U21" s="117"/>
      <c r="V21" s="127" t="s">
        <v>1412</v>
      </c>
      <c r="W21" s="119"/>
      <c r="X21" s="128" t="s">
        <v>1413</v>
      </c>
      <c r="Y21" s="128"/>
      <c r="Z21" s="118"/>
      <c r="AA21" s="118" t="s">
        <v>1414</v>
      </c>
      <c r="AB21" s="117" t="s">
        <v>1300</v>
      </c>
      <c r="AC21" s="117" t="s">
        <v>1300</v>
      </c>
      <c r="AD21" s="117" t="s">
        <v>1300</v>
      </c>
      <c r="AE21" s="117" t="s">
        <v>1300</v>
      </c>
      <c r="AF21" s="122" t="s">
        <v>1302</v>
      </c>
      <c r="AG21" s="117">
        <v>5</v>
      </c>
      <c r="AH21" s="117"/>
      <c r="AI21" s="117"/>
      <c r="AJ21" s="122" t="s">
        <v>1303</v>
      </c>
    </row>
    <row r="22" spans="1:36" ht="24.75" customHeight="1">
      <c r="A22" s="116"/>
      <c r="B22" s="117" t="s">
        <v>1270</v>
      </c>
      <c r="C22" s="117" t="s">
        <v>1271</v>
      </c>
      <c r="D22" s="117">
        <v>100</v>
      </c>
      <c r="E22" s="117" t="s">
        <v>1272</v>
      </c>
      <c r="F22" s="156" t="s">
        <v>376</v>
      </c>
      <c r="G22" s="118" t="s">
        <v>1415</v>
      </c>
      <c r="H22" s="117" t="s">
        <v>424</v>
      </c>
      <c r="I22" s="117" t="s">
        <v>1283</v>
      </c>
      <c r="J22" s="117" t="s">
        <v>300</v>
      </c>
      <c r="K22" s="123" t="s">
        <v>1327</v>
      </c>
      <c r="L22" s="117" t="s">
        <v>300</v>
      </c>
      <c r="M22" s="123" t="s">
        <v>1416</v>
      </c>
      <c r="N22" s="117" t="s">
        <v>1276</v>
      </c>
      <c r="O22" s="118" t="s">
        <v>1417</v>
      </c>
      <c r="P22" s="118" t="s">
        <v>510</v>
      </c>
      <c r="Q22" s="117"/>
      <c r="R22" s="117"/>
      <c r="S22" s="117"/>
      <c r="T22" s="117"/>
      <c r="U22" s="117"/>
      <c r="V22" s="123"/>
      <c r="W22" s="117"/>
      <c r="X22" s="118" t="s">
        <v>1418</v>
      </c>
      <c r="Y22" s="118"/>
      <c r="Z22" s="118" t="s">
        <v>1419</v>
      </c>
      <c r="AA22" s="118" t="s">
        <v>1420</v>
      </c>
      <c r="AB22" s="117" t="s">
        <v>1300</v>
      </c>
      <c r="AC22" s="117" t="s">
        <v>1300</v>
      </c>
      <c r="AD22" s="117" t="s">
        <v>1300</v>
      </c>
      <c r="AE22" s="117" t="s">
        <v>1300</v>
      </c>
      <c r="AF22" s="117" t="s">
        <v>446</v>
      </c>
      <c r="AG22" s="117">
        <v>31</v>
      </c>
      <c r="AH22" s="117"/>
      <c r="AI22" s="117"/>
      <c r="AJ22" s="122" t="s">
        <v>1303</v>
      </c>
    </row>
    <row r="23" spans="1:36" ht="24.75" customHeight="1">
      <c r="A23" s="116"/>
      <c r="B23" s="117" t="s">
        <v>1270</v>
      </c>
      <c r="C23" s="117" t="s">
        <v>1343</v>
      </c>
      <c r="D23" s="117"/>
      <c r="E23" s="117" t="s">
        <v>1403</v>
      </c>
      <c r="F23" s="118" t="s">
        <v>1421</v>
      </c>
      <c r="G23" s="118" t="s">
        <v>739</v>
      </c>
      <c r="H23" s="117" t="s">
        <v>302</v>
      </c>
      <c r="I23" s="117"/>
      <c r="J23" s="117" t="s">
        <v>261</v>
      </c>
      <c r="K23" s="123" t="s">
        <v>1274</v>
      </c>
      <c r="L23" s="117" t="s">
        <v>261</v>
      </c>
      <c r="M23" s="123" t="s">
        <v>1344</v>
      </c>
      <c r="N23" s="117" t="s">
        <v>1276</v>
      </c>
      <c r="O23" s="118" t="s">
        <v>1422</v>
      </c>
      <c r="P23" s="118" t="s">
        <v>1423</v>
      </c>
      <c r="Q23" s="117"/>
      <c r="R23" s="117"/>
      <c r="S23" s="117"/>
      <c r="T23" s="117"/>
      <c r="U23" s="117"/>
      <c r="V23" s="123"/>
      <c r="W23" s="117"/>
      <c r="X23" s="118" t="s">
        <v>1424</v>
      </c>
      <c r="Y23" s="118"/>
      <c r="Z23" s="118" t="s">
        <v>1425</v>
      </c>
      <c r="AA23" s="118"/>
      <c r="AB23" s="117" t="s">
        <v>1349</v>
      </c>
      <c r="AC23" s="117" t="s">
        <v>1349</v>
      </c>
      <c r="AD23" s="117" t="s">
        <v>1349</v>
      </c>
      <c r="AE23" s="117" t="s">
        <v>1349</v>
      </c>
      <c r="AF23" s="117"/>
      <c r="AG23" s="117"/>
      <c r="AH23" s="117"/>
      <c r="AI23" s="117"/>
      <c r="AJ23" s="117"/>
    </row>
    <row r="24" spans="1:36" ht="24.75" customHeight="1">
      <c r="A24" s="116"/>
      <c r="B24" s="117" t="s">
        <v>1270</v>
      </c>
      <c r="C24" s="117" t="s">
        <v>1343</v>
      </c>
      <c r="D24" s="117"/>
      <c r="E24" s="117" t="s">
        <v>1403</v>
      </c>
      <c r="F24" s="118" t="s">
        <v>1426</v>
      </c>
      <c r="G24" s="118" t="s">
        <v>1427</v>
      </c>
      <c r="H24" s="117" t="s">
        <v>302</v>
      </c>
      <c r="I24" s="117"/>
      <c r="J24" s="117" t="s">
        <v>261</v>
      </c>
      <c r="K24" s="123" t="s">
        <v>1274</v>
      </c>
      <c r="L24" s="117" t="s">
        <v>261</v>
      </c>
      <c r="M24" s="123" t="s">
        <v>1344</v>
      </c>
      <c r="N24" s="117" t="s">
        <v>1276</v>
      </c>
      <c r="O24" s="118" t="s">
        <v>1428</v>
      </c>
      <c r="P24" s="118" t="s">
        <v>1429</v>
      </c>
      <c r="Q24" s="117"/>
      <c r="R24" s="117"/>
      <c r="S24" s="117"/>
      <c r="T24" s="117"/>
      <c r="U24" s="117"/>
      <c r="V24" s="123"/>
      <c r="W24" s="117"/>
      <c r="X24" s="118" t="s">
        <v>1430</v>
      </c>
      <c r="Y24" s="118"/>
      <c r="Z24" s="118" t="s">
        <v>1431</v>
      </c>
      <c r="AA24" s="118"/>
      <c r="AB24" s="117" t="s">
        <v>1300</v>
      </c>
      <c r="AC24" s="117" t="s">
        <v>1357</v>
      </c>
      <c r="AD24" s="117" t="s">
        <v>1300</v>
      </c>
      <c r="AE24" s="117" t="s">
        <v>1300</v>
      </c>
      <c r="AF24" s="117" t="s">
        <v>446</v>
      </c>
      <c r="AG24" s="117">
        <v>31</v>
      </c>
      <c r="AH24" s="117"/>
      <c r="AI24" s="117">
        <v>0</v>
      </c>
      <c r="AJ24" s="117"/>
    </row>
    <row r="25" spans="1:36" ht="24.75" customHeight="1">
      <c r="A25" s="116"/>
      <c r="B25" s="117" t="s">
        <v>1270</v>
      </c>
      <c r="C25" s="117" t="s">
        <v>1343</v>
      </c>
      <c r="D25" s="117"/>
      <c r="E25" s="117" t="s">
        <v>1403</v>
      </c>
      <c r="F25" s="118" t="s">
        <v>1432</v>
      </c>
      <c r="G25" s="118" t="s">
        <v>1433</v>
      </c>
      <c r="H25" s="117" t="s">
        <v>302</v>
      </c>
      <c r="I25" s="117"/>
      <c r="J25" s="117" t="s">
        <v>261</v>
      </c>
      <c r="K25" s="123" t="s">
        <v>1274</v>
      </c>
      <c r="L25" s="117" t="s">
        <v>261</v>
      </c>
      <c r="M25" s="123" t="s">
        <v>1344</v>
      </c>
      <c r="N25" s="117" t="s">
        <v>1276</v>
      </c>
      <c r="O25" s="118" t="s">
        <v>1434</v>
      </c>
      <c r="P25" s="118"/>
      <c r="Q25" s="117"/>
      <c r="R25" s="117"/>
      <c r="S25" s="117"/>
      <c r="T25" s="117"/>
      <c r="U25" s="117"/>
      <c r="V25" s="123"/>
      <c r="W25" s="117"/>
      <c r="X25" s="118"/>
      <c r="Y25" s="118"/>
      <c r="Z25" s="118" t="s">
        <v>1435</v>
      </c>
      <c r="AA25" s="118"/>
      <c r="AB25" s="117" t="s">
        <v>1349</v>
      </c>
      <c r="AC25" s="117" t="s">
        <v>1349</v>
      </c>
      <c r="AD25" s="117" t="s">
        <v>1349</v>
      </c>
      <c r="AE25" s="117" t="s">
        <v>1349</v>
      </c>
      <c r="AF25" s="117" t="s">
        <v>1302</v>
      </c>
      <c r="AG25" s="117">
        <v>15</v>
      </c>
      <c r="AH25" s="117"/>
      <c r="AI25" s="117"/>
      <c r="AJ25" s="117"/>
    </row>
    <row r="26" spans="1:36" ht="24.75" customHeight="1">
      <c r="A26" s="116"/>
      <c r="B26" s="117" t="s">
        <v>1270</v>
      </c>
      <c r="C26" s="117" t="s">
        <v>1343</v>
      </c>
      <c r="D26" s="117"/>
      <c r="E26" s="117" t="s">
        <v>1403</v>
      </c>
      <c r="F26" s="118" t="s">
        <v>1436</v>
      </c>
      <c r="G26" s="118" t="s">
        <v>1437</v>
      </c>
      <c r="H26" s="117" t="s">
        <v>302</v>
      </c>
      <c r="I26" s="117"/>
      <c r="J26" s="117" t="s">
        <v>261</v>
      </c>
      <c r="K26" s="123" t="s">
        <v>1274</v>
      </c>
      <c r="L26" s="117" t="s">
        <v>261</v>
      </c>
      <c r="M26" s="123" t="s">
        <v>1344</v>
      </c>
      <c r="N26" s="117" t="s">
        <v>1276</v>
      </c>
      <c r="O26" s="118" t="s">
        <v>1438</v>
      </c>
      <c r="P26" s="118" t="s">
        <v>1376</v>
      </c>
      <c r="Q26" s="117"/>
      <c r="R26" s="117"/>
      <c r="S26" s="117"/>
      <c r="T26" s="117"/>
      <c r="U26" s="117"/>
      <c r="V26" s="123"/>
      <c r="W26" s="117"/>
      <c r="X26" s="118" t="s">
        <v>1439</v>
      </c>
      <c r="Y26" s="118"/>
      <c r="Z26" s="118" t="s">
        <v>1440</v>
      </c>
      <c r="AA26" s="118"/>
      <c r="AB26" s="117"/>
      <c r="AC26" s="117"/>
      <c r="AD26" s="117"/>
      <c r="AE26" s="117"/>
      <c r="AF26" s="117"/>
      <c r="AG26" s="117"/>
      <c r="AH26" s="117"/>
      <c r="AI26" s="117"/>
      <c r="AJ26" s="117"/>
    </row>
    <row r="27" spans="1:36" ht="24.75" customHeight="1">
      <c r="A27" s="116"/>
      <c r="B27" s="117" t="s">
        <v>1270</v>
      </c>
      <c r="C27" s="117" t="s">
        <v>1343</v>
      </c>
      <c r="D27" s="117"/>
      <c r="E27" s="117" t="s">
        <v>1403</v>
      </c>
      <c r="F27" s="128" t="s">
        <v>593</v>
      </c>
      <c r="G27" s="118" t="s">
        <v>1441</v>
      </c>
      <c r="H27" s="117" t="s">
        <v>302</v>
      </c>
      <c r="I27" s="117"/>
      <c r="J27" s="117" t="s">
        <v>319</v>
      </c>
      <c r="K27" s="123" t="s">
        <v>1274</v>
      </c>
      <c r="L27" s="117" t="s">
        <v>319</v>
      </c>
      <c r="M27" s="123" t="s">
        <v>1442</v>
      </c>
      <c r="N27" s="117" t="s">
        <v>1276</v>
      </c>
      <c r="O27" s="118" t="s">
        <v>1443</v>
      </c>
      <c r="P27" s="118"/>
      <c r="Q27" s="117"/>
      <c r="R27" s="117"/>
      <c r="S27" s="117"/>
      <c r="T27" s="117"/>
      <c r="U27" s="117"/>
      <c r="V27" s="123"/>
      <c r="W27" s="117"/>
      <c r="X27" s="118"/>
      <c r="Y27" s="118"/>
      <c r="Z27" s="118" t="s">
        <v>1444</v>
      </c>
      <c r="AA27" s="118"/>
      <c r="AB27" s="117"/>
      <c r="AC27" s="117"/>
      <c r="AD27" s="117"/>
      <c r="AE27" s="117"/>
      <c r="AF27" s="117"/>
      <c r="AG27" s="117"/>
      <c r="AH27" s="117"/>
      <c r="AI27" s="117"/>
      <c r="AJ27" s="117"/>
    </row>
    <row r="28" spans="1:36" ht="24.75" customHeight="1">
      <c r="A28" s="116"/>
      <c r="B28" s="117" t="s">
        <v>1270</v>
      </c>
      <c r="C28" s="117" t="s">
        <v>1343</v>
      </c>
      <c r="D28" s="117"/>
      <c r="E28" s="117" t="s">
        <v>1403</v>
      </c>
      <c r="F28" s="118" t="s">
        <v>1445</v>
      </c>
      <c r="G28" s="118" t="s">
        <v>1446</v>
      </c>
      <c r="H28" s="117" t="s">
        <v>302</v>
      </c>
      <c r="I28" s="117"/>
      <c r="J28" s="117" t="s">
        <v>261</v>
      </c>
      <c r="K28" s="123" t="s">
        <v>1274</v>
      </c>
      <c r="L28" s="117" t="s">
        <v>261</v>
      </c>
      <c r="M28" s="123" t="s">
        <v>1344</v>
      </c>
      <c r="N28" s="117"/>
      <c r="O28" s="118" t="s">
        <v>1447</v>
      </c>
      <c r="P28" s="118"/>
      <c r="Q28" s="117"/>
      <c r="R28" s="117"/>
      <c r="S28" s="117"/>
      <c r="T28" s="117"/>
      <c r="U28" s="117"/>
      <c r="V28" s="123"/>
      <c r="W28" s="117"/>
      <c r="X28" s="118"/>
      <c r="Y28" s="118"/>
      <c r="Z28" s="118"/>
      <c r="AA28" s="118"/>
      <c r="AB28" s="117"/>
      <c r="AC28" s="117"/>
      <c r="AD28" s="117"/>
      <c r="AE28" s="117"/>
      <c r="AF28" s="117"/>
      <c r="AG28" s="117"/>
      <c r="AH28" s="117"/>
      <c r="AI28" s="117"/>
      <c r="AJ28" s="117"/>
    </row>
    <row r="29" spans="1:36" ht="24.75" customHeight="1">
      <c r="A29" s="116"/>
      <c r="B29" s="117" t="s">
        <v>1270</v>
      </c>
      <c r="C29" s="117" t="s">
        <v>1343</v>
      </c>
      <c r="D29" s="117"/>
      <c r="E29" s="117" t="s">
        <v>1448</v>
      </c>
      <c r="F29" s="118" t="s">
        <v>316</v>
      </c>
      <c r="G29" s="118" t="s">
        <v>1449</v>
      </c>
      <c r="H29" s="117" t="s">
        <v>302</v>
      </c>
      <c r="I29" s="117"/>
      <c r="J29" s="117" t="s">
        <v>261</v>
      </c>
      <c r="K29" s="123" t="s">
        <v>1274</v>
      </c>
      <c r="L29" s="117" t="s">
        <v>261</v>
      </c>
      <c r="M29" s="123" t="s">
        <v>1344</v>
      </c>
      <c r="N29" s="117"/>
      <c r="O29" s="118" t="s">
        <v>1450</v>
      </c>
      <c r="P29" s="118" t="s">
        <v>1395</v>
      </c>
      <c r="Q29" s="117"/>
      <c r="R29" s="117"/>
      <c r="S29" s="117"/>
      <c r="T29" s="117"/>
      <c r="U29" s="117"/>
      <c r="V29" s="123"/>
      <c r="W29" s="117"/>
      <c r="X29" s="118" t="s">
        <v>1451</v>
      </c>
      <c r="Y29" s="118"/>
      <c r="Z29" s="118"/>
      <c r="AA29" s="118"/>
      <c r="AB29" s="117"/>
      <c r="AC29" s="117"/>
      <c r="AD29" s="117"/>
      <c r="AE29" s="117"/>
      <c r="AF29" s="117"/>
      <c r="AG29" s="117"/>
      <c r="AH29" s="117"/>
      <c r="AI29" s="117"/>
      <c r="AJ29" s="117"/>
    </row>
    <row r="30" spans="1:36" s="2" customFormat="1" ht="24.75" customHeight="1">
      <c r="A30" s="116"/>
      <c r="B30" s="117" t="s">
        <v>1270</v>
      </c>
      <c r="C30" s="117"/>
      <c r="D30" s="117"/>
      <c r="E30" s="117"/>
      <c r="F30" s="118" t="s">
        <v>1452</v>
      </c>
      <c r="G30" s="118" t="s">
        <v>1453</v>
      </c>
      <c r="H30" s="117" t="s">
        <v>302</v>
      </c>
      <c r="I30" s="117"/>
      <c r="J30" s="117"/>
      <c r="K30" s="123" t="s">
        <v>1274</v>
      </c>
      <c r="L30" s="117" t="s">
        <v>360</v>
      </c>
      <c r="M30" s="123"/>
      <c r="N30" s="117"/>
      <c r="O30" s="118"/>
      <c r="P30" s="118"/>
      <c r="Q30" s="117"/>
      <c r="R30" s="117"/>
      <c r="S30" s="117"/>
      <c r="T30" s="117"/>
      <c r="U30" s="117"/>
      <c r="V30" s="123"/>
      <c r="W30" s="117"/>
      <c r="X30" s="118"/>
      <c r="Y30" s="118"/>
      <c r="Z30" s="118"/>
      <c r="AA30" s="118"/>
      <c r="AB30" s="117"/>
      <c r="AC30" s="117"/>
      <c r="AD30" s="117"/>
      <c r="AE30" s="117"/>
      <c r="AF30" s="117"/>
      <c r="AG30" s="117"/>
      <c r="AH30" s="117"/>
      <c r="AI30" s="117"/>
      <c r="AJ30" s="117"/>
    </row>
    <row r="31" spans="1:36" ht="24.75" customHeight="1">
      <c r="A31" s="116"/>
      <c r="B31" s="117" t="s">
        <v>1270</v>
      </c>
      <c r="C31" s="117" t="s">
        <v>1343</v>
      </c>
      <c r="D31" s="117"/>
      <c r="E31" s="117" t="s">
        <v>1272</v>
      </c>
      <c r="F31" s="118" t="s">
        <v>1454</v>
      </c>
      <c r="G31" s="118" t="s">
        <v>1454</v>
      </c>
      <c r="H31" s="117" t="s">
        <v>302</v>
      </c>
      <c r="I31" s="117"/>
      <c r="J31" s="117" t="s">
        <v>261</v>
      </c>
      <c r="K31" s="123" t="s">
        <v>1274</v>
      </c>
      <c r="L31" s="117" t="s">
        <v>261</v>
      </c>
      <c r="M31" s="123" t="s">
        <v>1344</v>
      </c>
      <c r="N31" s="117"/>
      <c r="O31" s="118" t="s">
        <v>1455</v>
      </c>
      <c r="P31" s="118" t="s">
        <v>1456</v>
      </c>
      <c r="Q31" s="117"/>
      <c r="R31" s="117"/>
      <c r="S31" s="117"/>
      <c r="T31" s="117"/>
      <c r="U31" s="117"/>
      <c r="V31" s="123"/>
      <c r="W31" s="117"/>
      <c r="X31" s="118" t="s">
        <v>1457</v>
      </c>
      <c r="Y31" s="118"/>
      <c r="Z31" s="118"/>
      <c r="AA31" s="118"/>
      <c r="AB31" s="117"/>
      <c r="AC31" s="117"/>
      <c r="AD31" s="117"/>
      <c r="AE31" s="117"/>
      <c r="AF31" s="117"/>
      <c r="AG31" s="117"/>
      <c r="AH31" s="117"/>
      <c r="AI31" s="117"/>
      <c r="AJ31" s="117"/>
    </row>
    <row r="32" spans="1:36" s="16" customFormat="1" ht="24.75" customHeight="1">
      <c r="A32" s="130"/>
      <c r="B32" s="131" t="s">
        <v>1270</v>
      </c>
      <c r="C32" s="131" t="s">
        <v>1343</v>
      </c>
      <c r="D32" s="131"/>
      <c r="E32" s="131" t="s">
        <v>1403</v>
      </c>
      <c r="F32" s="157" t="s">
        <v>1458</v>
      </c>
      <c r="G32" s="157" t="s">
        <v>1458</v>
      </c>
      <c r="H32" s="117" t="s">
        <v>302</v>
      </c>
      <c r="I32" s="131"/>
      <c r="J32" s="117" t="s">
        <v>261</v>
      </c>
      <c r="K32" s="165" t="s">
        <v>1274</v>
      </c>
      <c r="L32" s="131" t="s">
        <v>261</v>
      </c>
      <c r="M32" s="123" t="s">
        <v>1344</v>
      </c>
      <c r="N32" s="131"/>
      <c r="O32" s="157" t="s">
        <v>1459</v>
      </c>
      <c r="P32" s="157" t="s">
        <v>1376</v>
      </c>
      <c r="Q32" s="131"/>
      <c r="R32" s="131"/>
      <c r="S32" s="131"/>
      <c r="T32" s="131"/>
      <c r="U32" s="131"/>
      <c r="V32" s="165"/>
      <c r="W32" s="131"/>
      <c r="X32" s="157" t="s">
        <v>1460</v>
      </c>
      <c r="Y32" s="157"/>
      <c r="Z32" s="157"/>
      <c r="AA32" s="157"/>
      <c r="AB32" s="131"/>
      <c r="AC32" s="131"/>
      <c r="AD32" s="131"/>
      <c r="AE32" s="131"/>
      <c r="AF32" s="131"/>
      <c r="AG32" s="131"/>
      <c r="AH32" s="131"/>
      <c r="AI32" s="131"/>
      <c r="AJ32" s="131"/>
    </row>
    <row r="33" spans="1:36" s="2" customFormat="1" ht="24.75" customHeight="1">
      <c r="A33" s="116"/>
      <c r="B33" s="117" t="s">
        <v>1270</v>
      </c>
      <c r="C33" s="117" t="s">
        <v>1343</v>
      </c>
      <c r="D33" s="117"/>
      <c r="E33" s="117"/>
      <c r="F33" s="118" t="s">
        <v>1461</v>
      </c>
      <c r="G33" s="118"/>
      <c r="H33" s="117" t="s">
        <v>302</v>
      </c>
      <c r="I33" s="117"/>
      <c r="J33" s="117"/>
      <c r="K33" s="123" t="s">
        <v>1275</v>
      </c>
      <c r="L33" s="117" t="s">
        <v>1275</v>
      </c>
      <c r="M33" s="123"/>
      <c r="N33" s="117"/>
      <c r="O33" s="118"/>
      <c r="P33" s="118"/>
      <c r="Q33" s="117"/>
      <c r="R33" s="117"/>
      <c r="S33" s="117"/>
      <c r="T33" s="117"/>
      <c r="U33" s="117"/>
      <c r="V33" s="123"/>
      <c r="W33" s="117"/>
      <c r="X33" s="118"/>
      <c r="Y33" s="118"/>
      <c r="Z33" s="118"/>
      <c r="AA33" s="118"/>
      <c r="AB33" s="117"/>
      <c r="AC33" s="117"/>
      <c r="AD33" s="117"/>
      <c r="AE33" s="117"/>
      <c r="AF33" s="117"/>
      <c r="AG33" s="117"/>
      <c r="AH33" s="117"/>
      <c r="AI33" s="117"/>
      <c r="AJ33" s="117"/>
    </row>
    <row r="34" spans="1:36" ht="24.75" customHeight="1">
      <c r="A34" s="116"/>
      <c r="B34" s="117" t="s">
        <v>1270</v>
      </c>
      <c r="C34" s="117" t="s">
        <v>1343</v>
      </c>
      <c r="D34" s="117"/>
      <c r="E34" s="117" t="s">
        <v>1403</v>
      </c>
      <c r="F34" s="118" t="s">
        <v>1462</v>
      </c>
      <c r="G34" s="118" t="s">
        <v>1462</v>
      </c>
      <c r="H34" s="117" t="s">
        <v>302</v>
      </c>
      <c r="I34" s="117"/>
      <c r="J34" s="117" t="s">
        <v>261</v>
      </c>
      <c r="K34" s="123" t="s">
        <v>1274</v>
      </c>
      <c r="L34" s="117" t="s">
        <v>261</v>
      </c>
      <c r="M34" s="123" t="s">
        <v>1344</v>
      </c>
      <c r="N34" s="117"/>
      <c r="O34" s="118" t="s">
        <v>1463</v>
      </c>
      <c r="P34" s="118" t="s">
        <v>1464</v>
      </c>
      <c r="Q34" s="117"/>
      <c r="R34" s="117"/>
      <c r="S34" s="117"/>
      <c r="T34" s="117"/>
      <c r="U34" s="117"/>
      <c r="V34" s="123"/>
      <c r="W34" s="117"/>
      <c r="X34" s="118"/>
      <c r="Y34" s="118"/>
      <c r="Z34" s="118"/>
      <c r="AA34" s="118"/>
      <c r="AB34" s="117"/>
      <c r="AC34" s="117"/>
      <c r="AD34" s="117"/>
      <c r="AE34" s="117"/>
      <c r="AF34" s="117"/>
      <c r="AG34" s="117"/>
      <c r="AH34" s="117"/>
      <c r="AI34" s="117"/>
      <c r="AJ34" s="117"/>
    </row>
    <row r="35" spans="1:36" ht="24.75" customHeight="1">
      <c r="A35" s="116"/>
      <c r="B35" s="117" t="s">
        <v>1270</v>
      </c>
      <c r="C35" s="117" t="s">
        <v>1343</v>
      </c>
      <c r="D35" s="117"/>
      <c r="E35" s="117" t="s">
        <v>1403</v>
      </c>
      <c r="F35" s="118" t="s">
        <v>1465</v>
      </c>
      <c r="G35" s="118" t="s">
        <v>1466</v>
      </c>
      <c r="H35" s="117" t="s">
        <v>302</v>
      </c>
      <c r="I35" s="117"/>
      <c r="J35" s="117" t="s">
        <v>261</v>
      </c>
      <c r="K35" s="123" t="s">
        <v>1274</v>
      </c>
      <c r="L35" s="117" t="s">
        <v>261</v>
      </c>
      <c r="M35" s="123" t="s">
        <v>1344</v>
      </c>
      <c r="N35" s="117"/>
      <c r="O35" s="118" t="s">
        <v>1467</v>
      </c>
      <c r="P35" s="118"/>
      <c r="Q35" s="117"/>
      <c r="R35" s="117"/>
      <c r="S35" s="117"/>
      <c r="T35" s="117"/>
      <c r="U35" s="117"/>
      <c r="V35" s="123"/>
      <c r="W35" s="117"/>
      <c r="X35" s="118" t="s">
        <v>1468</v>
      </c>
      <c r="Y35" s="118"/>
      <c r="Z35" s="118"/>
      <c r="AA35" s="118"/>
      <c r="AB35" s="117"/>
      <c r="AC35" s="117"/>
      <c r="AD35" s="117"/>
      <c r="AE35" s="117"/>
      <c r="AF35" s="117"/>
      <c r="AG35" s="117"/>
      <c r="AH35" s="117"/>
      <c r="AI35" s="117"/>
      <c r="AJ35" s="117"/>
    </row>
    <row r="36" spans="1:36" ht="24.75" customHeight="1">
      <c r="A36" s="116"/>
      <c r="B36" s="117" t="s">
        <v>1469</v>
      </c>
      <c r="C36" s="117"/>
      <c r="D36" s="117"/>
      <c r="E36" s="117"/>
      <c r="F36" s="118" t="s">
        <v>1470</v>
      </c>
      <c r="G36" s="118" t="s">
        <v>1471</v>
      </c>
      <c r="H36" s="117" t="s">
        <v>298</v>
      </c>
      <c r="I36" s="117"/>
      <c r="J36" s="117" t="s">
        <v>319</v>
      </c>
      <c r="K36" s="123" t="s">
        <v>1274</v>
      </c>
      <c r="L36" s="117" t="s">
        <v>319</v>
      </c>
      <c r="M36" s="123" t="s">
        <v>1442</v>
      </c>
      <c r="N36" s="117" t="s">
        <v>1276</v>
      </c>
      <c r="O36" s="118"/>
      <c r="P36" s="118"/>
      <c r="Q36" s="117"/>
      <c r="R36" s="117"/>
      <c r="S36" s="117"/>
      <c r="T36" s="117"/>
      <c r="U36" s="117"/>
      <c r="V36" s="123"/>
      <c r="W36" s="117"/>
      <c r="X36" s="118"/>
      <c r="Y36" s="118"/>
      <c r="Z36" s="118"/>
      <c r="AA36" s="118"/>
      <c r="AB36" s="117"/>
      <c r="AC36" s="117"/>
      <c r="AD36" s="117"/>
      <c r="AE36" s="117"/>
      <c r="AF36" s="117"/>
      <c r="AG36" s="117"/>
      <c r="AH36" s="117"/>
      <c r="AI36" s="117"/>
      <c r="AJ36" s="117"/>
    </row>
    <row r="37" spans="1:36" ht="24.75" customHeight="1">
      <c r="A37" s="116"/>
      <c r="B37" s="117" t="s">
        <v>1270</v>
      </c>
      <c r="C37" s="117" t="s">
        <v>1343</v>
      </c>
      <c r="D37" s="117"/>
      <c r="E37" s="117" t="s">
        <v>1272</v>
      </c>
      <c r="F37" s="118" t="s">
        <v>1472</v>
      </c>
      <c r="G37" s="118" t="s">
        <v>1473</v>
      </c>
      <c r="H37" s="117" t="s">
        <v>302</v>
      </c>
      <c r="I37" s="117"/>
      <c r="J37" s="117" t="s">
        <v>261</v>
      </c>
      <c r="K37" s="123" t="s">
        <v>1274</v>
      </c>
      <c r="L37" s="117" t="s">
        <v>261</v>
      </c>
      <c r="M37" s="123" t="s">
        <v>1344</v>
      </c>
      <c r="N37" s="117"/>
      <c r="O37" s="118"/>
      <c r="P37" s="118"/>
      <c r="Q37" s="117"/>
      <c r="R37" s="117"/>
      <c r="S37" s="117"/>
      <c r="T37" s="117"/>
      <c r="U37" s="117"/>
      <c r="V37" s="123"/>
      <c r="W37" s="117"/>
      <c r="X37" s="118"/>
      <c r="Y37" s="118"/>
      <c r="Z37" s="118"/>
      <c r="AA37" s="118"/>
      <c r="AB37" s="117"/>
      <c r="AC37" s="117"/>
      <c r="AD37" s="117"/>
      <c r="AE37" s="117"/>
      <c r="AF37" s="117"/>
      <c r="AG37" s="117"/>
      <c r="AH37" s="117"/>
      <c r="AI37" s="117"/>
      <c r="AJ37" s="117"/>
    </row>
    <row r="38" spans="1:36" ht="24.75" customHeight="1">
      <c r="A38" s="116"/>
      <c r="B38" s="117" t="s">
        <v>1270</v>
      </c>
      <c r="C38" s="117" t="s">
        <v>1343</v>
      </c>
      <c r="D38" s="117"/>
      <c r="E38" s="117" t="s">
        <v>1403</v>
      </c>
      <c r="F38" s="118" t="s">
        <v>1474</v>
      </c>
      <c r="G38" s="118" t="s">
        <v>1474</v>
      </c>
      <c r="H38" s="117" t="s">
        <v>302</v>
      </c>
      <c r="I38" s="117"/>
      <c r="J38" s="117" t="s">
        <v>261</v>
      </c>
      <c r="K38" s="123" t="s">
        <v>1274</v>
      </c>
      <c r="L38" s="117" t="s">
        <v>261</v>
      </c>
      <c r="M38" s="123" t="s">
        <v>1344</v>
      </c>
      <c r="N38" s="117"/>
      <c r="O38" s="118" t="s">
        <v>1475</v>
      </c>
      <c r="P38" s="118" t="s">
        <v>1476</v>
      </c>
      <c r="Q38" s="117"/>
      <c r="R38" s="117"/>
      <c r="S38" s="117"/>
      <c r="T38" s="117"/>
      <c r="U38" s="117"/>
      <c r="V38" s="123"/>
      <c r="W38" s="117"/>
      <c r="X38" s="118" t="s">
        <v>1477</v>
      </c>
      <c r="Y38" s="118"/>
      <c r="Z38" s="118"/>
      <c r="AA38" s="118"/>
      <c r="AB38" s="117"/>
      <c r="AC38" s="117"/>
      <c r="AD38" s="117"/>
      <c r="AE38" s="117"/>
      <c r="AF38" s="117"/>
      <c r="AG38" s="117"/>
      <c r="AH38" s="117"/>
      <c r="AI38" s="117"/>
      <c r="AJ38" s="117"/>
    </row>
    <row r="39" spans="1:36" ht="24.75" customHeight="1">
      <c r="A39" s="116"/>
      <c r="B39" s="117" t="s">
        <v>1270</v>
      </c>
      <c r="C39" s="117" t="s">
        <v>1343</v>
      </c>
      <c r="D39" s="117"/>
      <c r="E39" s="117" t="s">
        <v>1403</v>
      </c>
      <c r="F39" s="118" t="s">
        <v>1478</v>
      </c>
      <c r="G39" s="118" t="s">
        <v>1479</v>
      </c>
      <c r="H39" s="117" t="s">
        <v>302</v>
      </c>
      <c r="I39" s="117"/>
      <c r="J39" s="117" t="s">
        <v>261</v>
      </c>
      <c r="K39" s="123" t="s">
        <v>1274</v>
      </c>
      <c r="L39" s="117" t="s">
        <v>261</v>
      </c>
      <c r="M39" s="123" t="s">
        <v>1344</v>
      </c>
      <c r="N39" s="117"/>
      <c r="O39" s="118" t="s">
        <v>1480</v>
      </c>
      <c r="P39" s="118" t="s">
        <v>1395</v>
      </c>
      <c r="Q39" s="117"/>
      <c r="R39" s="117"/>
      <c r="S39" s="117"/>
      <c r="T39" s="117"/>
      <c r="U39" s="117"/>
      <c r="V39" s="123"/>
      <c r="W39" s="117"/>
      <c r="X39" s="118" t="s">
        <v>1481</v>
      </c>
      <c r="Y39" s="118"/>
      <c r="Z39" s="118"/>
      <c r="AA39" s="118"/>
      <c r="AB39" s="117"/>
      <c r="AC39" s="117"/>
      <c r="AD39" s="117"/>
      <c r="AE39" s="117"/>
      <c r="AF39" s="117"/>
      <c r="AG39" s="117"/>
      <c r="AH39" s="117"/>
      <c r="AI39" s="117"/>
      <c r="AJ39" s="117"/>
    </row>
    <row r="40" spans="1:36" ht="24.75" customHeight="1">
      <c r="A40" s="116"/>
      <c r="B40" s="117" t="s">
        <v>1270</v>
      </c>
      <c r="C40" s="117" t="s">
        <v>1343</v>
      </c>
      <c r="D40" s="117"/>
      <c r="E40" s="117" t="s">
        <v>1403</v>
      </c>
      <c r="F40" s="118" t="s">
        <v>1482</v>
      </c>
      <c r="G40" s="118"/>
      <c r="H40" s="117" t="s">
        <v>302</v>
      </c>
      <c r="I40" s="117"/>
      <c r="J40" s="117" t="s">
        <v>261</v>
      </c>
      <c r="K40" s="123" t="s">
        <v>1274</v>
      </c>
      <c r="L40" s="117" t="s">
        <v>261</v>
      </c>
      <c r="M40" s="123" t="s">
        <v>1344</v>
      </c>
      <c r="N40" s="117"/>
      <c r="O40" s="118"/>
      <c r="P40" s="118"/>
      <c r="Q40" s="117"/>
      <c r="R40" s="117"/>
      <c r="S40" s="117"/>
      <c r="T40" s="117"/>
      <c r="U40" s="117"/>
      <c r="V40" s="123"/>
      <c r="W40" s="117"/>
      <c r="X40" s="118"/>
      <c r="Y40" s="118"/>
      <c r="Z40" s="118"/>
      <c r="AA40" s="118"/>
      <c r="AB40" s="117"/>
      <c r="AC40" s="117"/>
      <c r="AD40" s="117"/>
      <c r="AE40" s="117"/>
      <c r="AF40" s="117"/>
      <c r="AG40" s="117"/>
      <c r="AH40" s="117"/>
      <c r="AI40" s="117"/>
      <c r="AJ40" s="117"/>
    </row>
    <row r="41" spans="1:36" ht="24.75" customHeight="1">
      <c r="A41" s="116"/>
      <c r="B41" s="117" t="s">
        <v>1270</v>
      </c>
      <c r="C41" s="117" t="s">
        <v>1343</v>
      </c>
      <c r="D41" s="117"/>
      <c r="E41" s="117" t="s">
        <v>1403</v>
      </c>
      <c r="F41" s="118" t="s">
        <v>1483</v>
      </c>
      <c r="G41" s="118" t="s">
        <v>561</v>
      </c>
      <c r="H41" s="117" t="s">
        <v>302</v>
      </c>
      <c r="I41" s="117"/>
      <c r="J41" s="117" t="s">
        <v>261</v>
      </c>
      <c r="K41" s="123" t="s">
        <v>1274</v>
      </c>
      <c r="L41" s="117" t="s">
        <v>261</v>
      </c>
      <c r="M41" s="123" t="s">
        <v>1344</v>
      </c>
      <c r="N41" s="117"/>
      <c r="O41" s="118" t="s">
        <v>1484</v>
      </c>
      <c r="P41" s="118" t="s">
        <v>1485</v>
      </c>
      <c r="Q41" s="117"/>
      <c r="R41" s="117"/>
      <c r="S41" s="117"/>
      <c r="T41" s="117"/>
      <c r="U41" s="117"/>
      <c r="V41" s="123"/>
      <c r="W41" s="117"/>
      <c r="X41" s="118" t="s">
        <v>1486</v>
      </c>
      <c r="Y41" s="118"/>
      <c r="Z41" s="118"/>
      <c r="AA41" s="118"/>
      <c r="AB41" s="117"/>
      <c r="AC41" s="117"/>
      <c r="AD41" s="117"/>
      <c r="AE41" s="117"/>
      <c r="AF41" s="117"/>
      <c r="AG41" s="117"/>
      <c r="AH41" s="117"/>
      <c r="AI41" s="117"/>
      <c r="AJ41" s="117"/>
    </row>
    <row r="42" spans="1:36" ht="24.75" customHeight="1">
      <c r="A42" s="116"/>
      <c r="B42" s="117" t="s">
        <v>1270</v>
      </c>
      <c r="C42" s="117" t="s">
        <v>1343</v>
      </c>
      <c r="D42" s="117"/>
      <c r="E42" s="117" t="s">
        <v>1403</v>
      </c>
      <c r="F42" s="118" t="s">
        <v>1487</v>
      </c>
      <c r="G42" s="118"/>
      <c r="H42" s="117" t="s">
        <v>302</v>
      </c>
      <c r="I42" s="117"/>
      <c r="J42" s="117" t="s">
        <v>261</v>
      </c>
      <c r="K42" s="123" t="s">
        <v>1274</v>
      </c>
      <c r="L42" s="117" t="s">
        <v>261</v>
      </c>
      <c r="M42" s="123" t="s">
        <v>1344</v>
      </c>
      <c r="N42" s="117"/>
      <c r="O42" s="118"/>
      <c r="P42" s="118"/>
      <c r="Q42" s="117"/>
      <c r="R42" s="117"/>
      <c r="S42" s="117"/>
      <c r="T42" s="117"/>
      <c r="U42" s="117"/>
      <c r="V42" s="123"/>
      <c r="W42" s="117"/>
      <c r="X42" s="118"/>
      <c r="Y42" s="118"/>
      <c r="Z42" s="118"/>
      <c r="AA42" s="118"/>
      <c r="AB42" s="117"/>
      <c r="AC42" s="117"/>
      <c r="AD42" s="117"/>
      <c r="AE42" s="117"/>
      <c r="AF42" s="117"/>
      <c r="AG42" s="117"/>
      <c r="AH42" s="117"/>
      <c r="AI42" s="117"/>
      <c r="AJ42" s="117"/>
    </row>
    <row r="43" spans="1:36" ht="24.75" customHeight="1">
      <c r="A43" s="116"/>
      <c r="B43" s="117" t="s">
        <v>1270</v>
      </c>
      <c r="C43" s="117" t="s">
        <v>1343</v>
      </c>
      <c r="D43" s="117"/>
      <c r="E43" s="117" t="s">
        <v>1403</v>
      </c>
      <c r="F43" s="118" t="s">
        <v>1488</v>
      </c>
      <c r="G43" s="118" t="s">
        <v>1488</v>
      </c>
      <c r="H43" s="117" t="s">
        <v>302</v>
      </c>
      <c r="I43" s="117"/>
      <c r="J43" s="117" t="s">
        <v>261</v>
      </c>
      <c r="K43" s="123" t="s">
        <v>1274</v>
      </c>
      <c r="L43" s="117" t="s">
        <v>261</v>
      </c>
      <c r="M43" s="123" t="s">
        <v>1344</v>
      </c>
      <c r="N43" s="117"/>
      <c r="O43" s="118" t="s">
        <v>1489</v>
      </c>
      <c r="P43" s="118" t="s">
        <v>1490</v>
      </c>
      <c r="Q43" s="117"/>
      <c r="R43" s="117"/>
      <c r="S43" s="117"/>
      <c r="T43" s="117"/>
      <c r="U43" s="117"/>
      <c r="V43" s="123"/>
      <c r="W43" s="117"/>
      <c r="X43" s="118" t="s">
        <v>1491</v>
      </c>
      <c r="Y43" s="118"/>
      <c r="Z43" s="118"/>
      <c r="AA43" s="118"/>
      <c r="AB43" s="117"/>
      <c r="AC43" s="117"/>
      <c r="AD43" s="117"/>
      <c r="AE43" s="117"/>
      <c r="AF43" s="117"/>
      <c r="AG43" s="117"/>
      <c r="AH43" s="117"/>
      <c r="AI43" s="117"/>
      <c r="AJ43" s="117"/>
    </row>
    <row r="44" spans="1:36" ht="24.75" customHeight="1">
      <c r="A44" s="116"/>
      <c r="B44" s="117" t="s">
        <v>1270</v>
      </c>
      <c r="C44" s="117" t="s">
        <v>1343</v>
      </c>
      <c r="D44" s="117"/>
      <c r="E44" s="117" t="s">
        <v>1272</v>
      </c>
      <c r="F44" s="118" t="s">
        <v>1492</v>
      </c>
      <c r="G44" s="118" t="s">
        <v>1493</v>
      </c>
      <c r="H44" s="117" t="s">
        <v>302</v>
      </c>
      <c r="I44" s="117"/>
      <c r="J44" s="117" t="s">
        <v>261</v>
      </c>
      <c r="K44" s="123" t="s">
        <v>1274</v>
      </c>
      <c r="L44" s="117" t="s">
        <v>261</v>
      </c>
      <c r="M44" s="123" t="s">
        <v>1344</v>
      </c>
      <c r="N44" s="117"/>
      <c r="O44" s="118" t="s">
        <v>1494</v>
      </c>
      <c r="P44" s="118" t="s">
        <v>1376</v>
      </c>
      <c r="Q44" s="117"/>
      <c r="R44" s="117"/>
      <c r="S44" s="117"/>
      <c r="T44" s="117"/>
      <c r="U44" s="117"/>
      <c r="V44" s="123"/>
      <c r="W44" s="117"/>
      <c r="X44" s="118" t="s">
        <v>1495</v>
      </c>
      <c r="Y44" s="118"/>
      <c r="Z44" s="118" t="s">
        <v>1496</v>
      </c>
      <c r="AA44" s="118"/>
      <c r="AB44" s="117"/>
      <c r="AC44" s="117"/>
      <c r="AD44" s="117"/>
      <c r="AE44" s="117"/>
      <c r="AF44" s="117"/>
      <c r="AG44" s="117"/>
      <c r="AH44" s="117"/>
      <c r="AI44" s="117"/>
      <c r="AJ44" s="117"/>
    </row>
    <row r="45" spans="1:36" ht="24.75" customHeight="1">
      <c r="A45" s="116"/>
      <c r="B45" s="117" t="s">
        <v>1270</v>
      </c>
      <c r="C45" s="117" t="s">
        <v>1343</v>
      </c>
      <c r="D45" s="117"/>
      <c r="E45" s="117" t="s">
        <v>1403</v>
      </c>
      <c r="F45" s="118" t="s">
        <v>1497</v>
      </c>
      <c r="G45" s="118" t="s">
        <v>1498</v>
      </c>
      <c r="H45" s="117" t="s">
        <v>302</v>
      </c>
      <c r="I45" s="117"/>
      <c r="J45" s="117" t="s">
        <v>261</v>
      </c>
      <c r="K45" s="123" t="s">
        <v>1274</v>
      </c>
      <c r="L45" s="117" t="s">
        <v>261</v>
      </c>
      <c r="M45" s="123" t="s">
        <v>1344</v>
      </c>
      <c r="N45" s="117"/>
      <c r="O45" s="118" t="s">
        <v>1499</v>
      </c>
      <c r="P45" s="118" t="s">
        <v>1500</v>
      </c>
      <c r="Q45" s="117"/>
      <c r="R45" s="117"/>
      <c r="S45" s="117"/>
      <c r="T45" s="117"/>
      <c r="U45" s="117"/>
      <c r="V45" s="123"/>
      <c r="W45" s="117"/>
      <c r="X45" s="118" t="s">
        <v>1501</v>
      </c>
      <c r="Y45" s="118"/>
      <c r="Z45" s="118"/>
      <c r="AA45" s="118"/>
      <c r="AB45" s="117"/>
      <c r="AC45" s="117"/>
      <c r="AD45" s="117"/>
      <c r="AE45" s="117"/>
      <c r="AF45" s="117"/>
      <c r="AG45" s="117"/>
      <c r="AH45" s="117"/>
      <c r="AI45" s="117"/>
      <c r="AJ45" s="117"/>
    </row>
    <row r="46" spans="1:36" ht="24.75" customHeight="1">
      <c r="A46" s="116"/>
      <c r="B46" s="117" t="s">
        <v>1502</v>
      </c>
      <c r="C46" s="117"/>
      <c r="D46" s="117"/>
      <c r="E46" s="117" t="s">
        <v>1272</v>
      </c>
      <c r="F46" s="128" t="s">
        <v>1503</v>
      </c>
      <c r="G46" s="118" t="s">
        <v>1504</v>
      </c>
      <c r="H46" s="117" t="s">
        <v>298</v>
      </c>
      <c r="I46" s="117"/>
      <c r="J46" s="117" t="s">
        <v>1318</v>
      </c>
      <c r="K46" s="123" t="s">
        <v>1274</v>
      </c>
      <c r="L46" s="117" t="s">
        <v>294</v>
      </c>
      <c r="M46" s="123" t="s">
        <v>1505</v>
      </c>
      <c r="N46" s="117" t="s">
        <v>1276</v>
      </c>
      <c r="O46" s="118" t="s">
        <v>1506</v>
      </c>
      <c r="P46" s="118" t="s">
        <v>1507</v>
      </c>
      <c r="Q46" s="117"/>
      <c r="R46" s="117"/>
      <c r="S46" s="117"/>
      <c r="T46" s="117"/>
      <c r="U46" s="117"/>
      <c r="V46" s="123" t="s">
        <v>1508</v>
      </c>
      <c r="W46" s="117"/>
      <c r="X46" s="118" t="s">
        <v>1509</v>
      </c>
      <c r="Y46" s="118"/>
      <c r="Z46" s="175" t="s">
        <v>1510</v>
      </c>
      <c r="AA46" s="118" t="s">
        <v>1511</v>
      </c>
      <c r="AB46" s="117"/>
      <c r="AC46" s="117"/>
      <c r="AD46" s="123"/>
      <c r="AE46" s="123"/>
      <c r="AF46" s="123"/>
      <c r="AG46" s="123"/>
      <c r="AH46" s="123"/>
      <c r="AI46" s="123"/>
      <c r="AJ46" s="123"/>
    </row>
    <row r="47" spans="1:36" ht="24.75" customHeight="1">
      <c r="A47" s="116"/>
      <c r="B47" s="117" t="s">
        <v>1502</v>
      </c>
      <c r="C47" s="117"/>
      <c r="D47" s="117"/>
      <c r="E47" s="117" t="s">
        <v>1272</v>
      </c>
      <c r="F47" s="118" t="s">
        <v>1512</v>
      </c>
      <c r="G47" s="118" t="s">
        <v>1513</v>
      </c>
      <c r="H47" s="117" t="s">
        <v>298</v>
      </c>
      <c r="I47" s="117"/>
      <c r="J47" s="117" t="s">
        <v>1318</v>
      </c>
      <c r="K47" s="123" t="s">
        <v>1274</v>
      </c>
      <c r="L47" s="117" t="s">
        <v>294</v>
      </c>
      <c r="M47" s="123" t="s">
        <v>1514</v>
      </c>
      <c r="N47" s="117" t="s">
        <v>1276</v>
      </c>
      <c r="O47" s="118" t="s">
        <v>1515</v>
      </c>
      <c r="P47" s="118" t="s">
        <v>1516</v>
      </c>
      <c r="Q47" s="117"/>
      <c r="R47" s="117"/>
      <c r="S47" s="117"/>
      <c r="T47" s="117"/>
      <c r="U47" s="117"/>
      <c r="V47" s="123" t="s">
        <v>1517</v>
      </c>
      <c r="W47" s="117"/>
      <c r="X47" s="118" t="s">
        <v>1518</v>
      </c>
      <c r="Y47" s="128"/>
      <c r="Z47" s="118"/>
      <c r="AA47" s="118" t="s">
        <v>1519</v>
      </c>
      <c r="AB47" s="117"/>
      <c r="AC47" s="117"/>
      <c r="AD47" s="123"/>
      <c r="AE47" s="123"/>
      <c r="AF47" s="123"/>
      <c r="AG47" s="123"/>
      <c r="AH47" s="123"/>
      <c r="AI47" s="123"/>
      <c r="AJ47" s="123"/>
    </row>
    <row r="48" spans="1:36" ht="24.75" customHeight="1">
      <c r="A48" s="116"/>
      <c r="B48" s="117" t="s">
        <v>1469</v>
      </c>
      <c r="C48" s="117"/>
      <c r="D48" s="117"/>
      <c r="E48" s="117" t="s">
        <v>1272</v>
      </c>
      <c r="F48" s="118" t="s">
        <v>1520</v>
      </c>
      <c r="G48" s="118" t="s">
        <v>1521</v>
      </c>
      <c r="H48" s="117" t="s">
        <v>298</v>
      </c>
      <c r="I48" s="117"/>
      <c r="J48" s="117" t="s">
        <v>294</v>
      </c>
      <c r="K48" s="123" t="s">
        <v>1274</v>
      </c>
      <c r="L48" s="117" t="s">
        <v>294</v>
      </c>
      <c r="M48" s="123" t="s">
        <v>1522</v>
      </c>
      <c r="N48" s="117" t="s">
        <v>1276</v>
      </c>
      <c r="O48" s="118"/>
      <c r="P48" s="118"/>
      <c r="Q48" s="117"/>
      <c r="R48" s="117"/>
      <c r="S48" s="117"/>
      <c r="T48" s="117"/>
      <c r="U48" s="117"/>
      <c r="V48" s="123" t="s">
        <v>1523</v>
      </c>
      <c r="W48" s="117"/>
      <c r="X48" s="118" t="s">
        <v>1524</v>
      </c>
      <c r="Y48" s="118"/>
      <c r="Z48" s="118"/>
      <c r="AA48" s="118"/>
      <c r="AB48" s="117"/>
      <c r="AC48" s="117"/>
      <c r="AD48" s="123"/>
      <c r="AE48" s="123"/>
      <c r="AF48" s="123"/>
      <c r="AG48" s="123"/>
      <c r="AH48" s="123"/>
      <c r="AI48" s="123"/>
      <c r="AJ48" s="123"/>
    </row>
    <row r="49" spans="1:36" ht="24.75" customHeight="1">
      <c r="A49" s="116"/>
      <c r="B49" s="117" t="s">
        <v>1502</v>
      </c>
      <c r="C49" s="117" t="s">
        <v>1291</v>
      </c>
      <c r="D49" s="117"/>
      <c r="E49" s="117" t="s">
        <v>1272</v>
      </c>
      <c r="F49" s="128" t="s">
        <v>320</v>
      </c>
      <c r="G49" s="118" t="s">
        <v>1525</v>
      </c>
      <c r="H49" s="117" t="s">
        <v>298</v>
      </c>
      <c r="I49" s="117"/>
      <c r="J49" s="117" t="s">
        <v>319</v>
      </c>
      <c r="K49" s="123" t="s">
        <v>1274</v>
      </c>
      <c r="L49" s="117" t="s">
        <v>319</v>
      </c>
      <c r="M49" s="123" t="s">
        <v>1442</v>
      </c>
      <c r="N49" s="117" t="s">
        <v>1276</v>
      </c>
      <c r="O49" s="118" t="s">
        <v>1526</v>
      </c>
      <c r="P49" s="118" t="s">
        <v>1527</v>
      </c>
      <c r="Q49" s="117"/>
      <c r="R49" s="117"/>
      <c r="S49" s="117"/>
      <c r="T49" s="117"/>
      <c r="U49" s="117"/>
      <c r="V49" s="123" t="s">
        <v>1528</v>
      </c>
      <c r="W49" s="132"/>
      <c r="X49" s="133" t="s">
        <v>1529</v>
      </c>
      <c r="Y49" s="133"/>
      <c r="Z49" s="133"/>
      <c r="AA49" s="126" t="s">
        <v>1530</v>
      </c>
      <c r="AB49" s="121"/>
      <c r="AC49" s="121"/>
      <c r="AD49" s="117"/>
      <c r="AE49" s="117"/>
      <c r="AF49" s="117"/>
      <c r="AG49" s="117"/>
      <c r="AH49" s="117"/>
      <c r="AI49" s="117"/>
      <c r="AJ49" s="117"/>
    </row>
    <row r="50" spans="1:36" ht="24.75" customHeight="1">
      <c r="A50" s="116"/>
      <c r="B50" s="117" t="s">
        <v>1502</v>
      </c>
      <c r="C50" s="117" t="s">
        <v>1291</v>
      </c>
      <c r="D50" s="117"/>
      <c r="E50" s="117" t="s">
        <v>1272</v>
      </c>
      <c r="F50" s="128" t="s">
        <v>1531</v>
      </c>
      <c r="G50" s="118" t="s">
        <v>1532</v>
      </c>
      <c r="H50" s="117" t="s">
        <v>298</v>
      </c>
      <c r="I50" s="117"/>
      <c r="J50" s="117" t="s">
        <v>319</v>
      </c>
      <c r="K50" s="123" t="s">
        <v>1274</v>
      </c>
      <c r="L50" s="117" t="s">
        <v>319</v>
      </c>
      <c r="M50" s="123" t="s">
        <v>1442</v>
      </c>
      <c r="N50" s="117" t="s">
        <v>1276</v>
      </c>
      <c r="O50" s="118" t="s">
        <v>1533</v>
      </c>
      <c r="P50" s="118" t="s">
        <v>1534</v>
      </c>
      <c r="Q50" s="117"/>
      <c r="R50" s="117"/>
      <c r="S50" s="117"/>
      <c r="T50" s="117"/>
      <c r="U50" s="117"/>
      <c r="V50" s="135" t="s">
        <v>1535</v>
      </c>
      <c r="W50" s="132"/>
      <c r="X50" s="133" t="s">
        <v>1536</v>
      </c>
      <c r="Y50" s="133"/>
      <c r="Z50" s="133"/>
      <c r="AA50" s="126" t="s">
        <v>1537</v>
      </c>
      <c r="AB50" s="121"/>
      <c r="AC50" s="121"/>
      <c r="AD50" s="123"/>
      <c r="AE50" s="123"/>
      <c r="AF50" s="123"/>
      <c r="AG50" s="123"/>
      <c r="AH50" s="123"/>
      <c r="AI50" s="123"/>
      <c r="AJ50" s="123"/>
    </row>
    <row r="51" spans="1:36" ht="24.75" customHeight="1">
      <c r="A51" s="116"/>
      <c r="B51" s="117" t="s">
        <v>1502</v>
      </c>
      <c r="C51" s="117" t="s">
        <v>1343</v>
      </c>
      <c r="D51" s="117"/>
      <c r="E51" s="117" t="s">
        <v>1272</v>
      </c>
      <c r="F51" s="128" t="s">
        <v>1538</v>
      </c>
      <c r="G51" s="118" t="s">
        <v>1539</v>
      </c>
      <c r="H51" s="117" t="s">
        <v>298</v>
      </c>
      <c r="I51" s="117"/>
      <c r="J51" s="117" t="s">
        <v>319</v>
      </c>
      <c r="K51" s="123" t="s">
        <v>1274</v>
      </c>
      <c r="L51" s="117" t="s">
        <v>319</v>
      </c>
      <c r="M51" s="123" t="s">
        <v>1442</v>
      </c>
      <c r="N51" s="117" t="s">
        <v>1276</v>
      </c>
      <c r="O51" s="118" t="s">
        <v>1540</v>
      </c>
      <c r="P51" s="118" t="s">
        <v>1541</v>
      </c>
      <c r="Q51" s="117"/>
      <c r="R51" s="117"/>
      <c r="S51" s="117"/>
      <c r="T51" s="117"/>
      <c r="U51" s="117"/>
      <c r="V51" s="135" t="s">
        <v>1542</v>
      </c>
      <c r="W51" s="132"/>
      <c r="X51" s="133" t="s">
        <v>1543</v>
      </c>
      <c r="Y51" s="133"/>
      <c r="Z51" s="133"/>
      <c r="AA51" s="126" t="s">
        <v>1544</v>
      </c>
      <c r="AB51" s="121"/>
      <c r="AC51" s="121"/>
      <c r="AD51" s="117"/>
      <c r="AE51" s="117"/>
      <c r="AF51" s="117"/>
      <c r="AG51" s="117"/>
      <c r="AH51" s="117"/>
      <c r="AI51" s="117"/>
      <c r="AJ51" s="117"/>
    </row>
    <row r="52" spans="1:36" ht="24.75" customHeight="1">
      <c r="A52" s="116"/>
      <c r="B52" s="117" t="s">
        <v>1469</v>
      </c>
      <c r="C52" s="117"/>
      <c r="D52" s="117"/>
      <c r="E52" s="117"/>
      <c r="F52" s="128" t="s">
        <v>1545</v>
      </c>
      <c r="G52" s="163" t="s">
        <v>1546</v>
      </c>
      <c r="H52" s="117" t="s">
        <v>298</v>
      </c>
      <c r="I52" s="117"/>
      <c r="J52" s="117" t="s">
        <v>319</v>
      </c>
      <c r="K52" s="123" t="s">
        <v>1274</v>
      </c>
      <c r="L52" s="117" t="s">
        <v>319</v>
      </c>
      <c r="M52" s="123" t="s">
        <v>1442</v>
      </c>
      <c r="N52" s="117" t="s">
        <v>1276</v>
      </c>
      <c r="O52" s="118" t="s">
        <v>1547</v>
      </c>
      <c r="P52" s="118" t="s">
        <v>1548</v>
      </c>
      <c r="Q52" s="117"/>
      <c r="R52" s="117"/>
      <c r="S52" s="117"/>
      <c r="T52" s="117"/>
      <c r="U52" s="117"/>
      <c r="V52" s="123"/>
      <c r="W52" s="117"/>
      <c r="X52" s="133" t="s">
        <v>1549</v>
      </c>
      <c r="Y52" s="133"/>
      <c r="Z52" s="133"/>
      <c r="AA52" s="133"/>
      <c r="AB52" s="121"/>
      <c r="AC52" s="121"/>
      <c r="AD52" s="117"/>
      <c r="AE52" s="117"/>
      <c r="AF52" s="117"/>
      <c r="AG52" s="117"/>
      <c r="AH52" s="117"/>
      <c r="AI52" s="117"/>
      <c r="AJ52" s="117"/>
    </row>
    <row r="53" spans="1:36" ht="24.75" customHeight="1">
      <c r="A53" s="116"/>
      <c r="B53" s="117" t="s">
        <v>1469</v>
      </c>
      <c r="C53" s="117"/>
      <c r="D53" s="117"/>
      <c r="E53" s="117"/>
      <c r="F53" s="118" t="s">
        <v>1550</v>
      </c>
      <c r="G53" s="118" t="s">
        <v>1551</v>
      </c>
      <c r="H53" s="117" t="s">
        <v>298</v>
      </c>
      <c r="I53" s="117"/>
      <c r="J53" s="117" t="s">
        <v>319</v>
      </c>
      <c r="K53" s="123" t="s">
        <v>1274</v>
      </c>
      <c r="L53" s="117" t="s">
        <v>319</v>
      </c>
      <c r="M53" s="123" t="s">
        <v>1442</v>
      </c>
      <c r="N53" s="117" t="s">
        <v>1276</v>
      </c>
      <c r="O53" s="118"/>
      <c r="P53" s="118"/>
      <c r="Q53" s="117"/>
      <c r="R53" s="117"/>
      <c r="S53" s="117"/>
      <c r="T53" s="117"/>
      <c r="U53" s="117"/>
      <c r="V53" s="123"/>
      <c r="W53" s="117"/>
      <c r="X53" s="133" t="s">
        <v>1552</v>
      </c>
      <c r="Y53" s="133"/>
      <c r="Z53" s="133"/>
      <c r="AA53" s="133"/>
      <c r="AB53" s="121"/>
      <c r="AC53" s="121"/>
      <c r="AD53" s="117"/>
      <c r="AE53" s="117"/>
      <c r="AF53" s="117"/>
      <c r="AG53" s="117"/>
      <c r="AH53" s="117"/>
      <c r="AI53" s="117"/>
      <c r="AJ53" s="117"/>
    </row>
    <row r="54" spans="1:36" ht="24.75" customHeight="1">
      <c r="A54" s="116"/>
      <c r="B54" s="117" t="s">
        <v>1469</v>
      </c>
      <c r="C54" s="117"/>
      <c r="D54" s="117"/>
      <c r="E54" s="117"/>
      <c r="F54" s="118" t="s">
        <v>1553</v>
      </c>
      <c r="G54" s="118" t="s">
        <v>1554</v>
      </c>
      <c r="H54" s="117" t="s">
        <v>298</v>
      </c>
      <c r="I54" s="117"/>
      <c r="J54" s="117" t="s">
        <v>319</v>
      </c>
      <c r="K54" s="123" t="s">
        <v>1274</v>
      </c>
      <c r="L54" s="117" t="s">
        <v>319</v>
      </c>
      <c r="M54" s="123" t="s">
        <v>1442</v>
      </c>
      <c r="N54" s="117" t="s">
        <v>1276</v>
      </c>
      <c r="O54" s="118"/>
      <c r="P54" s="118"/>
      <c r="Q54" s="117"/>
      <c r="R54" s="117"/>
      <c r="S54" s="117"/>
      <c r="T54" s="117"/>
      <c r="U54" s="117"/>
      <c r="V54" s="123"/>
      <c r="W54" s="117"/>
      <c r="X54" s="133" t="s">
        <v>1555</v>
      </c>
      <c r="Y54" s="133"/>
      <c r="Z54" s="133"/>
      <c r="AA54" s="133"/>
      <c r="AB54" s="121"/>
      <c r="AC54" s="121"/>
      <c r="AD54" s="117"/>
      <c r="AE54" s="117"/>
      <c r="AF54" s="117"/>
      <c r="AG54" s="117"/>
      <c r="AH54" s="117"/>
      <c r="AI54" s="117"/>
      <c r="AJ54" s="117"/>
    </row>
    <row r="55" spans="1:36" ht="24.75" customHeight="1">
      <c r="A55" s="116"/>
      <c r="B55" s="117" t="s">
        <v>1469</v>
      </c>
      <c r="C55" s="117"/>
      <c r="D55" s="117"/>
      <c r="E55" s="117"/>
      <c r="F55" s="118" t="s">
        <v>1556</v>
      </c>
      <c r="G55" s="164" t="s">
        <v>1557</v>
      </c>
      <c r="H55" s="117" t="s">
        <v>298</v>
      </c>
      <c r="I55" s="117"/>
      <c r="J55" s="117" t="s">
        <v>319</v>
      </c>
      <c r="K55" s="123" t="s">
        <v>1274</v>
      </c>
      <c r="L55" s="117" t="s">
        <v>319</v>
      </c>
      <c r="M55" s="123" t="s">
        <v>1442</v>
      </c>
      <c r="N55" s="117" t="s">
        <v>1276</v>
      </c>
      <c r="O55" s="118"/>
      <c r="P55" s="118"/>
      <c r="Q55" s="117"/>
      <c r="R55" s="117"/>
      <c r="S55" s="117"/>
      <c r="T55" s="117"/>
      <c r="U55" s="117"/>
      <c r="V55" s="123"/>
      <c r="W55" s="117"/>
      <c r="X55" s="118"/>
      <c r="Y55" s="118"/>
      <c r="Z55" s="118"/>
      <c r="AA55" s="118"/>
      <c r="AB55" s="117"/>
      <c r="AC55" s="117"/>
      <c r="AD55" s="117"/>
      <c r="AE55" s="117"/>
      <c r="AF55" s="117"/>
      <c r="AG55" s="117"/>
      <c r="AH55" s="117"/>
      <c r="AI55" s="117"/>
      <c r="AJ55" s="117"/>
    </row>
    <row r="56" spans="1:36" ht="24.75" customHeight="1">
      <c r="A56" s="116"/>
      <c r="B56" s="117" t="s">
        <v>1469</v>
      </c>
      <c r="C56" s="117"/>
      <c r="D56" s="117"/>
      <c r="E56" s="117"/>
      <c r="F56" s="128" t="s">
        <v>1558</v>
      </c>
      <c r="G56" s="118" t="s">
        <v>1559</v>
      </c>
      <c r="H56" s="117" t="s">
        <v>298</v>
      </c>
      <c r="I56" s="117"/>
      <c r="J56" s="117" t="s">
        <v>319</v>
      </c>
      <c r="K56" s="123" t="s">
        <v>1274</v>
      </c>
      <c r="L56" s="117" t="s">
        <v>319</v>
      </c>
      <c r="M56" s="123" t="s">
        <v>1442</v>
      </c>
      <c r="N56" s="117" t="s">
        <v>1276</v>
      </c>
      <c r="O56" s="118" t="s">
        <v>1560</v>
      </c>
      <c r="P56" s="118" t="s">
        <v>1561</v>
      </c>
      <c r="Q56" s="117"/>
      <c r="R56" s="117"/>
      <c r="S56" s="117"/>
      <c r="T56" s="117"/>
      <c r="U56" s="117"/>
      <c r="V56" s="123"/>
      <c r="W56" s="117"/>
      <c r="X56" s="133" t="s">
        <v>1562</v>
      </c>
      <c r="Y56" s="133"/>
      <c r="Z56" s="133"/>
      <c r="AA56" s="133" t="s">
        <v>1563</v>
      </c>
      <c r="AB56" s="121"/>
      <c r="AC56" s="121"/>
      <c r="AD56" s="123"/>
      <c r="AE56" s="123"/>
      <c r="AF56" s="123"/>
      <c r="AG56" s="123"/>
      <c r="AH56" s="123"/>
      <c r="AI56" s="123"/>
      <c r="AJ56" s="123"/>
    </row>
    <row r="57" spans="1:36" ht="24.75" customHeight="1">
      <c r="A57" s="134"/>
      <c r="B57" s="117" t="s">
        <v>1502</v>
      </c>
      <c r="C57" s="117"/>
      <c r="D57" s="117"/>
      <c r="E57" s="117" t="s">
        <v>1272</v>
      </c>
      <c r="F57" s="128" t="s">
        <v>1564</v>
      </c>
      <c r="G57" s="118" t="s">
        <v>1565</v>
      </c>
      <c r="H57" s="117" t="s">
        <v>298</v>
      </c>
      <c r="I57" s="117"/>
      <c r="J57" s="117" t="s">
        <v>319</v>
      </c>
      <c r="K57" s="123" t="s">
        <v>1274</v>
      </c>
      <c r="L57" s="117" t="s">
        <v>319</v>
      </c>
      <c r="M57" s="123" t="s">
        <v>1442</v>
      </c>
      <c r="N57" s="117" t="s">
        <v>1276</v>
      </c>
      <c r="O57" s="118" t="s">
        <v>1566</v>
      </c>
      <c r="P57" s="118" t="s">
        <v>1567</v>
      </c>
      <c r="Q57" s="117"/>
      <c r="R57" s="117"/>
      <c r="S57" s="117"/>
      <c r="T57" s="117"/>
      <c r="U57" s="117"/>
      <c r="V57" s="135" t="s">
        <v>1568</v>
      </c>
      <c r="W57" s="135"/>
      <c r="X57" s="133" t="s">
        <v>1569</v>
      </c>
      <c r="Y57" s="133"/>
      <c r="Z57" s="133"/>
      <c r="AA57" s="126" t="s">
        <v>1570</v>
      </c>
      <c r="AB57" s="121"/>
      <c r="AC57" s="121"/>
      <c r="AD57" s="123"/>
      <c r="AE57" s="123"/>
      <c r="AF57" s="123"/>
      <c r="AG57" s="123"/>
      <c r="AH57" s="123"/>
      <c r="AI57" s="123">
        <v>0</v>
      </c>
      <c r="AJ57" s="123"/>
    </row>
    <row r="58" spans="1:36" ht="24.75" customHeight="1">
      <c r="A58" s="134"/>
      <c r="B58" s="117" t="s">
        <v>1469</v>
      </c>
      <c r="C58" s="117"/>
      <c r="D58" s="117"/>
      <c r="E58" s="117"/>
      <c r="F58" s="118" t="s">
        <v>335</v>
      </c>
      <c r="G58" s="118" t="s">
        <v>1571</v>
      </c>
      <c r="H58" s="117" t="s">
        <v>298</v>
      </c>
      <c r="I58" s="117"/>
      <c r="J58" s="117" t="s">
        <v>269</v>
      </c>
      <c r="K58" s="123" t="s">
        <v>1274</v>
      </c>
      <c r="L58" s="117" t="s">
        <v>269</v>
      </c>
      <c r="M58" s="123" t="s">
        <v>1572</v>
      </c>
      <c r="N58" s="117" t="s">
        <v>1276</v>
      </c>
      <c r="O58" s="118" t="s">
        <v>1573</v>
      </c>
      <c r="P58" s="118" t="s">
        <v>1574</v>
      </c>
      <c r="Q58" s="117"/>
      <c r="R58" s="117"/>
      <c r="S58" s="117"/>
      <c r="T58" s="117"/>
      <c r="U58" s="117"/>
      <c r="V58" s="168" t="s">
        <v>1575</v>
      </c>
      <c r="W58" s="117"/>
      <c r="X58" s="128" t="s">
        <v>1576</v>
      </c>
      <c r="Y58" s="118"/>
      <c r="Z58" s="118" t="s">
        <v>1577</v>
      </c>
      <c r="AA58" s="144" t="s">
        <v>1578</v>
      </c>
      <c r="AB58" s="117"/>
      <c r="AC58" s="117"/>
      <c r="AD58" s="117"/>
      <c r="AE58" s="117"/>
      <c r="AF58" s="117"/>
      <c r="AG58" s="117"/>
      <c r="AH58" s="117"/>
      <c r="AI58" s="117"/>
      <c r="AJ58" s="117"/>
    </row>
    <row r="59" spans="1:36" s="23" customFormat="1" ht="24.75" customHeight="1">
      <c r="A59" s="136"/>
      <c r="B59" s="131" t="s">
        <v>1469</v>
      </c>
      <c r="C59" s="131" t="s">
        <v>1291</v>
      </c>
      <c r="D59" s="131"/>
      <c r="E59" s="131" t="s">
        <v>1272</v>
      </c>
      <c r="F59" s="157" t="s">
        <v>468</v>
      </c>
      <c r="G59" s="157" t="s">
        <v>1579</v>
      </c>
      <c r="H59" s="117" t="s">
        <v>302</v>
      </c>
      <c r="I59" s="131"/>
      <c r="J59" s="131" t="s">
        <v>282</v>
      </c>
      <c r="K59" s="165" t="s">
        <v>1274</v>
      </c>
      <c r="L59" s="131" t="s">
        <v>282</v>
      </c>
      <c r="M59" s="165" t="s">
        <v>282</v>
      </c>
      <c r="N59" s="131" t="s">
        <v>1580</v>
      </c>
      <c r="O59" s="157"/>
      <c r="P59" s="157"/>
      <c r="Q59" s="131"/>
      <c r="R59" s="131"/>
      <c r="S59" s="131" t="s">
        <v>1581</v>
      </c>
      <c r="T59" s="131"/>
      <c r="U59" s="131"/>
      <c r="V59" s="165"/>
      <c r="W59" s="131"/>
      <c r="X59" s="157"/>
      <c r="Y59" s="157"/>
      <c r="Z59" s="157"/>
      <c r="AA59" s="157"/>
      <c r="AB59" s="131"/>
      <c r="AC59" s="131"/>
      <c r="AD59" s="131"/>
      <c r="AE59" s="131"/>
      <c r="AF59" s="131"/>
      <c r="AG59" s="131"/>
      <c r="AH59" s="131"/>
      <c r="AI59" s="131"/>
      <c r="AJ59" s="131"/>
    </row>
    <row r="60" spans="1:36" ht="24.75" customHeight="1">
      <c r="A60" s="134"/>
      <c r="B60" s="117" t="s">
        <v>1582</v>
      </c>
      <c r="C60" s="117"/>
      <c r="D60" s="117"/>
      <c r="E60" s="117"/>
      <c r="F60" s="118" t="s">
        <v>1583</v>
      </c>
      <c r="G60" s="118"/>
      <c r="H60" s="117" t="s">
        <v>298</v>
      </c>
      <c r="I60" s="117"/>
      <c r="J60" s="117" t="s">
        <v>319</v>
      </c>
      <c r="K60" s="123" t="s">
        <v>1274</v>
      </c>
      <c r="L60" s="117" t="s">
        <v>319</v>
      </c>
      <c r="M60" s="123" t="s">
        <v>1442</v>
      </c>
      <c r="N60" s="117" t="s">
        <v>1584</v>
      </c>
      <c r="O60" s="118" t="s">
        <v>1585</v>
      </c>
      <c r="P60" s="118" t="s">
        <v>1395</v>
      </c>
      <c r="Q60" s="117"/>
      <c r="R60" s="117"/>
      <c r="S60" s="117"/>
      <c r="T60" s="117"/>
      <c r="U60" s="117"/>
      <c r="V60" s="123"/>
      <c r="W60" s="117"/>
      <c r="X60" s="118" t="s">
        <v>1586</v>
      </c>
      <c r="Y60" s="118"/>
      <c r="Z60" s="118" t="s">
        <v>1587</v>
      </c>
      <c r="AA60" s="118"/>
      <c r="AB60" s="117"/>
      <c r="AC60" s="117"/>
      <c r="AD60" s="117"/>
      <c r="AE60" s="117"/>
      <c r="AF60" s="117"/>
      <c r="AG60" s="117"/>
      <c r="AH60" s="117"/>
      <c r="AI60" s="117"/>
      <c r="AJ60" s="117"/>
    </row>
    <row r="61" spans="1:36" ht="24.75" customHeight="1">
      <c r="A61" s="134"/>
      <c r="B61" s="117" t="s">
        <v>1270</v>
      </c>
      <c r="C61" s="117" t="s">
        <v>1343</v>
      </c>
      <c r="D61" s="117"/>
      <c r="E61" s="117" t="s">
        <v>1272</v>
      </c>
      <c r="F61" s="133" t="s">
        <v>386</v>
      </c>
      <c r="G61" s="118" t="s">
        <v>1588</v>
      </c>
      <c r="H61" s="117" t="s">
        <v>298</v>
      </c>
      <c r="I61" s="117"/>
      <c r="J61" s="117" t="s">
        <v>1318</v>
      </c>
      <c r="K61" s="123" t="s">
        <v>1274</v>
      </c>
      <c r="L61" s="117" t="s">
        <v>269</v>
      </c>
      <c r="M61" s="123" t="s">
        <v>1293</v>
      </c>
      <c r="N61" s="117" t="s">
        <v>1294</v>
      </c>
      <c r="O61" s="118" t="s">
        <v>1589</v>
      </c>
      <c r="P61" s="118" t="s">
        <v>1590</v>
      </c>
      <c r="Q61" s="117"/>
      <c r="R61" s="117"/>
      <c r="S61" s="117"/>
      <c r="T61" s="117"/>
      <c r="U61" s="117"/>
      <c r="V61" s="123" t="s">
        <v>1591</v>
      </c>
      <c r="W61" s="117"/>
      <c r="X61" s="128" t="s">
        <v>1592</v>
      </c>
      <c r="Y61" s="128"/>
      <c r="Z61" s="118"/>
      <c r="AA61" s="137" t="s">
        <v>1593</v>
      </c>
      <c r="AB61" s="117" t="s">
        <v>1300</v>
      </c>
      <c r="AC61" s="117" t="s">
        <v>1300</v>
      </c>
      <c r="AD61" s="117" t="s">
        <v>1300</v>
      </c>
      <c r="AE61" s="117" t="s">
        <v>1300</v>
      </c>
      <c r="AF61" s="117" t="s">
        <v>1594</v>
      </c>
      <c r="AG61" s="117"/>
      <c r="AH61" s="117"/>
      <c r="AI61" s="138" t="s">
        <v>1595</v>
      </c>
      <c r="AJ61" s="122" t="s">
        <v>1303</v>
      </c>
    </row>
    <row r="62" spans="1:36" ht="24.75" customHeight="1">
      <c r="A62" s="134"/>
      <c r="B62" s="117" t="s">
        <v>1469</v>
      </c>
      <c r="C62" s="117"/>
      <c r="D62" s="117"/>
      <c r="E62" s="117" t="s">
        <v>1272</v>
      </c>
      <c r="F62" s="118" t="s">
        <v>1596</v>
      </c>
      <c r="G62" s="118" t="s">
        <v>1597</v>
      </c>
      <c r="H62" s="117" t="s">
        <v>298</v>
      </c>
      <c r="I62" s="117"/>
      <c r="J62" s="117" t="s">
        <v>1318</v>
      </c>
      <c r="K62" s="123" t="s">
        <v>1274</v>
      </c>
      <c r="L62" s="117" t="s">
        <v>294</v>
      </c>
      <c r="M62" s="123" t="s">
        <v>1598</v>
      </c>
      <c r="N62" s="117" t="s">
        <v>1294</v>
      </c>
      <c r="O62" s="118" t="s">
        <v>1599</v>
      </c>
      <c r="P62" s="118" t="s">
        <v>1548</v>
      </c>
      <c r="Q62" s="117"/>
      <c r="R62" s="117"/>
      <c r="S62" s="117"/>
      <c r="T62" s="117"/>
      <c r="U62" s="117"/>
      <c r="V62" s="123" t="s">
        <v>1600</v>
      </c>
      <c r="W62" s="117"/>
      <c r="X62" s="128" t="s">
        <v>1601</v>
      </c>
      <c r="Y62" s="128"/>
      <c r="Z62" s="118"/>
      <c r="AA62" s="118" t="s">
        <v>1602</v>
      </c>
      <c r="AB62" s="117"/>
      <c r="AC62" s="117"/>
      <c r="AD62" s="117"/>
      <c r="AE62" s="117"/>
      <c r="AF62" s="117"/>
      <c r="AG62" s="117"/>
      <c r="AH62" s="117"/>
      <c r="AI62" s="117"/>
      <c r="AJ62" s="117"/>
    </row>
    <row r="63" spans="1:36" ht="24.75" customHeight="1">
      <c r="A63" s="134"/>
      <c r="B63" s="117" t="s">
        <v>1469</v>
      </c>
      <c r="C63" s="117"/>
      <c r="D63" s="117"/>
      <c r="E63" s="117" t="s">
        <v>1272</v>
      </c>
      <c r="F63" s="118" t="s">
        <v>1603</v>
      </c>
      <c r="G63" s="118" t="s">
        <v>1604</v>
      </c>
      <c r="H63" s="117" t="s">
        <v>298</v>
      </c>
      <c r="I63" s="117"/>
      <c r="J63" s="117" t="s">
        <v>1318</v>
      </c>
      <c r="K63" s="123" t="s">
        <v>1274</v>
      </c>
      <c r="L63" s="117" t="s">
        <v>294</v>
      </c>
      <c r="M63" s="123" t="s">
        <v>1605</v>
      </c>
      <c r="N63" s="117" t="s">
        <v>1276</v>
      </c>
      <c r="O63" s="118"/>
      <c r="P63" s="118"/>
      <c r="Q63" s="117"/>
      <c r="R63" s="117"/>
      <c r="S63" s="117"/>
      <c r="T63" s="117"/>
      <c r="U63" s="117"/>
      <c r="V63" s="123"/>
      <c r="W63" s="117"/>
      <c r="X63" s="118"/>
      <c r="Y63" s="118"/>
      <c r="Z63" s="118"/>
      <c r="AA63" s="118"/>
      <c r="AB63" s="117"/>
      <c r="AC63" s="117"/>
      <c r="AD63" s="117"/>
      <c r="AE63" s="117"/>
      <c r="AF63" s="117"/>
      <c r="AG63" s="117"/>
      <c r="AH63" s="117"/>
      <c r="AI63" s="117"/>
      <c r="AJ63" s="117"/>
    </row>
    <row r="64" spans="1:36" ht="24.75" customHeight="1">
      <c r="A64" s="134"/>
      <c r="B64" s="117" t="s">
        <v>1270</v>
      </c>
      <c r="C64" s="117" t="s">
        <v>1343</v>
      </c>
      <c r="D64" s="117"/>
      <c r="E64" s="117" t="s">
        <v>1272</v>
      </c>
      <c r="F64" s="128" t="s">
        <v>387</v>
      </c>
      <c r="G64" s="118" t="s">
        <v>1606</v>
      </c>
      <c r="H64" s="117" t="s">
        <v>298</v>
      </c>
      <c r="I64" s="117"/>
      <c r="J64" s="117" t="s">
        <v>1318</v>
      </c>
      <c r="K64" s="123" t="s">
        <v>1274</v>
      </c>
      <c r="L64" s="117" t="s">
        <v>269</v>
      </c>
      <c r="M64" s="123" t="s">
        <v>1607</v>
      </c>
      <c r="N64" s="117" t="s">
        <v>1294</v>
      </c>
      <c r="O64" s="118" t="s">
        <v>1608</v>
      </c>
      <c r="P64" s="118" t="s">
        <v>1609</v>
      </c>
      <c r="Q64" s="117"/>
      <c r="R64" s="117"/>
      <c r="S64" s="117"/>
      <c r="T64" s="117"/>
      <c r="U64" s="117"/>
      <c r="V64" s="123" t="s">
        <v>1610</v>
      </c>
      <c r="W64" s="117"/>
      <c r="X64" s="128" t="s">
        <v>1611</v>
      </c>
      <c r="Y64" s="128"/>
      <c r="Z64" s="118"/>
      <c r="AA64" s="118" t="s">
        <v>1612</v>
      </c>
      <c r="AB64" s="117" t="s">
        <v>1300</v>
      </c>
      <c r="AC64" s="117" t="s">
        <v>1300</v>
      </c>
      <c r="AD64" s="117" t="s">
        <v>1300</v>
      </c>
      <c r="AE64" s="117" t="s">
        <v>1300</v>
      </c>
      <c r="AF64" s="117" t="s">
        <v>1594</v>
      </c>
      <c r="AG64" s="117">
        <v>15</v>
      </c>
      <c r="AH64" s="117" t="s">
        <v>1613</v>
      </c>
      <c r="AI64" s="117" t="s">
        <v>1614</v>
      </c>
      <c r="AJ64" s="122" t="s">
        <v>1303</v>
      </c>
    </row>
    <row r="65" spans="1:36" s="2" customFormat="1" ht="24.75" customHeight="1">
      <c r="A65" s="134"/>
      <c r="B65" s="117" t="s">
        <v>1469</v>
      </c>
      <c r="C65" s="117"/>
      <c r="D65" s="117"/>
      <c r="E65" s="117" t="s">
        <v>1272</v>
      </c>
      <c r="F65" s="118" t="s">
        <v>333</v>
      </c>
      <c r="G65" s="118" t="s">
        <v>333</v>
      </c>
      <c r="H65" s="117" t="s">
        <v>424</v>
      </c>
      <c r="I65" s="117" t="s">
        <v>1283</v>
      </c>
      <c r="J65" s="117" t="s">
        <v>306</v>
      </c>
      <c r="K65" s="123" t="s">
        <v>1275</v>
      </c>
      <c r="L65" s="117" t="s">
        <v>306</v>
      </c>
      <c r="M65" s="123" t="s">
        <v>1615</v>
      </c>
      <c r="N65" s="117" t="s">
        <v>1616</v>
      </c>
      <c r="O65" s="118" t="s">
        <v>1617</v>
      </c>
      <c r="P65" s="118"/>
      <c r="Q65" s="117"/>
      <c r="R65" s="117"/>
      <c r="S65" s="117"/>
      <c r="T65" s="117"/>
      <c r="U65" s="117"/>
      <c r="V65" s="123"/>
      <c r="W65" s="117"/>
      <c r="X65" s="128" t="s">
        <v>1618</v>
      </c>
      <c r="Y65" s="128"/>
      <c r="Z65" s="128" t="s">
        <v>1619</v>
      </c>
      <c r="AA65" s="118"/>
      <c r="AB65" s="117"/>
      <c r="AC65" s="117"/>
      <c r="AD65" s="117"/>
      <c r="AE65" s="117"/>
      <c r="AF65" s="117"/>
      <c r="AG65" s="117"/>
      <c r="AH65" s="117"/>
      <c r="AI65" s="117"/>
      <c r="AJ65" s="117"/>
    </row>
    <row r="66" spans="1:36" s="2" customFormat="1" ht="24.75" customHeight="1">
      <c r="A66" s="134"/>
      <c r="B66" s="117" t="s">
        <v>1469</v>
      </c>
      <c r="C66" s="117"/>
      <c r="D66" s="117"/>
      <c r="E66" s="117" t="s">
        <v>1272</v>
      </c>
      <c r="F66" s="118" t="s">
        <v>1620</v>
      </c>
      <c r="G66" s="118" t="s">
        <v>1620</v>
      </c>
      <c r="H66" s="117" t="s">
        <v>424</v>
      </c>
      <c r="I66" s="117" t="s">
        <v>1283</v>
      </c>
      <c r="J66" s="117" t="s">
        <v>282</v>
      </c>
      <c r="K66" s="123" t="s">
        <v>1275</v>
      </c>
      <c r="L66" s="117" t="s">
        <v>282</v>
      </c>
      <c r="M66" s="123" t="s">
        <v>282</v>
      </c>
      <c r="N66" s="117" t="s">
        <v>1621</v>
      </c>
      <c r="O66" s="118"/>
      <c r="P66" s="118"/>
      <c r="Q66" s="117"/>
      <c r="R66" s="117"/>
      <c r="S66" s="117"/>
      <c r="T66" s="117"/>
      <c r="U66" s="117"/>
      <c r="V66" s="123"/>
      <c r="W66" s="117"/>
      <c r="X66" s="118"/>
      <c r="Y66" s="118"/>
      <c r="Z66" s="118" t="s">
        <v>1622</v>
      </c>
      <c r="AA66" s="118"/>
      <c r="AB66" s="117"/>
      <c r="AC66" s="117"/>
      <c r="AD66" s="117"/>
      <c r="AE66" s="117"/>
      <c r="AF66" s="117"/>
      <c r="AG66" s="117"/>
      <c r="AH66" s="117"/>
      <c r="AI66" s="117"/>
      <c r="AJ66" s="117"/>
    </row>
    <row r="67" spans="1:36" ht="24.75" customHeight="1">
      <c r="A67" s="134"/>
      <c r="B67" s="117" t="s">
        <v>1469</v>
      </c>
      <c r="C67" s="117"/>
      <c r="D67" s="117"/>
      <c r="E67" s="117" t="s">
        <v>1272</v>
      </c>
      <c r="F67" s="158"/>
      <c r="G67" s="118" t="s">
        <v>1623</v>
      </c>
      <c r="H67" s="117" t="s">
        <v>298</v>
      </c>
      <c r="I67" s="117"/>
      <c r="J67" s="117" t="s">
        <v>269</v>
      </c>
      <c r="K67" s="123" t="s">
        <v>1274</v>
      </c>
      <c r="L67" s="117" t="s">
        <v>269</v>
      </c>
      <c r="M67" s="123" t="s">
        <v>1607</v>
      </c>
      <c r="N67" s="117" t="s">
        <v>1294</v>
      </c>
      <c r="O67" s="118" t="s">
        <v>1624</v>
      </c>
      <c r="P67" s="118" t="s">
        <v>1625</v>
      </c>
      <c r="Q67" s="117"/>
      <c r="R67" s="117"/>
      <c r="S67" s="117"/>
      <c r="T67" s="117"/>
      <c r="U67" s="117"/>
      <c r="V67" s="123" t="s">
        <v>1626</v>
      </c>
      <c r="W67" s="117"/>
      <c r="X67" s="118" t="s">
        <v>1627</v>
      </c>
      <c r="Y67" s="118"/>
      <c r="Z67" s="118"/>
      <c r="AA67" s="118" t="s">
        <v>1628</v>
      </c>
      <c r="AB67" s="117"/>
      <c r="AC67" s="117"/>
      <c r="AD67" s="117"/>
      <c r="AE67" s="117"/>
      <c r="AF67" s="117"/>
      <c r="AG67" s="117"/>
      <c r="AH67" s="117"/>
      <c r="AI67" s="117"/>
      <c r="AJ67" s="117"/>
    </row>
    <row r="68" spans="1:36" s="2" customFormat="1" ht="24.75" customHeight="1">
      <c r="A68" s="134"/>
      <c r="B68" s="117" t="s">
        <v>1629</v>
      </c>
      <c r="C68" s="117"/>
      <c r="D68" s="117"/>
      <c r="E68" s="117"/>
      <c r="F68" s="157" t="s">
        <v>1630</v>
      </c>
      <c r="G68" s="118"/>
      <c r="H68" s="117" t="s">
        <v>298</v>
      </c>
      <c r="I68" s="117"/>
      <c r="J68" s="117"/>
      <c r="K68" s="123" t="s">
        <v>1274</v>
      </c>
      <c r="L68" s="117"/>
      <c r="M68" s="123"/>
      <c r="N68" s="117"/>
      <c r="O68" s="118"/>
      <c r="P68" s="118"/>
      <c r="Q68" s="117"/>
      <c r="R68" s="117"/>
      <c r="S68" s="117"/>
      <c r="T68" s="117"/>
      <c r="U68" s="117"/>
      <c r="V68" s="123"/>
      <c r="W68" s="117"/>
      <c r="X68" s="118"/>
      <c r="Y68" s="118"/>
      <c r="Z68" s="118"/>
      <c r="AA68" s="118"/>
      <c r="AB68" s="117"/>
      <c r="AC68" s="117"/>
      <c r="AD68" s="117"/>
      <c r="AE68" s="117"/>
      <c r="AF68" s="117"/>
      <c r="AG68" s="117"/>
      <c r="AH68" s="117"/>
      <c r="AI68" s="117"/>
      <c r="AJ68" s="117"/>
    </row>
    <row r="69" spans="1:36" ht="24.75" customHeight="1">
      <c r="A69" s="134"/>
      <c r="B69" s="117" t="s">
        <v>1629</v>
      </c>
      <c r="C69" s="117"/>
      <c r="D69" s="117"/>
      <c r="E69" s="117" t="s">
        <v>1272</v>
      </c>
      <c r="F69" s="158" t="s">
        <v>325</v>
      </c>
      <c r="G69" s="118" t="s">
        <v>1631</v>
      </c>
      <c r="H69" s="117" t="s">
        <v>298</v>
      </c>
      <c r="I69" s="117"/>
      <c r="J69" s="117" t="s">
        <v>289</v>
      </c>
      <c r="K69" s="123" t="s">
        <v>1274</v>
      </c>
      <c r="L69" s="117" t="s">
        <v>269</v>
      </c>
      <c r="M69" s="123" t="s">
        <v>1360</v>
      </c>
      <c r="N69" s="117" t="s">
        <v>1294</v>
      </c>
      <c r="O69" s="118" t="s">
        <v>1632</v>
      </c>
      <c r="P69" s="118" t="s">
        <v>1633</v>
      </c>
      <c r="Q69" s="123"/>
      <c r="R69" s="123"/>
      <c r="S69" s="123"/>
      <c r="T69" s="123"/>
      <c r="U69" s="123"/>
      <c r="V69" s="123" t="s">
        <v>1634</v>
      </c>
      <c r="W69" s="117"/>
      <c r="X69" s="128" t="s">
        <v>1635</v>
      </c>
      <c r="Y69" s="128"/>
      <c r="Z69" s="128" t="s">
        <v>1636</v>
      </c>
      <c r="AA69" s="118" t="s">
        <v>1637</v>
      </c>
      <c r="AB69" s="117"/>
      <c r="AC69" s="117"/>
      <c r="AD69" s="117"/>
      <c r="AE69" s="117"/>
      <c r="AF69" s="117"/>
      <c r="AG69" s="117"/>
      <c r="AH69" s="117"/>
      <c r="AI69" s="117"/>
      <c r="AJ69" s="117"/>
    </row>
    <row r="70" spans="1:36" s="2" customFormat="1" ht="24.75" customHeight="1">
      <c r="A70" s="134"/>
      <c r="B70" s="117" t="s">
        <v>1469</v>
      </c>
      <c r="C70" s="117"/>
      <c r="D70" s="117"/>
      <c r="E70" s="117" t="s">
        <v>238</v>
      </c>
      <c r="F70" s="118" t="s">
        <v>1638</v>
      </c>
      <c r="G70" s="118" t="s">
        <v>1639</v>
      </c>
      <c r="H70" s="117" t="s">
        <v>298</v>
      </c>
      <c r="I70" s="117"/>
      <c r="J70" s="117" t="s">
        <v>151</v>
      </c>
      <c r="K70" s="123" t="s">
        <v>1275</v>
      </c>
      <c r="L70" s="117" t="s">
        <v>151</v>
      </c>
      <c r="M70" s="123" t="s">
        <v>1640</v>
      </c>
      <c r="N70" s="117" t="s">
        <v>1641</v>
      </c>
      <c r="O70" s="118"/>
      <c r="P70" s="118"/>
      <c r="Q70" s="117"/>
      <c r="R70" s="117"/>
      <c r="S70" s="117"/>
      <c r="T70" s="117"/>
      <c r="U70" s="117"/>
      <c r="V70" s="123"/>
      <c r="W70" s="117"/>
      <c r="X70" s="118"/>
      <c r="Y70" s="118"/>
      <c r="Z70" s="118"/>
      <c r="AA70" s="118"/>
      <c r="AB70" s="117"/>
      <c r="AC70" s="117"/>
      <c r="AD70" s="117"/>
      <c r="AE70" s="117"/>
      <c r="AF70" s="117"/>
      <c r="AG70" s="117"/>
      <c r="AH70" s="117"/>
      <c r="AI70" s="117"/>
      <c r="AJ70" s="117"/>
    </row>
    <row r="71" spans="1:36" ht="24.75" customHeight="1">
      <c r="A71" s="134"/>
      <c r="B71" s="117" t="s">
        <v>1502</v>
      </c>
      <c r="C71" s="117"/>
      <c r="D71" s="117"/>
      <c r="E71" s="117" t="s">
        <v>1272</v>
      </c>
      <c r="F71" s="157" t="s">
        <v>1642</v>
      </c>
      <c r="G71" s="118" t="s">
        <v>1643</v>
      </c>
      <c r="H71" s="117" t="s">
        <v>298</v>
      </c>
      <c r="I71" s="117"/>
      <c r="J71" s="117" t="s">
        <v>269</v>
      </c>
      <c r="K71" s="123" t="s">
        <v>1274</v>
      </c>
      <c r="L71" s="117" t="s">
        <v>269</v>
      </c>
      <c r="M71" s="123" t="s">
        <v>1607</v>
      </c>
      <c r="N71" s="117" t="s">
        <v>1294</v>
      </c>
      <c r="O71" s="118" t="s">
        <v>1644</v>
      </c>
      <c r="P71" s="118" t="s">
        <v>1645</v>
      </c>
      <c r="Q71" s="117"/>
      <c r="R71" s="117"/>
      <c r="S71" s="117"/>
      <c r="T71" s="117"/>
      <c r="U71" s="117"/>
      <c r="V71" s="123" t="s">
        <v>1646</v>
      </c>
      <c r="W71" s="117"/>
      <c r="X71" s="128" t="s">
        <v>1647</v>
      </c>
      <c r="Y71" s="128"/>
      <c r="Z71" s="118"/>
      <c r="AA71" s="118" t="s">
        <v>1648</v>
      </c>
      <c r="AB71" s="117"/>
      <c r="AC71" s="117"/>
      <c r="AD71" s="117"/>
      <c r="AE71" s="117"/>
      <c r="AF71" s="117"/>
      <c r="AG71" s="117"/>
      <c r="AH71" s="117"/>
      <c r="AI71" s="117"/>
      <c r="AJ71" s="117"/>
    </row>
    <row r="72" spans="1:36" s="2" customFormat="1" ht="24.75" customHeight="1">
      <c r="A72" s="134"/>
      <c r="B72" s="117" t="s">
        <v>1469</v>
      </c>
      <c r="C72" s="117"/>
      <c r="D72" s="117"/>
      <c r="E72" s="117"/>
      <c r="F72" s="118" t="s">
        <v>307</v>
      </c>
      <c r="G72" s="118" t="s">
        <v>1649</v>
      </c>
      <c r="H72" s="117" t="s">
        <v>424</v>
      </c>
      <c r="I72" s="117" t="s">
        <v>1283</v>
      </c>
      <c r="J72" s="117" t="s">
        <v>1650</v>
      </c>
      <c r="K72" s="123" t="s">
        <v>1275</v>
      </c>
      <c r="L72" s="117" t="s">
        <v>1650</v>
      </c>
      <c r="M72" s="123" t="s">
        <v>1284</v>
      </c>
      <c r="N72" s="117"/>
      <c r="O72" s="126" t="s">
        <v>1651</v>
      </c>
      <c r="P72" s="126" t="s">
        <v>1652</v>
      </c>
      <c r="Q72" s="139"/>
      <c r="R72" s="139"/>
      <c r="S72" s="139"/>
      <c r="T72" s="139"/>
      <c r="U72" s="139"/>
      <c r="V72" s="123"/>
      <c r="W72" s="117"/>
      <c r="X72" s="128" t="s">
        <v>1653</v>
      </c>
      <c r="Y72" s="128"/>
      <c r="Z72" s="128"/>
      <c r="AA72" s="128"/>
      <c r="AB72" s="122"/>
      <c r="AC72" s="122"/>
      <c r="AD72" s="117"/>
      <c r="AE72" s="117"/>
      <c r="AF72" s="117"/>
      <c r="AG72" s="117"/>
      <c r="AH72" s="117"/>
      <c r="AI72" s="117"/>
      <c r="AJ72" s="117"/>
    </row>
    <row r="73" spans="1:36" ht="24.75" customHeight="1">
      <c r="A73" s="134"/>
      <c r="B73" s="117" t="s">
        <v>1270</v>
      </c>
      <c r="C73" s="117"/>
      <c r="D73" s="117"/>
      <c r="E73" s="117" t="s">
        <v>1272</v>
      </c>
      <c r="F73" s="158" t="s">
        <v>388</v>
      </c>
      <c r="G73" s="118" t="s">
        <v>1654</v>
      </c>
      <c r="H73" s="117" t="s">
        <v>298</v>
      </c>
      <c r="I73" s="117"/>
      <c r="J73" s="117" t="s">
        <v>319</v>
      </c>
      <c r="K73" s="123" t="s">
        <v>1274</v>
      </c>
      <c r="L73" s="117" t="s">
        <v>319</v>
      </c>
      <c r="M73" s="123" t="s">
        <v>1655</v>
      </c>
      <c r="N73" s="117" t="s">
        <v>1276</v>
      </c>
      <c r="O73" s="118" t="s">
        <v>1656</v>
      </c>
      <c r="P73" s="118"/>
      <c r="Q73" s="117"/>
      <c r="R73" s="117"/>
      <c r="S73" s="117"/>
      <c r="T73" s="117"/>
      <c r="U73" s="117"/>
      <c r="V73" s="123"/>
      <c r="W73" s="117"/>
      <c r="X73" s="128" t="s">
        <v>1657</v>
      </c>
      <c r="Y73" s="128"/>
      <c r="Z73" s="118"/>
      <c r="AA73" s="118" t="s">
        <v>1658</v>
      </c>
      <c r="AB73" s="117" t="s">
        <v>1300</v>
      </c>
      <c r="AC73" s="117" t="s">
        <v>1300</v>
      </c>
      <c r="AD73" s="117" t="s">
        <v>1300</v>
      </c>
      <c r="AE73" s="117" t="s">
        <v>1300</v>
      </c>
      <c r="AF73" s="117" t="s">
        <v>1594</v>
      </c>
      <c r="AG73" s="117"/>
      <c r="AH73" s="117"/>
      <c r="AI73" s="117" t="s">
        <v>1342</v>
      </c>
      <c r="AJ73" s="122" t="s">
        <v>1303</v>
      </c>
    </row>
    <row r="74" spans="1:36" ht="24.75" customHeight="1">
      <c r="A74" s="134"/>
      <c r="B74" s="117" t="s">
        <v>1270</v>
      </c>
      <c r="C74" s="117"/>
      <c r="D74" s="117"/>
      <c r="E74" s="117" t="s">
        <v>1272</v>
      </c>
      <c r="F74" s="158" t="s">
        <v>382</v>
      </c>
      <c r="G74" s="118" t="s">
        <v>1659</v>
      </c>
      <c r="H74" s="117" t="s">
        <v>298</v>
      </c>
      <c r="I74" s="117"/>
      <c r="J74" s="117" t="s">
        <v>1318</v>
      </c>
      <c r="K74" s="123" t="s">
        <v>1274</v>
      </c>
      <c r="L74" s="117" t="s">
        <v>269</v>
      </c>
      <c r="M74" s="123" t="s">
        <v>1284</v>
      </c>
      <c r="N74" s="117" t="s">
        <v>1294</v>
      </c>
      <c r="O74" s="118" t="s">
        <v>1660</v>
      </c>
      <c r="P74" s="118" t="s">
        <v>1661</v>
      </c>
      <c r="Q74" s="117"/>
      <c r="R74" s="117"/>
      <c r="S74" s="117"/>
      <c r="T74" s="117"/>
      <c r="U74" s="117"/>
      <c r="V74" s="135" t="s">
        <v>1662</v>
      </c>
      <c r="W74" s="132"/>
      <c r="X74" s="133" t="s">
        <v>1663</v>
      </c>
      <c r="Y74" s="133"/>
      <c r="Z74" s="133"/>
      <c r="AA74" s="140" t="s">
        <v>1664</v>
      </c>
      <c r="AB74" s="121"/>
      <c r="AC74" s="121"/>
      <c r="AD74" s="141"/>
      <c r="AE74" s="141"/>
      <c r="AF74" s="141"/>
      <c r="AG74" s="141"/>
      <c r="AH74" s="141"/>
      <c r="AI74" s="141"/>
      <c r="AJ74" s="141"/>
    </row>
    <row r="75" spans="1:36" ht="24.75" customHeight="1">
      <c r="A75" s="134"/>
      <c r="B75" s="117" t="s">
        <v>1502</v>
      </c>
      <c r="C75" s="117"/>
      <c r="D75" s="117"/>
      <c r="E75" s="117" t="s">
        <v>1272</v>
      </c>
      <c r="F75" s="158" t="s">
        <v>1665</v>
      </c>
      <c r="G75" s="118" t="s">
        <v>1666</v>
      </c>
      <c r="H75" s="117" t="s">
        <v>298</v>
      </c>
      <c r="I75" s="117"/>
      <c r="J75" s="117" t="s">
        <v>1318</v>
      </c>
      <c r="K75" s="123" t="s">
        <v>1274</v>
      </c>
      <c r="L75" s="117" t="s">
        <v>294</v>
      </c>
      <c r="M75" s="123" t="s">
        <v>1505</v>
      </c>
      <c r="N75" s="117" t="s">
        <v>1294</v>
      </c>
      <c r="O75" s="118" t="s">
        <v>1667</v>
      </c>
      <c r="P75" s="118" t="s">
        <v>1668</v>
      </c>
      <c r="Q75" s="123"/>
      <c r="R75" s="123"/>
      <c r="S75" s="123"/>
      <c r="T75" s="123"/>
      <c r="U75" s="123"/>
      <c r="V75" s="135" t="s">
        <v>1669</v>
      </c>
      <c r="W75" s="132"/>
      <c r="X75" s="133"/>
      <c r="Y75" s="133"/>
      <c r="Z75" s="133" t="s">
        <v>1670</v>
      </c>
      <c r="AA75" s="133"/>
      <c r="AB75" s="121"/>
      <c r="AC75" s="121"/>
      <c r="AD75" s="141"/>
      <c r="AE75" s="141"/>
      <c r="AF75" s="141"/>
      <c r="AG75" s="141"/>
      <c r="AH75" s="141"/>
      <c r="AI75" s="141"/>
      <c r="AJ75" s="141"/>
    </row>
    <row r="76" spans="1:36" ht="24.75" customHeight="1">
      <c r="A76" s="134"/>
      <c r="B76" s="117" t="s">
        <v>1502</v>
      </c>
      <c r="C76" s="117"/>
      <c r="D76" s="117"/>
      <c r="E76" s="117" t="s">
        <v>1272</v>
      </c>
      <c r="F76" s="158" t="s">
        <v>1671</v>
      </c>
      <c r="G76" s="118" t="s">
        <v>1672</v>
      </c>
      <c r="H76" s="117" t="s">
        <v>298</v>
      </c>
      <c r="I76" s="117"/>
      <c r="J76" s="117" t="s">
        <v>319</v>
      </c>
      <c r="K76" s="123" t="s">
        <v>1274</v>
      </c>
      <c r="L76" s="117" t="s">
        <v>319</v>
      </c>
      <c r="M76" s="123" t="s">
        <v>1442</v>
      </c>
      <c r="N76" s="117" t="s">
        <v>1294</v>
      </c>
      <c r="O76" s="118" t="s">
        <v>1673</v>
      </c>
      <c r="P76" s="118" t="s">
        <v>1674</v>
      </c>
      <c r="Q76" s="123"/>
      <c r="R76" s="123"/>
      <c r="S76" s="123"/>
      <c r="T76" s="123"/>
      <c r="U76" s="123"/>
      <c r="V76" s="135" t="s">
        <v>1675</v>
      </c>
      <c r="W76" s="132"/>
      <c r="X76" s="133" t="s">
        <v>1676</v>
      </c>
      <c r="Y76" s="133"/>
      <c r="Z76" s="133"/>
      <c r="AA76" s="133"/>
      <c r="AB76" s="121"/>
      <c r="AC76" s="121"/>
      <c r="AD76" s="141"/>
      <c r="AE76" s="141"/>
      <c r="AF76" s="141"/>
      <c r="AG76" s="141"/>
      <c r="AH76" s="141"/>
      <c r="AI76" s="141"/>
      <c r="AJ76" s="141"/>
    </row>
    <row r="77" spans="1:36" ht="24.75" customHeight="1">
      <c r="A77" s="134"/>
      <c r="B77" s="117" t="s">
        <v>1677</v>
      </c>
      <c r="C77" s="117" t="s">
        <v>1291</v>
      </c>
      <c r="D77" s="117"/>
      <c r="E77" s="117" t="s">
        <v>1272</v>
      </c>
      <c r="F77" s="158" t="s">
        <v>295</v>
      </c>
      <c r="G77" s="118" t="s">
        <v>1678</v>
      </c>
      <c r="H77" s="117" t="s">
        <v>298</v>
      </c>
      <c r="I77" s="117"/>
      <c r="J77" s="117" t="s">
        <v>1318</v>
      </c>
      <c r="K77" s="123" t="s">
        <v>1274</v>
      </c>
      <c r="L77" s="117" t="s">
        <v>294</v>
      </c>
      <c r="M77" s="123" t="s">
        <v>1679</v>
      </c>
      <c r="N77" s="117" t="s">
        <v>1276</v>
      </c>
      <c r="O77" s="118" t="s">
        <v>1680</v>
      </c>
      <c r="P77" s="118" t="s">
        <v>1681</v>
      </c>
      <c r="Q77" s="117"/>
      <c r="R77" s="117"/>
      <c r="S77" s="117"/>
      <c r="T77" s="117"/>
      <c r="U77" s="117"/>
      <c r="V77" s="135" t="s">
        <v>1682</v>
      </c>
      <c r="W77" s="132"/>
      <c r="X77" s="133" t="s">
        <v>1683</v>
      </c>
      <c r="Y77" s="133"/>
      <c r="Z77" s="133"/>
      <c r="AA77" s="126" t="s">
        <v>1684</v>
      </c>
      <c r="AB77" s="117" t="s">
        <v>1357</v>
      </c>
      <c r="AC77" s="117" t="s">
        <v>1357</v>
      </c>
      <c r="AD77" s="117" t="s">
        <v>1357</v>
      </c>
      <c r="AE77" s="117" t="s">
        <v>1357</v>
      </c>
      <c r="AF77" s="117" t="s">
        <v>1594</v>
      </c>
      <c r="AG77" s="141"/>
      <c r="AH77" s="141"/>
      <c r="AI77" s="138" t="s">
        <v>1685</v>
      </c>
      <c r="AJ77" s="138"/>
    </row>
    <row r="78" spans="1:36" ht="24.75" customHeight="1">
      <c r="A78" s="134"/>
      <c r="B78" s="117" t="s">
        <v>1677</v>
      </c>
      <c r="C78" s="117" t="s">
        <v>1343</v>
      </c>
      <c r="D78" s="117"/>
      <c r="E78" s="117" t="s">
        <v>1272</v>
      </c>
      <c r="F78" s="158" t="s">
        <v>1686</v>
      </c>
      <c r="G78" s="118" t="s">
        <v>1687</v>
      </c>
      <c r="H78" s="117" t="s">
        <v>298</v>
      </c>
      <c r="I78" s="117"/>
      <c r="J78" s="117" t="s">
        <v>319</v>
      </c>
      <c r="K78" s="123" t="s">
        <v>1274</v>
      </c>
      <c r="L78" s="117" t="s">
        <v>319</v>
      </c>
      <c r="M78" s="123" t="s">
        <v>1688</v>
      </c>
      <c r="N78" s="117" t="s">
        <v>1294</v>
      </c>
      <c r="O78" s="118" t="s">
        <v>1689</v>
      </c>
      <c r="P78" s="118" t="s">
        <v>1690</v>
      </c>
      <c r="Q78" s="123"/>
      <c r="R78" s="123"/>
      <c r="S78" s="123"/>
      <c r="T78" s="123"/>
      <c r="U78" s="123"/>
      <c r="V78" s="135" t="s">
        <v>1691</v>
      </c>
      <c r="W78" s="132"/>
      <c r="X78" s="133" t="s">
        <v>1692</v>
      </c>
      <c r="Y78" s="133"/>
      <c r="Z78" s="133"/>
      <c r="AA78" s="140" t="s">
        <v>1693</v>
      </c>
      <c r="AB78" s="121"/>
      <c r="AC78" s="121"/>
      <c r="AD78" s="117"/>
      <c r="AE78" s="117"/>
      <c r="AF78" s="117"/>
      <c r="AG78" s="117"/>
      <c r="AH78" s="117"/>
      <c r="AI78" s="138" t="s">
        <v>1342</v>
      </c>
      <c r="AJ78" s="138"/>
    </row>
    <row r="79" spans="1:36" ht="24.75" customHeight="1">
      <c r="A79" s="134"/>
      <c r="B79" s="117" t="s">
        <v>1469</v>
      </c>
      <c r="C79" s="117"/>
      <c r="D79" s="117"/>
      <c r="E79" s="117"/>
      <c r="F79" s="157" t="s">
        <v>1694</v>
      </c>
      <c r="G79" s="118" t="s">
        <v>1695</v>
      </c>
      <c r="H79" s="117" t="s">
        <v>298</v>
      </c>
      <c r="I79" s="117"/>
      <c r="J79" s="117" t="s">
        <v>319</v>
      </c>
      <c r="K79" s="123" t="s">
        <v>1274</v>
      </c>
      <c r="L79" s="117" t="s">
        <v>319</v>
      </c>
      <c r="M79" s="123" t="s">
        <v>1442</v>
      </c>
      <c r="N79" s="117" t="s">
        <v>1294</v>
      </c>
      <c r="O79" s="118" t="s">
        <v>1696</v>
      </c>
      <c r="P79" s="118" t="s">
        <v>1697</v>
      </c>
      <c r="Q79" s="117"/>
      <c r="R79" s="117"/>
      <c r="S79" s="117"/>
      <c r="T79" s="117"/>
      <c r="U79" s="117"/>
      <c r="V79" s="135" t="s">
        <v>1698</v>
      </c>
      <c r="W79" s="132"/>
      <c r="X79" s="133" t="s">
        <v>1699</v>
      </c>
      <c r="Y79" s="133"/>
      <c r="Z79" s="133"/>
      <c r="AA79" s="126" t="s">
        <v>1700</v>
      </c>
      <c r="AB79" s="121"/>
      <c r="AC79" s="121"/>
      <c r="AD79" s="117"/>
      <c r="AE79" s="117"/>
      <c r="AF79" s="117"/>
      <c r="AG79" s="117"/>
      <c r="AH79" s="117"/>
      <c r="AI79" s="117"/>
      <c r="AJ79" s="117"/>
    </row>
    <row r="80" spans="1:36" ht="24.75" customHeight="1">
      <c r="A80" s="134"/>
      <c r="B80" s="117" t="s">
        <v>1502</v>
      </c>
      <c r="C80" s="117"/>
      <c r="D80" s="117"/>
      <c r="E80" s="117" t="s">
        <v>1272</v>
      </c>
      <c r="F80" s="158" t="s">
        <v>346</v>
      </c>
      <c r="G80" s="118" t="s">
        <v>1701</v>
      </c>
      <c r="H80" s="117" t="s">
        <v>298</v>
      </c>
      <c r="I80" s="117"/>
      <c r="J80" s="117" t="s">
        <v>269</v>
      </c>
      <c r="K80" s="123" t="s">
        <v>1274</v>
      </c>
      <c r="L80" s="117" t="s">
        <v>269</v>
      </c>
      <c r="M80" s="123" t="s">
        <v>1293</v>
      </c>
      <c r="N80" s="117" t="s">
        <v>1294</v>
      </c>
      <c r="O80" s="118" t="s">
        <v>1702</v>
      </c>
      <c r="P80" s="118" t="s">
        <v>1703</v>
      </c>
      <c r="Q80" s="123"/>
      <c r="R80" s="123"/>
      <c r="S80" s="123"/>
      <c r="T80" s="123"/>
      <c r="U80" s="123"/>
      <c r="V80" s="123" t="s">
        <v>1704</v>
      </c>
      <c r="W80" s="117"/>
      <c r="X80" s="128" t="s">
        <v>1705</v>
      </c>
      <c r="Y80" s="128"/>
      <c r="Z80" s="118" t="s">
        <v>1706</v>
      </c>
      <c r="AA80" s="118" t="s">
        <v>1707</v>
      </c>
      <c r="AB80" s="117"/>
      <c r="AC80" s="117"/>
      <c r="AD80" s="117"/>
      <c r="AE80" s="117"/>
      <c r="AF80" s="117"/>
      <c r="AG80" s="117"/>
      <c r="AH80" s="117"/>
      <c r="AI80" s="117"/>
      <c r="AJ80" s="117"/>
    </row>
    <row r="81" spans="1:36" s="2" customFormat="1" ht="24.75" customHeight="1">
      <c r="A81" s="134"/>
      <c r="B81" s="117" t="s">
        <v>1469</v>
      </c>
      <c r="C81" s="117"/>
      <c r="D81" s="117"/>
      <c r="E81" s="117"/>
      <c r="F81" s="118" t="s">
        <v>1708</v>
      </c>
      <c r="G81" s="118" t="s">
        <v>1709</v>
      </c>
      <c r="H81" s="117" t="s">
        <v>298</v>
      </c>
      <c r="I81" s="117"/>
      <c r="J81" s="117"/>
      <c r="K81" s="123" t="s">
        <v>269</v>
      </c>
      <c r="L81" s="117"/>
      <c r="M81" s="123"/>
      <c r="N81" s="117"/>
      <c r="O81" s="118"/>
      <c r="P81" s="118"/>
      <c r="Q81" s="117"/>
      <c r="R81" s="117"/>
      <c r="S81" s="117"/>
      <c r="T81" s="117"/>
      <c r="U81" s="117"/>
      <c r="V81" s="123"/>
      <c r="W81" s="117"/>
      <c r="X81" s="118"/>
      <c r="Y81" s="118"/>
      <c r="Z81" s="118"/>
      <c r="AA81" s="118"/>
      <c r="AB81" s="117"/>
      <c r="AC81" s="117"/>
      <c r="AD81" s="117"/>
      <c r="AE81" s="117"/>
      <c r="AF81" s="117"/>
      <c r="AG81" s="117"/>
      <c r="AH81" s="117"/>
      <c r="AI81" s="117"/>
      <c r="AJ81" s="117"/>
    </row>
    <row r="82" spans="1:36" s="2" customFormat="1" ht="24.75" customHeight="1">
      <c r="A82" s="134"/>
      <c r="B82" s="117" t="s">
        <v>1469</v>
      </c>
      <c r="C82" s="117"/>
      <c r="D82" s="117"/>
      <c r="E82" s="117"/>
      <c r="F82" s="118" t="s">
        <v>1710</v>
      </c>
      <c r="G82" s="118" t="s">
        <v>1711</v>
      </c>
      <c r="H82" s="117" t="s">
        <v>298</v>
      </c>
      <c r="I82" s="117"/>
      <c r="J82" s="117"/>
      <c r="K82" s="123" t="s">
        <v>269</v>
      </c>
      <c r="L82" s="117"/>
      <c r="M82" s="123"/>
      <c r="N82" s="117"/>
      <c r="O82" s="118"/>
      <c r="P82" s="118"/>
      <c r="Q82" s="117"/>
      <c r="R82" s="117"/>
      <c r="S82" s="117"/>
      <c r="T82" s="117"/>
      <c r="U82" s="117"/>
      <c r="V82" s="123"/>
      <c r="W82" s="117"/>
      <c r="X82" s="118"/>
      <c r="Y82" s="118"/>
      <c r="Z82" s="118"/>
      <c r="AA82" s="118"/>
      <c r="AB82" s="117"/>
      <c r="AC82" s="117"/>
      <c r="AD82" s="117"/>
      <c r="AE82" s="117"/>
      <c r="AF82" s="117"/>
      <c r="AG82" s="117"/>
      <c r="AH82" s="117"/>
      <c r="AI82" s="117"/>
      <c r="AJ82" s="117"/>
    </row>
    <row r="83" spans="1:36" s="2" customFormat="1" ht="24.75" customHeight="1">
      <c r="A83" s="134"/>
      <c r="B83" s="117" t="s">
        <v>1469</v>
      </c>
      <c r="C83" s="117"/>
      <c r="D83" s="117"/>
      <c r="E83" s="117"/>
      <c r="F83" s="118" t="s">
        <v>1712</v>
      </c>
      <c r="G83" s="118" t="s">
        <v>1713</v>
      </c>
      <c r="H83" s="117" t="s">
        <v>298</v>
      </c>
      <c r="I83" s="117"/>
      <c r="J83" s="117"/>
      <c r="K83" s="123" t="s">
        <v>269</v>
      </c>
      <c r="L83" s="117"/>
      <c r="M83" s="123"/>
      <c r="N83" s="117"/>
      <c r="O83" s="118"/>
      <c r="P83" s="118"/>
      <c r="Q83" s="117"/>
      <c r="R83" s="117"/>
      <c r="S83" s="117"/>
      <c r="T83" s="117"/>
      <c r="U83" s="117"/>
      <c r="V83" s="123"/>
      <c r="W83" s="117"/>
      <c r="X83" s="118"/>
      <c r="Y83" s="118"/>
      <c r="Z83" s="118"/>
      <c r="AA83" s="118"/>
      <c r="AB83" s="117"/>
      <c r="AC83" s="117"/>
      <c r="AD83" s="117"/>
      <c r="AE83" s="117"/>
      <c r="AF83" s="117"/>
      <c r="AG83" s="117"/>
      <c r="AH83" s="117"/>
      <c r="AI83" s="117"/>
      <c r="AJ83" s="117"/>
    </row>
    <row r="84" spans="1:36" s="2" customFormat="1" ht="24.75" customHeight="1">
      <c r="A84" s="134"/>
      <c r="B84" s="117" t="s">
        <v>1469</v>
      </c>
      <c r="C84" s="117"/>
      <c r="D84" s="117"/>
      <c r="E84" s="117"/>
      <c r="F84" s="118" t="s">
        <v>1714</v>
      </c>
      <c r="G84" s="118" t="s">
        <v>1715</v>
      </c>
      <c r="H84" s="117" t="s">
        <v>298</v>
      </c>
      <c r="I84" s="117"/>
      <c r="J84" s="117"/>
      <c r="K84" s="123" t="s">
        <v>269</v>
      </c>
      <c r="L84" s="117"/>
      <c r="M84" s="123"/>
      <c r="N84" s="117"/>
      <c r="O84" s="118"/>
      <c r="P84" s="118"/>
      <c r="Q84" s="117"/>
      <c r="R84" s="117"/>
      <c r="S84" s="117"/>
      <c r="T84" s="117"/>
      <c r="U84" s="117"/>
      <c r="V84" s="123"/>
      <c r="W84" s="117"/>
      <c r="X84" s="118"/>
      <c r="Y84" s="118"/>
      <c r="Z84" s="118"/>
      <c r="AA84" s="118"/>
      <c r="AB84" s="117"/>
      <c r="AC84" s="117"/>
      <c r="AD84" s="117"/>
      <c r="AE84" s="117"/>
      <c r="AF84" s="117"/>
      <c r="AG84" s="117"/>
      <c r="AH84" s="117"/>
      <c r="AI84" s="117"/>
      <c r="AJ84" s="117"/>
    </row>
    <row r="85" spans="1:36" s="2" customFormat="1" ht="24.75" customHeight="1">
      <c r="A85" s="134"/>
      <c r="B85" s="117" t="s">
        <v>1469</v>
      </c>
      <c r="C85" s="117"/>
      <c r="D85" s="117"/>
      <c r="E85" s="117"/>
      <c r="F85" s="118" t="s">
        <v>1716</v>
      </c>
      <c r="G85" s="118" t="s">
        <v>1717</v>
      </c>
      <c r="H85" s="117" t="s">
        <v>298</v>
      </c>
      <c r="I85" s="117"/>
      <c r="J85" s="117"/>
      <c r="K85" s="123" t="s">
        <v>269</v>
      </c>
      <c r="L85" s="117"/>
      <c r="M85" s="123"/>
      <c r="N85" s="117"/>
      <c r="O85" s="118"/>
      <c r="P85" s="118"/>
      <c r="Q85" s="117"/>
      <c r="R85" s="117"/>
      <c r="S85" s="117"/>
      <c r="T85" s="117"/>
      <c r="U85" s="117"/>
      <c r="V85" s="123"/>
      <c r="W85" s="117"/>
      <c r="X85" s="118"/>
      <c r="Y85" s="118"/>
      <c r="Z85" s="118"/>
      <c r="AA85" s="118"/>
      <c r="AB85" s="117"/>
      <c r="AC85" s="117"/>
      <c r="AD85" s="117"/>
      <c r="AE85" s="117"/>
      <c r="AF85" s="117"/>
      <c r="AG85" s="117"/>
      <c r="AH85" s="117"/>
      <c r="AI85" s="117"/>
      <c r="AJ85" s="117"/>
    </row>
    <row r="86" spans="1:36" s="2" customFormat="1" ht="24.75" customHeight="1">
      <c r="A86" s="134"/>
      <c r="B86" s="117" t="s">
        <v>1469</v>
      </c>
      <c r="C86" s="117"/>
      <c r="D86" s="117"/>
      <c r="E86" s="117"/>
      <c r="F86" s="118" t="s">
        <v>1206</v>
      </c>
      <c r="G86" s="118" t="s">
        <v>1718</v>
      </c>
      <c r="H86" s="117" t="s">
        <v>298</v>
      </c>
      <c r="I86" s="117"/>
      <c r="J86" s="117" t="s">
        <v>360</v>
      </c>
      <c r="K86" s="123" t="s">
        <v>1274</v>
      </c>
      <c r="L86" s="117" t="s">
        <v>360</v>
      </c>
      <c r="M86" s="123"/>
      <c r="N86" s="117"/>
      <c r="O86" s="118"/>
      <c r="P86" s="118"/>
      <c r="Q86" s="117"/>
      <c r="R86" s="117"/>
      <c r="S86" s="117"/>
      <c r="T86" s="117"/>
      <c r="U86" s="117"/>
      <c r="V86" s="123"/>
      <c r="W86" s="117"/>
      <c r="X86" s="118"/>
      <c r="Y86" s="118"/>
      <c r="Z86" s="118"/>
      <c r="AA86" s="118"/>
      <c r="AB86" s="117"/>
      <c r="AC86" s="117"/>
      <c r="AD86" s="117"/>
      <c r="AE86" s="117"/>
      <c r="AF86" s="117"/>
      <c r="AG86" s="117"/>
      <c r="AH86" s="117"/>
      <c r="AI86" s="117"/>
      <c r="AJ86" s="117"/>
    </row>
    <row r="87" spans="1:36" s="2" customFormat="1" ht="24.75" customHeight="1">
      <c r="A87" s="134"/>
      <c r="B87" s="117" t="s">
        <v>1469</v>
      </c>
      <c r="C87" s="117"/>
      <c r="D87" s="117"/>
      <c r="E87" s="117"/>
      <c r="F87" s="118" t="s">
        <v>1719</v>
      </c>
      <c r="G87" s="118" t="s">
        <v>1720</v>
      </c>
      <c r="H87" s="117" t="s">
        <v>298</v>
      </c>
      <c r="I87" s="117"/>
      <c r="J87" s="117"/>
      <c r="K87" s="123" t="s">
        <v>269</v>
      </c>
      <c r="L87" s="117"/>
      <c r="M87" s="123"/>
      <c r="N87" s="117"/>
      <c r="O87" s="118"/>
      <c r="P87" s="118"/>
      <c r="Q87" s="117"/>
      <c r="R87" s="117"/>
      <c r="S87" s="117"/>
      <c r="T87" s="117"/>
      <c r="U87" s="117"/>
      <c r="V87" s="123"/>
      <c r="W87" s="117"/>
      <c r="X87" s="118"/>
      <c r="Y87" s="118"/>
      <c r="Z87" s="118"/>
      <c r="AA87" s="118"/>
      <c r="AB87" s="117"/>
      <c r="AC87" s="117"/>
      <c r="AD87" s="117"/>
      <c r="AE87" s="117"/>
      <c r="AF87" s="117"/>
      <c r="AG87" s="117"/>
      <c r="AH87" s="117"/>
      <c r="AI87" s="117"/>
      <c r="AJ87" s="117"/>
    </row>
    <row r="88" spans="1:36" s="2" customFormat="1" ht="24.75" customHeight="1">
      <c r="A88" s="116"/>
      <c r="B88" s="117" t="s">
        <v>1469</v>
      </c>
      <c r="C88" s="117"/>
      <c r="D88" s="117"/>
      <c r="E88" s="117"/>
      <c r="F88" s="118" t="s">
        <v>1721</v>
      </c>
      <c r="G88" s="118" t="s">
        <v>1722</v>
      </c>
      <c r="H88" s="117" t="s">
        <v>298</v>
      </c>
      <c r="I88" s="117"/>
      <c r="J88" s="117"/>
      <c r="K88" s="123" t="s">
        <v>269</v>
      </c>
      <c r="L88" s="117"/>
      <c r="M88" s="123"/>
      <c r="N88" s="117"/>
      <c r="O88" s="118"/>
      <c r="P88" s="118"/>
      <c r="Q88" s="117"/>
      <c r="R88" s="117"/>
      <c r="S88" s="117"/>
      <c r="T88" s="117"/>
      <c r="U88" s="117"/>
      <c r="V88" s="123"/>
      <c r="W88" s="117"/>
      <c r="X88" s="118"/>
      <c r="Y88" s="118"/>
      <c r="Z88" s="118"/>
      <c r="AA88" s="118"/>
      <c r="AB88" s="117"/>
      <c r="AC88" s="117"/>
      <c r="AD88" s="117"/>
      <c r="AE88" s="117"/>
      <c r="AF88" s="117"/>
      <c r="AG88" s="117"/>
      <c r="AH88" s="117"/>
      <c r="AI88" s="117"/>
      <c r="AJ88" s="117"/>
    </row>
    <row r="89" spans="1:36" ht="24.75" customHeight="1">
      <c r="A89" s="116"/>
      <c r="B89" s="117" t="s">
        <v>1502</v>
      </c>
      <c r="C89" s="117"/>
      <c r="D89" s="117"/>
      <c r="E89" s="117" t="s">
        <v>1272</v>
      </c>
      <c r="F89" s="118" t="s">
        <v>1723</v>
      </c>
      <c r="G89" s="118" t="s">
        <v>1724</v>
      </c>
      <c r="H89" s="117" t="s">
        <v>424</v>
      </c>
      <c r="I89" s="117" t="s">
        <v>302</v>
      </c>
      <c r="J89" s="117" t="s">
        <v>326</v>
      </c>
      <c r="K89" s="123" t="s">
        <v>1725</v>
      </c>
      <c r="L89" s="117" t="s">
        <v>326</v>
      </c>
      <c r="M89" s="123" t="s">
        <v>1726</v>
      </c>
      <c r="N89" s="117" t="s">
        <v>1305</v>
      </c>
      <c r="O89" s="118" t="s">
        <v>1727</v>
      </c>
      <c r="P89" s="118" t="s">
        <v>1728</v>
      </c>
      <c r="Q89" s="117"/>
      <c r="R89" s="117"/>
      <c r="S89" s="117"/>
      <c r="T89" s="117"/>
      <c r="U89" s="117"/>
      <c r="V89" s="127">
        <v>773371442</v>
      </c>
      <c r="W89" s="119"/>
      <c r="X89" s="128" t="s">
        <v>1729</v>
      </c>
      <c r="Y89" s="128"/>
      <c r="Z89" s="118" t="s">
        <v>1730</v>
      </c>
      <c r="AA89" s="118" t="s">
        <v>1731</v>
      </c>
      <c r="AB89" s="117"/>
      <c r="AC89" s="117"/>
      <c r="AD89" s="117"/>
      <c r="AE89" s="117"/>
      <c r="AF89" s="117"/>
      <c r="AG89" s="117"/>
      <c r="AH89" s="117"/>
      <c r="AI89" s="117"/>
      <c r="AJ89" s="117"/>
    </row>
    <row r="90" spans="1:36" s="2" customFormat="1" ht="24.75" customHeight="1">
      <c r="A90" s="116"/>
      <c r="B90" s="117" t="s">
        <v>1469</v>
      </c>
      <c r="C90" s="117"/>
      <c r="D90" s="117"/>
      <c r="E90" s="117" t="s">
        <v>1272</v>
      </c>
      <c r="F90" s="118" t="s">
        <v>1732</v>
      </c>
      <c r="G90" s="118" t="s">
        <v>1733</v>
      </c>
      <c r="H90" s="117" t="s">
        <v>424</v>
      </c>
      <c r="I90" s="117" t="s">
        <v>1283</v>
      </c>
      <c r="J90" s="117" t="s">
        <v>282</v>
      </c>
      <c r="K90" s="123" t="s">
        <v>1725</v>
      </c>
      <c r="L90" s="117" t="s">
        <v>282</v>
      </c>
      <c r="M90" s="123" t="s">
        <v>282</v>
      </c>
      <c r="N90" s="117" t="s">
        <v>1734</v>
      </c>
      <c r="O90" s="118"/>
      <c r="P90" s="118"/>
      <c r="Q90" s="117"/>
      <c r="R90" s="117"/>
      <c r="S90" s="117"/>
      <c r="T90" s="117"/>
      <c r="U90" s="117"/>
      <c r="V90" s="123"/>
      <c r="W90" s="117"/>
      <c r="X90" s="118"/>
      <c r="Y90" s="118"/>
      <c r="Z90" s="128" t="s">
        <v>1735</v>
      </c>
      <c r="AA90" s="118"/>
      <c r="AB90" s="117"/>
      <c r="AC90" s="117"/>
      <c r="AD90" s="117"/>
      <c r="AE90" s="117"/>
      <c r="AF90" s="117"/>
      <c r="AG90" s="117"/>
      <c r="AH90" s="117"/>
      <c r="AI90" s="117"/>
      <c r="AJ90" s="117"/>
    </row>
    <row r="91" spans="1:36" s="2" customFormat="1" ht="24.75" customHeight="1">
      <c r="A91" s="116"/>
      <c r="B91" s="117" t="s">
        <v>1469</v>
      </c>
      <c r="C91" s="117"/>
      <c r="D91" s="117"/>
      <c r="E91" s="117" t="s">
        <v>1272</v>
      </c>
      <c r="F91" s="118" t="s">
        <v>1736</v>
      </c>
      <c r="G91" s="118" t="s">
        <v>1737</v>
      </c>
      <c r="H91" s="117" t="s">
        <v>424</v>
      </c>
      <c r="I91" s="117" t="s">
        <v>1283</v>
      </c>
      <c r="J91" s="117" t="s">
        <v>282</v>
      </c>
      <c r="K91" s="123" t="s">
        <v>1725</v>
      </c>
      <c r="L91" s="117" t="s">
        <v>282</v>
      </c>
      <c r="M91" s="123" t="s">
        <v>282</v>
      </c>
      <c r="N91" s="117" t="s">
        <v>1738</v>
      </c>
      <c r="O91" s="118" t="s">
        <v>1739</v>
      </c>
      <c r="P91" s="118" t="s">
        <v>1740</v>
      </c>
      <c r="Q91" s="117"/>
      <c r="R91" s="117"/>
      <c r="S91" s="117"/>
      <c r="T91" s="117"/>
      <c r="U91" s="117"/>
      <c r="V91" s="123">
        <v>90053309</v>
      </c>
      <c r="W91" s="117"/>
      <c r="X91" s="118" t="s">
        <v>1741</v>
      </c>
      <c r="Y91" s="118"/>
      <c r="Z91" s="128" t="s">
        <v>1742</v>
      </c>
      <c r="AA91" s="118" t="s">
        <v>1743</v>
      </c>
      <c r="AB91" s="117"/>
      <c r="AC91" s="117"/>
      <c r="AD91" s="117"/>
      <c r="AE91" s="117"/>
      <c r="AF91" s="117"/>
      <c r="AG91" s="117"/>
      <c r="AH91" s="117"/>
      <c r="AI91" s="117"/>
      <c r="AJ91" s="117"/>
    </row>
    <row r="92" spans="1:36" s="2" customFormat="1" ht="24.75" customHeight="1">
      <c r="A92" s="116"/>
      <c r="B92" s="117" t="s">
        <v>1469</v>
      </c>
      <c r="C92" s="117"/>
      <c r="D92" s="117"/>
      <c r="E92" s="117" t="s">
        <v>238</v>
      </c>
      <c r="F92" s="118" t="s">
        <v>1744</v>
      </c>
      <c r="G92" s="118" t="s">
        <v>1745</v>
      </c>
      <c r="H92" s="117" t="s">
        <v>424</v>
      </c>
      <c r="I92" s="117" t="s">
        <v>1283</v>
      </c>
      <c r="J92" s="117" t="s">
        <v>282</v>
      </c>
      <c r="K92" s="123" t="s">
        <v>1725</v>
      </c>
      <c r="L92" s="117" t="s">
        <v>282</v>
      </c>
      <c r="M92" s="123" t="s">
        <v>282</v>
      </c>
      <c r="N92" s="117" t="s">
        <v>1294</v>
      </c>
      <c r="O92" s="118"/>
      <c r="P92" s="118"/>
      <c r="Q92" s="117"/>
      <c r="R92" s="117"/>
      <c r="S92" s="117"/>
      <c r="T92" s="117"/>
      <c r="U92" s="117"/>
      <c r="V92" s="123"/>
      <c r="W92" s="117"/>
      <c r="X92" s="118"/>
      <c r="Y92" s="118"/>
      <c r="Z92" s="128" t="s">
        <v>1746</v>
      </c>
      <c r="AA92" s="118"/>
      <c r="AB92" s="117"/>
      <c r="AC92" s="117"/>
      <c r="AD92" s="117"/>
      <c r="AE92" s="117"/>
      <c r="AF92" s="117"/>
      <c r="AG92" s="117"/>
      <c r="AH92" s="117"/>
      <c r="AI92" s="117"/>
      <c r="AJ92" s="117"/>
    </row>
    <row r="93" spans="1:36" s="2" customFormat="1" ht="24.75" customHeight="1">
      <c r="A93" s="116"/>
      <c r="B93" s="117" t="s">
        <v>1469</v>
      </c>
      <c r="C93" s="117"/>
      <c r="D93" s="117"/>
      <c r="E93" s="117" t="s">
        <v>1272</v>
      </c>
      <c r="F93" s="118" t="s">
        <v>1747</v>
      </c>
      <c r="G93" s="118" t="s">
        <v>1747</v>
      </c>
      <c r="H93" s="117" t="s">
        <v>424</v>
      </c>
      <c r="I93" s="117" t="s">
        <v>1283</v>
      </c>
      <c r="J93" s="117" t="s">
        <v>282</v>
      </c>
      <c r="K93" s="123" t="s">
        <v>1725</v>
      </c>
      <c r="L93" s="117" t="s">
        <v>282</v>
      </c>
      <c r="M93" s="123" t="s">
        <v>282</v>
      </c>
      <c r="N93" s="117" t="s">
        <v>1294</v>
      </c>
      <c r="O93" s="118"/>
      <c r="P93" s="118"/>
      <c r="Q93" s="117"/>
      <c r="R93" s="117"/>
      <c r="S93" s="117"/>
      <c r="T93" s="117"/>
      <c r="U93" s="117"/>
      <c r="V93" s="123"/>
      <c r="W93" s="117"/>
      <c r="X93" s="118"/>
      <c r="Y93" s="118"/>
      <c r="Z93" s="128" t="s">
        <v>1748</v>
      </c>
      <c r="AA93" s="118"/>
      <c r="AB93" s="117"/>
      <c r="AC93" s="117"/>
      <c r="AD93" s="117"/>
      <c r="AE93" s="117"/>
      <c r="AF93" s="117"/>
      <c r="AG93" s="117"/>
      <c r="AH93" s="117"/>
      <c r="AI93" s="117"/>
      <c r="AJ93" s="117"/>
    </row>
    <row r="94" spans="1:36" s="2" customFormat="1" ht="24.75" customHeight="1">
      <c r="A94" s="116"/>
      <c r="B94" s="117" t="s">
        <v>1469</v>
      </c>
      <c r="C94" s="117"/>
      <c r="D94" s="117"/>
      <c r="E94" s="117" t="s">
        <v>238</v>
      </c>
      <c r="F94" s="118" t="s">
        <v>1749</v>
      </c>
      <c r="G94" s="118" t="s">
        <v>1749</v>
      </c>
      <c r="H94" s="117" t="s">
        <v>424</v>
      </c>
      <c r="I94" s="117" t="s">
        <v>1283</v>
      </c>
      <c r="J94" s="117" t="s">
        <v>313</v>
      </c>
      <c r="K94" s="123" t="s">
        <v>1725</v>
      </c>
      <c r="L94" s="117" t="s">
        <v>313</v>
      </c>
      <c r="M94" s="123" t="s">
        <v>1750</v>
      </c>
      <c r="N94" s="117" t="s">
        <v>1751</v>
      </c>
      <c r="O94" s="118"/>
      <c r="P94" s="118"/>
      <c r="Q94" s="117"/>
      <c r="R94" s="117"/>
      <c r="S94" s="117"/>
      <c r="T94" s="117"/>
      <c r="U94" s="117"/>
      <c r="V94" s="123"/>
      <c r="W94" s="117"/>
      <c r="X94" s="118"/>
      <c r="Y94" s="118"/>
      <c r="Z94" s="128" t="s">
        <v>1752</v>
      </c>
      <c r="AA94" s="118"/>
      <c r="AB94" s="117"/>
      <c r="AC94" s="117"/>
      <c r="AD94" s="117"/>
      <c r="AE94" s="117"/>
      <c r="AF94" s="117"/>
      <c r="AG94" s="117"/>
      <c r="AH94" s="117"/>
      <c r="AI94" s="117"/>
      <c r="AJ94" s="117"/>
    </row>
    <row r="95" spans="1:36" ht="24.75" customHeight="1">
      <c r="A95" s="116"/>
      <c r="B95" s="117" t="s">
        <v>1753</v>
      </c>
      <c r="C95" s="117" t="s">
        <v>1343</v>
      </c>
      <c r="D95" s="117"/>
      <c r="E95" s="117" t="s">
        <v>1272</v>
      </c>
      <c r="F95" s="133" t="s">
        <v>379</v>
      </c>
      <c r="G95" s="118" t="s">
        <v>1754</v>
      </c>
      <c r="H95" s="117" t="s">
        <v>298</v>
      </c>
      <c r="I95" s="117"/>
      <c r="J95" s="117" t="s">
        <v>1318</v>
      </c>
      <c r="K95" s="123" t="s">
        <v>1274</v>
      </c>
      <c r="L95" s="117" t="s">
        <v>269</v>
      </c>
      <c r="M95" s="123" t="s">
        <v>1607</v>
      </c>
      <c r="N95" s="117" t="s">
        <v>1294</v>
      </c>
      <c r="O95" s="118" t="s">
        <v>1755</v>
      </c>
      <c r="P95" s="137" t="s">
        <v>1756</v>
      </c>
      <c r="Q95" s="142"/>
      <c r="R95" s="142"/>
      <c r="S95" s="142"/>
      <c r="T95" s="142"/>
      <c r="U95" s="142"/>
      <c r="V95" s="123" t="s">
        <v>1757</v>
      </c>
      <c r="W95" s="117"/>
      <c r="X95" s="128" t="s">
        <v>1758</v>
      </c>
      <c r="Y95" s="128"/>
      <c r="Z95" s="118"/>
      <c r="AA95" s="118" t="s">
        <v>1759</v>
      </c>
      <c r="AB95" s="117" t="s">
        <v>1357</v>
      </c>
      <c r="AC95" s="117" t="s">
        <v>1357</v>
      </c>
      <c r="AD95" s="117" t="s">
        <v>1357</v>
      </c>
      <c r="AE95" s="117" t="s">
        <v>1357</v>
      </c>
      <c r="AF95" s="117" t="s">
        <v>1594</v>
      </c>
      <c r="AG95" s="117"/>
      <c r="AH95" s="117"/>
      <c r="AI95" s="138" t="s">
        <v>1685</v>
      </c>
      <c r="AJ95" s="138"/>
    </row>
    <row r="96" spans="1:36" s="2" customFormat="1" ht="24.75" customHeight="1">
      <c r="A96" s="116"/>
      <c r="B96" s="117" t="s">
        <v>1469</v>
      </c>
      <c r="C96" s="117"/>
      <c r="D96" s="117"/>
      <c r="E96" s="117" t="s">
        <v>1403</v>
      </c>
      <c r="F96" s="128" t="s">
        <v>1760</v>
      </c>
      <c r="G96" s="118" t="s">
        <v>1761</v>
      </c>
      <c r="H96" s="117" t="s">
        <v>424</v>
      </c>
      <c r="I96" s="117" t="s">
        <v>1283</v>
      </c>
      <c r="J96" s="117" t="s">
        <v>306</v>
      </c>
      <c r="K96" s="123" t="s">
        <v>1762</v>
      </c>
      <c r="L96" s="117" t="s">
        <v>306</v>
      </c>
      <c r="M96" s="123" t="s">
        <v>1763</v>
      </c>
      <c r="N96" s="117" t="s">
        <v>1305</v>
      </c>
      <c r="O96" s="118" t="s">
        <v>1764</v>
      </c>
      <c r="P96" s="118"/>
      <c r="Q96" s="117"/>
      <c r="R96" s="117"/>
      <c r="S96" s="117"/>
      <c r="T96" s="117"/>
      <c r="U96" s="117"/>
      <c r="V96" s="123"/>
      <c r="W96" s="117"/>
      <c r="X96" s="128" t="s">
        <v>1765</v>
      </c>
      <c r="Y96" s="128"/>
      <c r="Z96" s="128" t="s">
        <v>1766</v>
      </c>
      <c r="AA96" s="118" t="s">
        <v>1767</v>
      </c>
      <c r="AB96" s="117"/>
      <c r="AC96" s="117"/>
      <c r="AD96" s="117"/>
      <c r="AE96" s="117"/>
      <c r="AF96" s="117"/>
      <c r="AG96" s="117"/>
      <c r="AH96" s="117"/>
      <c r="AI96" s="117"/>
      <c r="AJ96" s="117"/>
    </row>
    <row r="97" spans="1:36" ht="24.75" customHeight="1">
      <c r="A97" s="116"/>
      <c r="B97" s="117" t="s">
        <v>1502</v>
      </c>
      <c r="C97" s="117"/>
      <c r="D97" s="117"/>
      <c r="E97" s="117" t="s">
        <v>1272</v>
      </c>
      <c r="F97" s="118" t="s">
        <v>1768</v>
      </c>
      <c r="G97" s="118" t="s">
        <v>1769</v>
      </c>
      <c r="H97" s="117" t="s">
        <v>424</v>
      </c>
      <c r="I97" s="117" t="s">
        <v>302</v>
      </c>
      <c r="J97" s="117" t="s">
        <v>326</v>
      </c>
      <c r="K97" s="123" t="s">
        <v>1725</v>
      </c>
      <c r="L97" s="117" t="s">
        <v>326</v>
      </c>
      <c r="M97" s="123" t="s">
        <v>1726</v>
      </c>
      <c r="N97" s="117" t="s">
        <v>1305</v>
      </c>
      <c r="O97" s="118" t="s">
        <v>1770</v>
      </c>
      <c r="P97" s="118" t="s">
        <v>1771</v>
      </c>
      <c r="Q97" s="117"/>
      <c r="R97" s="117"/>
      <c r="S97" s="117"/>
      <c r="T97" s="117"/>
      <c r="U97" s="117"/>
      <c r="V97" s="123"/>
      <c r="W97" s="117" t="s">
        <v>1772</v>
      </c>
      <c r="X97" s="128" t="s">
        <v>1773</v>
      </c>
      <c r="Y97" s="128" t="s">
        <v>1774</v>
      </c>
      <c r="Z97" s="118" t="s">
        <v>1775</v>
      </c>
      <c r="AA97" s="118" t="s">
        <v>1776</v>
      </c>
      <c r="AB97" s="117"/>
      <c r="AC97" s="117"/>
      <c r="AD97" s="117"/>
      <c r="AE97" s="117"/>
      <c r="AF97" s="117"/>
      <c r="AG97" s="117"/>
      <c r="AH97" s="117"/>
      <c r="AI97" s="117"/>
      <c r="AJ97" s="117"/>
    </row>
    <row r="98" spans="1:36" ht="24.75" customHeight="1">
      <c r="A98" s="116"/>
      <c r="B98" s="117" t="s">
        <v>1753</v>
      </c>
      <c r="C98" s="117" t="s">
        <v>1343</v>
      </c>
      <c r="D98" s="117"/>
      <c r="E98" s="117" t="s">
        <v>1403</v>
      </c>
      <c r="F98" s="118" t="s">
        <v>1777</v>
      </c>
      <c r="G98" s="118" t="s">
        <v>1778</v>
      </c>
      <c r="H98" s="117" t="s">
        <v>424</v>
      </c>
      <c r="I98" s="117" t="s">
        <v>302</v>
      </c>
      <c r="J98" s="117" t="s">
        <v>326</v>
      </c>
      <c r="K98" s="123" t="s">
        <v>1725</v>
      </c>
      <c r="L98" s="117" t="s">
        <v>326</v>
      </c>
      <c r="M98" s="123" t="s">
        <v>1779</v>
      </c>
      <c r="N98" s="117" t="s">
        <v>1305</v>
      </c>
      <c r="O98" s="118" t="s">
        <v>1780</v>
      </c>
      <c r="P98" s="118" t="s">
        <v>1781</v>
      </c>
      <c r="Q98" s="123"/>
      <c r="R98" s="123"/>
      <c r="S98" s="123"/>
      <c r="T98" s="123"/>
      <c r="U98" s="123"/>
      <c r="V98" s="123" t="s">
        <v>1782</v>
      </c>
      <c r="W98" s="117"/>
      <c r="X98" s="128" t="s">
        <v>1783</v>
      </c>
      <c r="Y98" s="128" t="s">
        <v>1784</v>
      </c>
      <c r="Z98" s="118" t="s">
        <v>1785</v>
      </c>
      <c r="AA98" s="118" t="s">
        <v>1786</v>
      </c>
      <c r="AB98" s="117" t="s">
        <v>1300</v>
      </c>
      <c r="AC98" s="117" t="s">
        <v>1300</v>
      </c>
      <c r="AD98" s="117" t="s">
        <v>1334</v>
      </c>
      <c r="AE98" s="117" t="s">
        <v>1300</v>
      </c>
      <c r="AF98" s="117" t="s">
        <v>1787</v>
      </c>
      <c r="AG98" s="117"/>
      <c r="AH98" s="117"/>
      <c r="AI98" s="117"/>
      <c r="AJ98" s="117"/>
    </row>
    <row r="99" spans="1:36" ht="24.75" customHeight="1">
      <c r="A99" s="116"/>
      <c r="B99" s="117" t="s">
        <v>1753</v>
      </c>
      <c r="C99" s="117"/>
      <c r="D99" s="117"/>
      <c r="E99" s="117" t="s">
        <v>1272</v>
      </c>
      <c r="F99" s="118" t="s">
        <v>347</v>
      </c>
      <c r="G99" s="118" t="s">
        <v>1788</v>
      </c>
      <c r="H99" s="117" t="s">
        <v>424</v>
      </c>
      <c r="I99" s="117" t="s">
        <v>302</v>
      </c>
      <c r="J99" s="117" t="s">
        <v>326</v>
      </c>
      <c r="K99" s="123" t="s">
        <v>1725</v>
      </c>
      <c r="L99" s="117" t="s">
        <v>326</v>
      </c>
      <c r="M99" s="123" t="s">
        <v>1779</v>
      </c>
      <c r="N99" s="117" t="s">
        <v>1305</v>
      </c>
      <c r="O99" s="118" t="s">
        <v>1789</v>
      </c>
      <c r="P99" s="118" t="s">
        <v>1790</v>
      </c>
      <c r="Q99" s="117"/>
      <c r="R99" s="117"/>
      <c r="S99" s="117"/>
      <c r="T99" s="117"/>
      <c r="U99" s="117"/>
      <c r="V99" s="127" t="s">
        <v>1791</v>
      </c>
      <c r="W99" s="119"/>
      <c r="X99" s="133" t="s">
        <v>1792</v>
      </c>
      <c r="Y99" s="133" t="s">
        <v>1793</v>
      </c>
      <c r="Z99" s="118" t="s">
        <v>1794</v>
      </c>
      <c r="AA99" s="118" t="s">
        <v>1795</v>
      </c>
      <c r="AB99" s="117" t="s">
        <v>1300</v>
      </c>
      <c r="AC99" s="117" t="s">
        <v>1300</v>
      </c>
      <c r="AD99" s="117" t="s">
        <v>1334</v>
      </c>
      <c r="AE99" s="117" t="s">
        <v>1300</v>
      </c>
      <c r="AF99" s="117" t="s">
        <v>1796</v>
      </c>
      <c r="AG99" s="117" t="s">
        <v>1594</v>
      </c>
      <c r="AH99" s="117" t="s">
        <v>1797</v>
      </c>
      <c r="AI99" s="117"/>
      <c r="AJ99" s="117"/>
    </row>
    <row r="100" spans="1:36" ht="24.75" customHeight="1">
      <c r="A100" s="116"/>
      <c r="B100" s="117" t="s">
        <v>1753</v>
      </c>
      <c r="C100" s="117"/>
      <c r="D100" s="117"/>
      <c r="E100" s="117" t="s">
        <v>1403</v>
      </c>
      <c r="F100" s="118" t="s">
        <v>348</v>
      </c>
      <c r="G100" s="118" t="s">
        <v>1788</v>
      </c>
      <c r="H100" s="117" t="s">
        <v>424</v>
      </c>
      <c r="I100" s="117" t="s">
        <v>302</v>
      </c>
      <c r="J100" s="117" t="s">
        <v>326</v>
      </c>
      <c r="K100" s="123" t="s">
        <v>1725</v>
      </c>
      <c r="L100" s="117" t="s">
        <v>326</v>
      </c>
      <c r="M100" s="123" t="s">
        <v>1726</v>
      </c>
      <c r="N100" s="117" t="s">
        <v>1305</v>
      </c>
      <c r="O100" s="118" t="s">
        <v>1798</v>
      </c>
      <c r="P100" s="118" t="s">
        <v>1799</v>
      </c>
      <c r="Q100" s="117"/>
      <c r="R100" s="117"/>
      <c r="S100" s="117"/>
      <c r="T100" s="117"/>
      <c r="U100" s="117"/>
      <c r="V100" s="127" t="s">
        <v>1800</v>
      </c>
      <c r="W100" s="119" t="s">
        <v>1801</v>
      </c>
      <c r="X100" s="183" t="s">
        <v>1802</v>
      </c>
      <c r="Y100" s="133"/>
      <c r="Z100" s="118" t="s">
        <v>1794</v>
      </c>
      <c r="AA100" s="118" t="s">
        <v>1803</v>
      </c>
      <c r="AB100" s="117" t="s">
        <v>1334</v>
      </c>
      <c r="AC100" s="117" t="s">
        <v>1334</v>
      </c>
      <c r="AD100" s="117" t="s">
        <v>1334</v>
      </c>
      <c r="AE100" s="117" t="s">
        <v>1334</v>
      </c>
      <c r="AF100" s="117" t="s">
        <v>1796</v>
      </c>
      <c r="AG100" s="117" t="s">
        <v>1594</v>
      </c>
      <c r="AH100" s="117" t="s">
        <v>1797</v>
      </c>
      <c r="AI100" s="117"/>
      <c r="AJ100" s="117"/>
    </row>
    <row r="101" spans="1:36" ht="24.75" customHeight="1">
      <c r="A101" s="116"/>
      <c r="B101" s="117" t="s">
        <v>1502</v>
      </c>
      <c r="C101" s="117"/>
      <c r="D101" s="117"/>
      <c r="E101" s="117" t="s">
        <v>1272</v>
      </c>
      <c r="F101" s="118" t="s">
        <v>1804</v>
      </c>
      <c r="G101" s="118" t="s">
        <v>1805</v>
      </c>
      <c r="H101" s="117" t="s">
        <v>424</v>
      </c>
      <c r="I101" s="117" t="s">
        <v>302</v>
      </c>
      <c r="J101" s="117" t="s">
        <v>326</v>
      </c>
      <c r="K101" s="123" t="s">
        <v>1725</v>
      </c>
      <c r="L101" s="117" t="s">
        <v>326</v>
      </c>
      <c r="M101" s="123" t="s">
        <v>1779</v>
      </c>
      <c r="N101" s="117" t="s">
        <v>1621</v>
      </c>
      <c r="O101" s="118" t="s">
        <v>1806</v>
      </c>
      <c r="P101" s="118" t="s">
        <v>1807</v>
      </c>
      <c r="Q101" s="117"/>
      <c r="R101" s="117"/>
      <c r="S101" s="117"/>
      <c r="T101" s="117"/>
      <c r="U101" s="117"/>
      <c r="V101" s="127" t="s">
        <v>1808</v>
      </c>
      <c r="W101" s="119"/>
      <c r="X101" s="128" t="s">
        <v>1809</v>
      </c>
      <c r="Y101" s="128" t="s">
        <v>1810</v>
      </c>
      <c r="Z101" s="118" t="s">
        <v>1811</v>
      </c>
      <c r="AA101" s="118" t="s">
        <v>1812</v>
      </c>
      <c r="AB101" s="117"/>
      <c r="AC101" s="117"/>
      <c r="AD101" s="117"/>
      <c r="AE101" s="117"/>
      <c r="AF101" s="117"/>
      <c r="AG101" s="117"/>
      <c r="AH101" s="117"/>
      <c r="AI101" s="117"/>
      <c r="AJ101" s="117"/>
    </row>
    <row r="102" spans="1:36" ht="24.75" customHeight="1">
      <c r="A102" s="116"/>
      <c r="B102" s="117" t="s">
        <v>1502</v>
      </c>
      <c r="C102" s="117"/>
      <c r="D102" s="117"/>
      <c r="E102" s="117" t="s">
        <v>1272</v>
      </c>
      <c r="F102" s="118" t="s">
        <v>1813</v>
      </c>
      <c r="G102" s="118" t="s">
        <v>1814</v>
      </c>
      <c r="H102" s="117" t="s">
        <v>424</v>
      </c>
      <c r="I102" s="117" t="s">
        <v>302</v>
      </c>
      <c r="J102" s="117" t="s">
        <v>326</v>
      </c>
      <c r="K102" s="123" t="s">
        <v>1725</v>
      </c>
      <c r="L102" s="117" t="s">
        <v>326</v>
      </c>
      <c r="M102" s="123" t="s">
        <v>1726</v>
      </c>
      <c r="N102" s="117" t="s">
        <v>1734</v>
      </c>
      <c r="O102" s="118" t="s">
        <v>1815</v>
      </c>
      <c r="P102" s="118" t="s">
        <v>1816</v>
      </c>
      <c r="Q102" s="117"/>
      <c r="R102" s="117"/>
      <c r="S102" s="117"/>
      <c r="T102" s="117"/>
      <c r="U102" s="117"/>
      <c r="V102" s="127">
        <v>84906084268</v>
      </c>
      <c r="W102" s="119"/>
      <c r="X102" s="128" t="s">
        <v>1817</v>
      </c>
      <c r="Y102" s="128"/>
      <c r="Z102" s="118" t="s">
        <v>1818</v>
      </c>
      <c r="AA102" s="118" t="s">
        <v>1819</v>
      </c>
      <c r="AB102" s="117"/>
      <c r="AC102" s="117"/>
      <c r="AD102" s="117"/>
      <c r="AE102" s="117"/>
      <c r="AF102" s="117"/>
      <c r="AG102" s="117"/>
      <c r="AH102" s="117"/>
      <c r="AI102" s="117"/>
      <c r="AJ102" s="117"/>
    </row>
    <row r="103" spans="1:36" ht="24.75" customHeight="1">
      <c r="A103" s="116"/>
      <c r="B103" s="117" t="s">
        <v>277</v>
      </c>
      <c r="C103" s="117"/>
      <c r="D103" s="117"/>
      <c r="E103" s="117" t="s">
        <v>1272</v>
      </c>
      <c r="F103" s="118" t="s">
        <v>1820</v>
      </c>
      <c r="G103" s="118" t="s">
        <v>1821</v>
      </c>
      <c r="H103" s="117" t="s">
        <v>424</v>
      </c>
      <c r="I103" s="117" t="s">
        <v>302</v>
      </c>
      <c r="J103" s="117" t="s">
        <v>326</v>
      </c>
      <c r="K103" s="123" t="s">
        <v>1725</v>
      </c>
      <c r="L103" s="117" t="s">
        <v>326</v>
      </c>
      <c r="M103" s="123" t="s">
        <v>1726</v>
      </c>
      <c r="N103" s="117" t="s">
        <v>1305</v>
      </c>
      <c r="O103" s="118" t="s">
        <v>1822</v>
      </c>
      <c r="P103" s="118" t="s">
        <v>1823</v>
      </c>
      <c r="Q103" s="123"/>
      <c r="R103" s="123"/>
      <c r="S103" s="123"/>
      <c r="T103" s="123"/>
      <c r="U103" s="123"/>
      <c r="V103" s="123" t="s">
        <v>1824</v>
      </c>
      <c r="W103" s="117"/>
      <c r="X103" s="128" t="s">
        <v>1825</v>
      </c>
      <c r="Y103" s="128" t="s">
        <v>1826</v>
      </c>
      <c r="Z103" s="128" t="s">
        <v>1827</v>
      </c>
      <c r="AA103" s="118" t="s">
        <v>1828</v>
      </c>
      <c r="AB103" s="117"/>
      <c r="AC103" s="117"/>
      <c r="AD103" s="117"/>
      <c r="AE103" s="117"/>
      <c r="AF103" s="117"/>
      <c r="AG103" s="117"/>
      <c r="AH103" s="117"/>
      <c r="AI103" s="117"/>
      <c r="AJ103" s="117"/>
    </row>
    <row r="104" spans="1:36" s="2" customFormat="1" ht="24.75" customHeight="1">
      <c r="A104" s="116"/>
      <c r="B104" s="117" t="s">
        <v>1502</v>
      </c>
      <c r="C104" s="117"/>
      <c r="D104" s="117"/>
      <c r="E104" s="117"/>
      <c r="F104" s="118" t="s">
        <v>1829</v>
      </c>
      <c r="G104" s="118" t="s">
        <v>1830</v>
      </c>
      <c r="H104" s="117" t="s">
        <v>424</v>
      </c>
      <c r="I104" s="117" t="s">
        <v>1283</v>
      </c>
      <c r="J104" s="117" t="s">
        <v>306</v>
      </c>
      <c r="K104" s="123" t="s">
        <v>1725</v>
      </c>
      <c r="L104" s="117" t="s">
        <v>306</v>
      </c>
      <c r="M104" s="123" t="s">
        <v>1831</v>
      </c>
      <c r="N104" s="117" t="s">
        <v>1294</v>
      </c>
      <c r="O104" s="118" t="s">
        <v>1832</v>
      </c>
      <c r="P104" s="118" t="s">
        <v>1833</v>
      </c>
      <c r="Q104" s="117"/>
      <c r="R104" s="117"/>
      <c r="S104" s="117"/>
      <c r="T104" s="117"/>
      <c r="U104" s="117"/>
      <c r="V104" s="127" t="s">
        <v>1834</v>
      </c>
      <c r="W104" s="119"/>
      <c r="X104" s="128" t="s">
        <v>1835</v>
      </c>
      <c r="Y104" s="128"/>
      <c r="Z104" s="118" t="s">
        <v>1836</v>
      </c>
      <c r="AA104" s="118" t="s">
        <v>1837</v>
      </c>
      <c r="AB104" s="117"/>
      <c r="AC104" s="117"/>
      <c r="AD104" s="117"/>
      <c r="AE104" s="117"/>
      <c r="AF104" s="117"/>
      <c r="AG104" s="117"/>
      <c r="AH104" s="117"/>
      <c r="AI104" s="117"/>
      <c r="AJ104" s="117"/>
    </row>
    <row r="105" spans="1:36" ht="24.75" customHeight="1">
      <c r="A105" s="116"/>
      <c r="B105" s="117" t="s">
        <v>1502</v>
      </c>
      <c r="C105" s="117"/>
      <c r="D105" s="117"/>
      <c r="E105" s="117" t="s">
        <v>1272</v>
      </c>
      <c r="F105" s="118" t="s">
        <v>1838</v>
      </c>
      <c r="G105" s="118" t="s">
        <v>1839</v>
      </c>
      <c r="H105" s="117" t="s">
        <v>424</v>
      </c>
      <c r="I105" s="117" t="s">
        <v>1283</v>
      </c>
      <c r="J105" s="117" t="s">
        <v>300</v>
      </c>
      <c r="K105" s="123" t="s">
        <v>1725</v>
      </c>
      <c r="L105" s="117" t="s">
        <v>300</v>
      </c>
      <c r="M105" s="123" t="s">
        <v>1840</v>
      </c>
      <c r="N105" s="117" t="s">
        <v>1294</v>
      </c>
      <c r="O105" s="118" t="s">
        <v>1841</v>
      </c>
      <c r="P105" s="118" t="s">
        <v>1842</v>
      </c>
      <c r="Q105" s="117"/>
      <c r="R105" s="117"/>
      <c r="S105" s="117"/>
      <c r="T105" s="117"/>
      <c r="U105" s="117"/>
      <c r="V105" s="127">
        <v>2122221232</v>
      </c>
      <c r="W105" s="119"/>
      <c r="X105" s="118" t="s">
        <v>1843</v>
      </c>
      <c r="Y105" s="128"/>
      <c r="Z105" s="118" t="s">
        <v>1844</v>
      </c>
      <c r="AA105" s="118" t="s">
        <v>1845</v>
      </c>
      <c r="AB105" s="117"/>
      <c r="AC105" s="117"/>
      <c r="AD105" s="117"/>
      <c r="AE105" s="117"/>
      <c r="AF105" s="117"/>
      <c r="AG105" s="117"/>
      <c r="AH105" s="117"/>
      <c r="AI105" s="117"/>
      <c r="AJ105" s="117"/>
    </row>
    <row r="106" spans="1:36" s="2" customFormat="1" ht="24.75" customHeight="1">
      <c r="A106" s="116"/>
      <c r="B106" s="117" t="s">
        <v>1502</v>
      </c>
      <c r="C106" s="117"/>
      <c r="D106" s="117"/>
      <c r="E106" s="117"/>
      <c r="F106" s="118" t="s">
        <v>1846</v>
      </c>
      <c r="G106" s="118" t="s">
        <v>1846</v>
      </c>
      <c r="H106" s="117" t="s">
        <v>424</v>
      </c>
      <c r="I106" s="117" t="s">
        <v>1283</v>
      </c>
      <c r="J106" s="117" t="s">
        <v>306</v>
      </c>
      <c r="K106" s="123" t="s">
        <v>1725</v>
      </c>
      <c r="L106" s="117" t="s">
        <v>306</v>
      </c>
      <c r="M106" s="123" t="s">
        <v>1847</v>
      </c>
      <c r="N106" s="117" t="s">
        <v>1276</v>
      </c>
      <c r="O106" s="118" t="s">
        <v>1848</v>
      </c>
      <c r="P106" s="118"/>
      <c r="Q106" s="117"/>
      <c r="R106" s="117"/>
      <c r="S106" s="117"/>
      <c r="T106" s="117"/>
      <c r="U106" s="117"/>
      <c r="V106" s="127">
        <f>919748869553/919831511234</f>
        <v>0.99991015563177532</v>
      </c>
      <c r="W106" s="119"/>
      <c r="X106" s="128" t="s">
        <v>1849</v>
      </c>
      <c r="Y106" s="128"/>
      <c r="Z106" s="118" t="s">
        <v>1850</v>
      </c>
      <c r="AA106" s="118" t="s">
        <v>1851</v>
      </c>
      <c r="AB106" s="117"/>
      <c r="AC106" s="117"/>
      <c r="AD106" s="117"/>
      <c r="AE106" s="117"/>
      <c r="AF106" s="117"/>
      <c r="AG106" s="117"/>
      <c r="AH106" s="117"/>
      <c r="AI106" s="117"/>
      <c r="AJ106" s="117"/>
    </row>
    <row r="107" spans="1:36" s="2" customFormat="1" ht="24.75" customHeight="1">
      <c r="A107" s="116"/>
      <c r="B107" s="117" t="s">
        <v>1502</v>
      </c>
      <c r="C107" s="117"/>
      <c r="D107" s="117"/>
      <c r="E107" s="117"/>
      <c r="F107" s="118" t="s">
        <v>1852</v>
      </c>
      <c r="G107" s="118" t="s">
        <v>1853</v>
      </c>
      <c r="H107" s="117" t="s">
        <v>424</v>
      </c>
      <c r="I107" s="117" t="s">
        <v>1283</v>
      </c>
      <c r="J107" s="117" t="s">
        <v>306</v>
      </c>
      <c r="K107" s="123" t="s">
        <v>1725</v>
      </c>
      <c r="L107" s="117" t="s">
        <v>306</v>
      </c>
      <c r="M107" s="123" t="s">
        <v>1854</v>
      </c>
      <c r="N107" s="117" t="s">
        <v>1276</v>
      </c>
      <c r="O107" s="118" t="s">
        <v>1855</v>
      </c>
      <c r="P107" s="118" t="s">
        <v>1856</v>
      </c>
      <c r="Q107" s="117"/>
      <c r="R107" s="117"/>
      <c r="S107" s="117"/>
      <c r="T107" s="117"/>
      <c r="U107" s="117"/>
      <c r="V107" s="127">
        <v>919650243814</v>
      </c>
      <c r="W107" s="119"/>
      <c r="X107" s="128" t="s">
        <v>1857</v>
      </c>
      <c r="Y107" s="128"/>
      <c r="Z107" s="128" t="s">
        <v>1858</v>
      </c>
      <c r="AA107" s="118" t="s">
        <v>1859</v>
      </c>
      <c r="AB107" s="117"/>
      <c r="AC107" s="117"/>
      <c r="AD107" s="117"/>
      <c r="AE107" s="117"/>
      <c r="AF107" s="117"/>
      <c r="AG107" s="117"/>
      <c r="AH107" s="117"/>
      <c r="AI107" s="117"/>
      <c r="AJ107" s="117"/>
    </row>
    <row r="108" spans="1:36" s="2" customFormat="1" ht="24.75" customHeight="1">
      <c r="A108" s="116"/>
      <c r="B108" s="117" t="s">
        <v>1502</v>
      </c>
      <c r="C108" s="117"/>
      <c r="D108" s="117"/>
      <c r="E108" s="117"/>
      <c r="F108" s="118" t="s">
        <v>1860</v>
      </c>
      <c r="G108" s="118" t="s">
        <v>1861</v>
      </c>
      <c r="H108" s="117" t="s">
        <v>424</v>
      </c>
      <c r="I108" s="117" t="s">
        <v>1283</v>
      </c>
      <c r="J108" s="117" t="s">
        <v>1862</v>
      </c>
      <c r="K108" s="123" t="s">
        <v>1863</v>
      </c>
      <c r="L108" s="117" t="s">
        <v>1864</v>
      </c>
      <c r="M108" s="123" t="s">
        <v>1865</v>
      </c>
      <c r="N108" s="117" t="s">
        <v>1866</v>
      </c>
      <c r="O108" s="118" t="s">
        <v>1867</v>
      </c>
      <c r="P108" s="118" t="s">
        <v>1868</v>
      </c>
      <c r="Q108" s="117"/>
      <c r="R108" s="117"/>
      <c r="S108" s="117"/>
      <c r="T108" s="117"/>
      <c r="U108" s="117"/>
      <c r="V108" s="127">
        <v>8801713028320</v>
      </c>
      <c r="W108" s="119"/>
      <c r="X108" s="128" t="s">
        <v>1869</v>
      </c>
      <c r="Y108" s="128"/>
      <c r="Z108" s="118" t="s">
        <v>1870</v>
      </c>
      <c r="AA108" s="118" t="s">
        <v>1871</v>
      </c>
      <c r="AB108" s="117"/>
      <c r="AC108" s="117"/>
      <c r="AD108" s="117"/>
      <c r="AE108" s="117"/>
      <c r="AF108" s="117"/>
      <c r="AG108" s="117"/>
      <c r="AH108" s="117"/>
      <c r="AI108" s="117"/>
      <c r="AJ108" s="117"/>
    </row>
    <row r="109" spans="1:36" s="2" customFormat="1" ht="24.75" customHeight="1">
      <c r="A109" s="116"/>
      <c r="B109" s="117" t="s">
        <v>1502</v>
      </c>
      <c r="C109" s="117"/>
      <c r="D109" s="117"/>
      <c r="E109" s="117"/>
      <c r="F109" s="118" t="s">
        <v>1872</v>
      </c>
      <c r="G109" s="118" t="s">
        <v>1873</v>
      </c>
      <c r="H109" s="117" t="s">
        <v>298</v>
      </c>
      <c r="I109" s="143" t="s">
        <v>1283</v>
      </c>
      <c r="J109" s="117" t="s">
        <v>282</v>
      </c>
      <c r="K109" s="123" t="s">
        <v>1725</v>
      </c>
      <c r="L109" s="117" t="s">
        <v>282</v>
      </c>
      <c r="M109" s="123" t="s">
        <v>282</v>
      </c>
      <c r="N109" s="117" t="s">
        <v>1294</v>
      </c>
      <c r="O109" s="118" t="s">
        <v>1874</v>
      </c>
      <c r="P109" s="118" t="s">
        <v>1875</v>
      </c>
      <c r="Q109" s="117"/>
      <c r="R109" s="117"/>
      <c r="S109" s="117"/>
      <c r="T109" s="117"/>
      <c r="U109" s="117"/>
      <c r="V109" s="127">
        <v>65911332212</v>
      </c>
      <c r="W109" s="119"/>
      <c r="X109" s="128" t="s">
        <v>1876</v>
      </c>
      <c r="Y109" s="128"/>
      <c r="Z109" s="118" t="s">
        <v>1877</v>
      </c>
      <c r="AA109" s="118" t="s">
        <v>1878</v>
      </c>
      <c r="AB109" s="117"/>
      <c r="AC109" s="117"/>
      <c r="AD109" s="117"/>
      <c r="AE109" s="117"/>
      <c r="AF109" s="117"/>
      <c r="AG109" s="117"/>
      <c r="AH109" s="117"/>
      <c r="AI109" s="117"/>
      <c r="AJ109" s="117"/>
    </row>
    <row r="110" spans="1:36" s="2" customFormat="1" ht="24.75" customHeight="1">
      <c r="A110" s="116"/>
      <c r="B110" s="117" t="s">
        <v>1502</v>
      </c>
      <c r="C110" s="117"/>
      <c r="D110" s="117"/>
      <c r="E110" s="117" t="s">
        <v>1272</v>
      </c>
      <c r="F110" s="118" t="s">
        <v>1879</v>
      </c>
      <c r="G110" s="118" t="s">
        <v>1880</v>
      </c>
      <c r="H110" s="117" t="s">
        <v>424</v>
      </c>
      <c r="I110" s="117" t="s">
        <v>1283</v>
      </c>
      <c r="J110" s="117" t="s">
        <v>151</v>
      </c>
      <c r="K110" s="123" t="s">
        <v>1762</v>
      </c>
      <c r="L110" s="117" t="s">
        <v>151</v>
      </c>
      <c r="M110" s="123" t="s">
        <v>1881</v>
      </c>
      <c r="N110" s="117" t="s">
        <v>1276</v>
      </c>
      <c r="O110" s="118" t="s">
        <v>1882</v>
      </c>
      <c r="P110" s="118" t="s">
        <v>1883</v>
      </c>
      <c r="Q110" s="117"/>
      <c r="R110" s="117"/>
      <c r="S110" s="117"/>
      <c r="T110" s="117"/>
      <c r="U110" s="117"/>
      <c r="V110" s="127" t="s">
        <v>1884</v>
      </c>
      <c r="W110" s="119"/>
      <c r="X110" s="128" t="s">
        <v>1885</v>
      </c>
      <c r="Y110" s="128"/>
      <c r="Z110" s="118" t="s">
        <v>1886</v>
      </c>
      <c r="AA110" s="118" t="s">
        <v>1887</v>
      </c>
      <c r="AB110" s="117"/>
      <c r="AC110" s="117"/>
      <c r="AD110" s="117"/>
      <c r="AE110" s="117"/>
      <c r="AF110" s="117"/>
      <c r="AG110" s="117"/>
      <c r="AH110" s="117"/>
      <c r="AI110" s="117"/>
      <c r="AJ110" s="117"/>
    </row>
    <row r="111" spans="1:36" ht="24.75" customHeight="1">
      <c r="A111" s="116"/>
      <c r="B111" s="117" t="s">
        <v>1502</v>
      </c>
      <c r="C111" s="117"/>
      <c r="D111" s="117"/>
      <c r="E111" s="117" t="s">
        <v>1272</v>
      </c>
      <c r="F111" s="118" t="s">
        <v>1888</v>
      </c>
      <c r="G111" s="118"/>
      <c r="H111" s="117" t="s">
        <v>298</v>
      </c>
      <c r="I111" s="117"/>
      <c r="J111" s="117" t="s">
        <v>269</v>
      </c>
      <c r="K111" s="123" t="s">
        <v>1274</v>
      </c>
      <c r="L111" s="117" t="s">
        <v>269</v>
      </c>
      <c r="M111" s="123" t="s">
        <v>1889</v>
      </c>
      <c r="N111" s="117" t="s">
        <v>1294</v>
      </c>
      <c r="O111" s="118" t="s">
        <v>1890</v>
      </c>
      <c r="P111" s="118" t="s">
        <v>1320</v>
      </c>
      <c r="Q111" s="117"/>
      <c r="R111" s="117"/>
      <c r="S111" s="117"/>
      <c r="T111" s="117"/>
      <c r="U111" s="117"/>
      <c r="V111" s="123" t="s">
        <v>1891</v>
      </c>
      <c r="W111" s="117"/>
      <c r="X111" s="170" t="s">
        <v>1892</v>
      </c>
      <c r="Y111" s="170"/>
      <c r="Z111" s="118"/>
      <c r="AA111" s="118" t="s">
        <v>1893</v>
      </c>
      <c r="AB111" s="117"/>
      <c r="AC111" s="117"/>
      <c r="AD111" s="117"/>
      <c r="AE111" s="117"/>
      <c r="AF111" s="117"/>
      <c r="AG111" s="117"/>
      <c r="AH111" s="117"/>
      <c r="AI111" s="117"/>
      <c r="AJ111" s="117"/>
    </row>
    <row r="112" spans="1:36" ht="24.75" customHeight="1">
      <c r="A112" s="116"/>
      <c r="B112" s="117" t="s">
        <v>1502</v>
      </c>
      <c r="C112" s="117"/>
      <c r="D112" s="117"/>
      <c r="E112" s="117"/>
      <c r="F112" s="128" t="s">
        <v>1894</v>
      </c>
      <c r="G112" s="118"/>
      <c r="H112" s="117" t="s">
        <v>298</v>
      </c>
      <c r="I112" s="117"/>
      <c r="J112" s="117" t="s">
        <v>269</v>
      </c>
      <c r="K112" s="123" t="s">
        <v>1274</v>
      </c>
      <c r="L112" s="117" t="s">
        <v>269</v>
      </c>
      <c r="M112" s="123" t="s">
        <v>1284</v>
      </c>
      <c r="N112" s="117" t="s">
        <v>1294</v>
      </c>
      <c r="O112" s="118" t="s">
        <v>1895</v>
      </c>
      <c r="P112" s="118" t="s">
        <v>1697</v>
      </c>
      <c r="Q112" s="117"/>
      <c r="R112" s="117"/>
      <c r="S112" s="117"/>
      <c r="T112" s="117"/>
      <c r="U112" s="117"/>
      <c r="V112" s="123" t="s">
        <v>1896</v>
      </c>
      <c r="W112" s="117"/>
      <c r="X112" s="128" t="s">
        <v>1897</v>
      </c>
      <c r="Y112" s="128"/>
      <c r="Z112" s="118"/>
      <c r="AA112" s="118" t="s">
        <v>1898</v>
      </c>
      <c r="AB112" s="117"/>
      <c r="AC112" s="117"/>
      <c r="AD112" s="117"/>
      <c r="AE112" s="117"/>
      <c r="AF112" s="117"/>
      <c r="AG112" s="117"/>
      <c r="AH112" s="117"/>
      <c r="AI112" s="117"/>
      <c r="AJ112" s="117"/>
    </row>
    <row r="113" spans="1:36" ht="24.75" customHeight="1">
      <c r="A113" s="116"/>
      <c r="B113" s="117" t="s">
        <v>1629</v>
      </c>
      <c r="C113" s="117" t="s">
        <v>1343</v>
      </c>
      <c r="D113" s="117"/>
      <c r="E113" s="117" t="s">
        <v>1272</v>
      </c>
      <c r="F113" s="133" t="s">
        <v>380</v>
      </c>
      <c r="G113" s="118" t="s">
        <v>1899</v>
      </c>
      <c r="H113" s="117" t="s">
        <v>298</v>
      </c>
      <c r="I113" s="117"/>
      <c r="J113" s="117" t="s">
        <v>1318</v>
      </c>
      <c r="K113" s="123" t="s">
        <v>1274</v>
      </c>
      <c r="L113" s="117" t="s">
        <v>269</v>
      </c>
      <c r="M113" s="123" t="s">
        <v>1360</v>
      </c>
      <c r="N113" s="117" t="s">
        <v>1900</v>
      </c>
      <c r="O113" s="118" t="s">
        <v>1901</v>
      </c>
      <c r="P113" s="118" t="s">
        <v>1902</v>
      </c>
      <c r="Q113" s="117"/>
      <c r="R113" s="117"/>
      <c r="S113" s="117"/>
      <c r="T113" s="117"/>
      <c r="U113" s="117"/>
      <c r="V113" s="123"/>
      <c r="W113" s="117"/>
      <c r="X113" s="128" t="s">
        <v>1903</v>
      </c>
      <c r="Y113" s="128"/>
      <c r="Z113" s="176" t="s">
        <v>1904</v>
      </c>
      <c r="AA113" s="118"/>
      <c r="AB113" s="117" t="s">
        <v>1300</v>
      </c>
      <c r="AC113" s="117" t="s">
        <v>1300</v>
      </c>
      <c r="AD113" s="117" t="s">
        <v>1300</v>
      </c>
      <c r="AE113" s="117" t="s">
        <v>1300</v>
      </c>
      <c r="AF113" s="117" t="s">
        <v>1594</v>
      </c>
      <c r="AG113" s="117"/>
      <c r="AH113" s="117"/>
      <c r="AI113" s="117"/>
      <c r="AJ113" s="117"/>
    </row>
    <row r="114" spans="1:36" ht="24.75" customHeight="1">
      <c r="A114" s="116"/>
      <c r="B114" s="117" t="s">
        <v>1502</v>
      </c>
      <c r="C114" s="117"/>
      <c r="D114" s="117"/>
      <c r="E114" s="117" t="s">
        <v>1272</v>
      </c>
      <c r="F114" s="128" t="s">
        <v>1905</v>
      </c>
      <c r="G114" s="118"/>
      <c r="H114" s="117" t="s">
        <v>298</v>
      </c>
      <c r="I114" s="117"/>
      <c r="J114" s="117" t="s">
        <v>319</v>
      </c>
      <c r="K114" s="123" t="s">
        <v>1274</v>
      </c>
      <c r="L114" s="117" t="s">
        <v>319</v>
      </c>
      <c r="M114" s="123" t="s">
        <v>1442</v>
      </c>
      <c r="N114" s="117" t="s">
        <v>1276</v>
      </c>
      <c r="O114" s="118" t="s">
        <v>1506</v>
      </c>
      <c r="P114" s="118" t="s">
        <v>1320</v>
      </c>
      <c r="Q114" s="117"/>
      <c r="R114" s="117"/>
      <c r="S114" s="117"/>
      <c r="T114" s="117"/>
      <c r="U114" s="117"/>
      <c r="V114" s="123" t="s">
        <v>1906</v>
      </c>
      <c r="W114" s="117"/>
      <c r="X114" s="128" t="s">
        <v>1907</v>
      </c>
      <c r="Y114" s="128"/>
      <c r="Z114" s="118"/>
      <c r="AA114" s="118" t="s">
        <v>1908</v>
      </c>
      <c r="AB114" s="117"/>
      <c r="AC114" s="117"/>
      <c r="AD114" s="117"/>
      <c r="AE114" s="117"/>
      <c r="AF114" s="117"/>
      <c r="AG114" s="117"/>
      <c r="AH114" s="117"/>
      <c r="AI114" s="117" t="s">
        <v>1342</v>
      </c>
      <c r="AJ114" s="117"/>
    </row>
    <row r="115" spans="1:36" s="2" customFormat="1" ht="24.75" customHeight="1">
      <c r="A115" s="116"/>
      <c r="B115" s="117" t="s">
        <v>1502</v>
      </c>
      <c r="C115" s="117"/>
      <c r="D115" s="117"/>
      <c r="E115" s="117"/>
      <c r="F115" s="118" t="s">
        <v>1909</v>
      </c>
      <c r="G115" s="118" t="s">
        <v>1910</v>
      </c>
      <c r="H115" s="117" t="s">
        <v>424</v>
      </c>
      <c r="I115" s="117" t="s">
        <v>1283</v>
      </c>
      <c r="J115" s="117" t="s">
        <v>1911</v>
      </c>
      <c r="K115" s="123" t="s">
        <v>1912</v>
      </c>
      <c r="L115" s="117" t="s">
        <v>1913</v>
      </c>
      <c r="M115" s="123" t="s">
        <v>1914</v>
      </c>
      <c r="N115" s="117" t="s">
        <v>1305</v>
      </c>
      <c r="O115" s="118" t="s">
        <v>1915</v>
      </c>
      <c r="P115" s="118" t="s">
        <v>1916</v>
      </c>
      <c r="Q115" s="117"/>
      <c r="R115" s="117"/>
      <c r="S115" s="117"/>
      <c r="T115" s="117"/>
      <c r="U115" s="117"/>
      <c r="V115" s="127" t="s">
        <v>1917</v>
      </c>
      <c r="W115" s="119"/>
      <c r="X115" s="128" t="s">
        <v>1918</v>
      </c>
      <c r="Y115" s="128"/>
      <c r="Z115" s="118" t="s">
        <v>1919</v>
      </c>
      <c r="AA115" s="118" t="s">
        <v>1920</v>
      </c>
      <c r="AB115" s="117"/>
      <c r="AC115" s="117"/>
      <c r="AD115" s="117"/>
      <c r="AE115" s="117"/>
      <c r="AF115" s="117"/>
      <c r="AG115" s="117"/>
      <c r="AH115" s="117"/>
      <c r="AI115" s="117"/>
      <c r="AJ115" s="117"/>
    </row>
    <row r="116" spans="1:36" ht="24.75" customHeight="1">
      <c r="A116" s="116"/>
      <c r="B116" s="117" t="s">
        <v>1502</v>
      </c>
      <c r="C116" s="117"/>
      <c r="D116" s="117"/>
      <c r="E116" s="117" t="s">
        <v>1272</v>
      </c>
      <c r="F116" s="156" t="s">
        <v>301</v>
      </c>
      <c r="G116" s="118" t="s">
        <v>1921</v>
      </c>
      <c r="H116" s="117" t="s">
        <v>424</v>
      </c>
      <c r="I116" s="117" t="s">
        <v>1283</v>
      </c>
      <c r="J116" s="117" t="s">
        <v>300</v>
      </c>
      <c r="K116" s="123" t="s">
        <v>1725</v>
      </c>
      <c r="L116" s="117" t="s">
        <v>300</v>
      </c>
      <c r="M116" s="123" t="s">
        <v>1416</v>
      </c>
      <c r="N116" s="117" t="s">
        <v>1866</v>
      </c>
      <c r="O116" s="118" t="s">
        <v>1922</v>
      </c>
      <c r="P116" s="118" t="s">
        <v>1923</v>
      </c>
      <c r="Q116" s="117"/>
      <c r="R116" s="117"/>
      <c r="S116" s="117"/>
      <c r="T116" s="117"/>
      <c r="U116" s="117"/>
      <c r="V116" s="123"/>
      <c r="W116" s="117"/>
      <c r="X116" s="118" t="s">
        <v>1924</v>
      </c>
      <c r="Y116" s="118" t="s">
        <v>1925</v>
      </c>
      <c r="Z116" s="118" t="s">
        <v>1926</v>
      </c>
      <c r="AA116" s="118" t="s">
        <v>1927</v>
      </c>
      <c r="AB116" s="117"/>
      <c r="AC116" s="117"/>
      <c r="AD116" s="117"/>
      <c r="AE116" s="117"/>
      <c r="AF116" s="117"/>
      <c r="AG116" s="117"/>
      <c r="AH116" s="117"/>
      <c r="AI116" s="117"/>
      <c r="AJ116" s="117"/>
    </row>
    <row r="117" spans="1:36" ht="24.75" customHeight="1">
      <c r="A117" s="116"/>
      <c r="B117" s="117" t="s">
        <v>1502</v>
      </c>
      <c r="C117" s="117"/>
      <c r="D117" s="117"/>
      <c r="E117" s="117" t="s">
        <v>1272</v>
      </c>
      <c r="F117" s="128" t="s">
        <v>1928</v>
      </c>
      <c r="G117" s="118" t="s">
        <v>1929</v>
      </c>
      <c r="H117" s="117" t="s">
        <v>298</v>
      </c>
      <c r="I117" s="117"/>
      <c r="J117" s="117" t="s">
        <v>269</v>
      </c>
      <c r="K117" s="123" t="s">
        <v>1274</v>
      </c>
      <c r="L117" s="117" t="s">
        <v>269</v>
      </c>
      <c r="M117" s="123" t="s">
        <v>1360</v>
      </c>
      <c r="N117" s="117" t="s">
        <v>1294</v>
      </c>
      <c r="O117" s="118" t="s">
        <v>1930</v>
      </c>
      <c r="P117" s="118" t="s">
        <v>1931</v>
      </c>
      <c r="Q117" s="117"/>
      <c r="R117" s="117"/>
      <c r="S117" s="117"/>
      <c r="T117" s="117"/>
      <c r="U117" s="117"/>
      <c r="V117" s="123" t="s">
        <v>1932</v>
      </c>
      <c r="W117" s="117"/>
      <c r="X117" s="128" t="s">
        <v>1933</v>
      </c>
      <c r="Y117" s="128"/>
      <c r="Z117" s="118"/>
      <c r="AA117" s="118" t="s">
        <v>1934</v>
      </c>
      <c r="AB117" s="117"/>
      <c r="AC117" s="117"/>
      <c r="AD117" s="117"/>
      <c r="AE117" s="117"/>
      <c r="AF117" s="117"/>
      <c r="AG117" s="117"/>
      <c r="AH117" s="117"/>
      <c r="AI117" s="117"/>
      <c r="AJ117" s="117"/>
    </row>
    <row r="118" spans="1:36" ht="24.75" customHeight="1">
      <c r="A118" s="116"/>
      <c r="B118" s="117" t="s">
        <v>1677</v>
      </c>
      <c r="C118" s="117"/>
      <c r="D118" s="117"/>
      <c r="E118" s="117" t="s">
        <v>1272</v>
      </c>
      <c r="F118" s="118" t="s">
        <v>334</v>
      </c>
      <c r="G118" s="118" t="s">
        <v>1935</v>
      </c>
      <c r="H118" s="117" t="s">
        <v>424</v>
      </c>
      <c r="I118" s="117" t="s">
        <v>302</v>
      </c>
      <c r="J118" s="117" t="s">
        <v>326</v>
      </c>
      <c r="K118" s="123" t="s">
        <v>1725</v>
      </c>
      <c r="L118" s="117" t="s">
        <v>326</v>
      </c>
      <c r="M118" s="123" t="s">
        <v>1779</v>
      </c>
      <c r="N118" s="117" t="s">
        <v>1866</v>
      </c>
      <c r="O118" s="118" t="s">
        <v>1936</v>
      </c>
      <c r="P118" s="118" t="s">
        <v>1937</v>
      </c>
      <c r="Q118" s="117"/>
      <c r="R118" s="117"/>
      <c r="S118" s="117"/>
      <c r="T118" s="117"/>
      <c r="U118" s="117"/>
      <c r="V118" s="123"/>
      <c r="W118" s="117"/>
      <c r="X118" s="128" t="s">
        <v>1938</v>
      </c>
      <c r="Y118" s="128" t="s">
        <v>1939</v>
      </c>
      <c r="Z118" s="118" t="s">
        <v>1940</v>
      </c>
      <c r="AA118" s="118" t="s">
        <v>1941</v>
      </c>
      <c r="AB118" s="117"/>
      <c r="AC118" s="117"/>
      <c r="AD118" s="117"/>
      <c r="AE118" s="117"/>
      <c r="AF118" s="117"/>
      <c r="AG118" s="117"/>
      <c r="AH118" s="117"/>
      <c r="AI118" s="117"/>
      <c r="AJ118" s="117"/>
    </row>
    <row r="119" spans="1:36" ht="24.75" customHeight="1">
      <c r="A119" s="116"/>
      <c r="B119" s="117" t="s">
        <v>1270</v>
      </c>
      <c r="C119" s="117" t="s">
        <v>1343</v>
      </c>
      <c r="D119" s="117"/>
      <c r="E119" s="117" t="s">
        <v>1272</v>
      </c>
      <c r="F119" s="118" t="s">
        <v>389</v>
      </c>
      <c r="G119" s="118" t="s">
        <v>1942</v>
      </c>
      <c r="H119" s="117" t="s">
        <v>298</v>
      </c>
      <c r="I119" s="117"/>
      <c r="J119" s="117" t="s">
        <v>1318</v>
      </c>
      <c r="K119" s="123" t="s">
        <v>1274</v>
      </c>
      <c r="L119" s="117" t="s">
        <v>269</v>
      </c>
      <c r="M119" s="123" t="s">
        <v>1284</v>
      </c>
      <c r="N119" s="117" t="s">
        <v>1294</v>
      </c>
      <c r="O119" s="118" t="s">
        <v>1943</v>
      </c>
      <c r="P119" s="118" t="s">
        <v>1944</v>
      </c>
      <c r="Q119" s="117"/>
      <c r="R119" s="117"/>
      <c r="S119" s="117"/>
      <c r="T119" s="117"/>
      <c r="U119" s="117"/>
      <c r="V119" s="123" t="s">
        <v>1945</v>
      </c>
      <c r="W119" s="117"/>
      <c r="X119" s="128" t="s">
        <v>1946</v>
      </c>
      <c r="Y119" s="128"/>
      <c r="Z119" s="118"/>
      <c r="AA119" s="137" t="s">
        <v>1947</v>
      </c>
      <c r="AB119" s="117" t="s">
        <v>1357</v>
      </c>
      <c r="AC119" s="117" t="s">
        <v>1357</v>
      </c>
      <c r="AD119" s="117" t="s">
        <v>1357</v>
      </c>
      <c r="AE119" s="117" t="s">
        <v>1357</v>
      </c>
      <c r="AF119" s="117" t="s">
        <v>1594</v>
      </c>
      <c r="AG119" s="117">
        <v>15</v>
      </c>
      <c r="AH119" s="117" t="s">
        <v>1613</v>
      </c>
      <c r="AI119" s="117" t="s">
        <v>1948</v>
      </c>
      <c r="AJ119" s="122" t="s">
        <v>1303</v>
      </c>
    </row>
    <row r="120" spans="1:36" ht="24.75" customHeight="1">
      <c r="A120" s="116"/>
      <c r="B120" s="117" t="s">
        <v>1629</v>
      </c>
      <c r="C120" s="117"/>
      <c r="D120" s="117"/>
      <c r="E120" s="117" t="s">
        <v>1272</v>
      </c>
      <c r="F120" s="157" t="s">
        <v>324</v>
      </c>
      <c r="G120" s="118" t="s">
        <v>1949</v>
      </c>
      <c r="H120" s="117" t="s">
        <v>298</v>
      </c>
      <c r="I120" s="117"/>
      <c r="J120" s="117" t="s">
        <v>269</v>
      </c>
      <c r="K120" s="123" t="s">
        <v>1274</v>
      </c>
      <c r="L120" s="117" t="s">
        <v>269</v>
      </c>
      <c r="M120" s="123" t="s">
        <v>1360</v>
      </c>
      <c r="N120" s="117" t="s">
        <v>1294</v>
      </c>
      <c r="O120" s="118" t="s">
        <v>1950</v>
      </c>
      <c r="P120" s="118" t="s">
        <v>1951</v>
      </c>
      <c r="Q120" s="117"/>
      <c r="R120" s="117"/>
      <c r="S120" s="117"/>
      <c r="T120" s="117"/>
      <c r="U120" s="117"/>
      <c r="V120" s="123" t="s">
        <v>1952</v>
      </c>
      <c r="W120" s="117"/>
      <c r="X120" s="128" t="s">
        <v>1953</v>
      </c>
      <c r="Y120" s="128"/>
      <c r="Z120" s="118"/>
      <c r="AA120" s="118" t="s">
        <v>1954</v>
      </c>
      <c r="AB120" s="117" t="s">
        <v>1357</v>
      </c>
      <c r="AC120" s="117" t="s">
        <v>1357</v>
      </c>
      <c r="AD120" s="117" t="s">
        <v>1357</v>
      </c>
      <c r="AE120" s="117" t="s">
        <v>1357</v>
      </c>
      <c r="AF120" s="117" t="s">
        <v>1594</v>
      </c>
      <c r="AG120" s="117"/>
      <c r="AH120" s="117"/>
      <c r="AI120" s="117"/>
      <c r="AJ120" s="117"/>
    </row>
    <row r="121" spans="1:36" ht="24.75" customHeight="1">
      <c r="A121" s="116"/>
      <c r="B121" s="117" t="s">
        <v>1270</v>
      </c>
      <c r="C121" s="117" t="s">
        <v>1343</v>
      </c>
      <c r="D121" s="117"/>
      <c r="E121" s="117" t="s">
        <v>1272</v>
      </c>
      <c r="F121" s="118" t="s">
        <v>604</v>
      </c>
      <c r="G121" s="118" t="s">
        <v>604</v>
      </c>
      <c r="H121" s="117" t="s">
        <v>302</v>
      </c>
      <c r="I121" s="117"/>
      <c r="J121" s="117" t="s">
        <v>261</v>
      </c>
      <c r="K121" s="123" t="s">
        <v>1274</v>
      </c>
      <c r="L121" s="117" t="s">
        <v>261</v>
      </c>
      <c r="M121" s="123" t="s">
        <v>1344</v>
      </c>
      <c r="N121" s="117" t="s">
        <v>1294</v>
      </c>
      <c r="O121" s="118" t="s">
        <v>1375</v>
      </c>
      <c r="P121" s="118" t="s">
        <v>1376</v>
      </c>
      <c r="Q121" s="123"/>
      <c r="R121" s="123"/>
      <c r="S121" s="123"/>
      <c r="T121" s="123"/>
      <c r="U121" s="123"/>
      <c r="V121" s="123" t="s">
        <v>1955</v>
      </c>
      <c r="W121" s="123"/>
      <c r="X121" s="118" t="s">
        <v>1956</v>
      </c>
      <c r="Y121" s="118"/>
      <c r="Z121" s="118"/>
      <c r="AA121" s="118" t="s">
        <v>1957</v>
      </c>
      <c r="AB121" s="117"/>
      <c r="AC121" s="117"/>
      <c r="AD121" s="117"/>
      <c r="AE121" s="117"/>
      <c r="AF121" s="117"/>
      <c r="AG121" s="117"/>
      <c r="AH121" s="117"/>
      <c r="AI121" s="117"/>
      <c r="AJ121" s="122" t="s">
        <v>1303</v>
      </c>
    </row>
    <row r="122" spans="1:36" s="2" customFormat="1" ht="24.75" customHeight="1">
      <c r="A122" s="116"/>
      <c r="B122" s="117" t="s">
        <v>1502</v>
      </c>
      <c r="C122" s="117"/>
      <c r="D122" s="117"/>
      <c r="E122" s="117" t="s">
        <v>1272</v>
      </c>
      <c r="F122" s="118" t="s">
        <v>314</v>
      </c>
      <c r="G122" s="118" t="s">
        <v>1958</v>
      </c>
      <c r="H122" s="117" t="s">
        <v>424</v>
      </c>
      <c r="I122" s="117" t="s">
        <v>1283</v>
      </c>
      <c r="J122" s="117" t="s">
        <v>1959</v>
      </c>
      <c r="K122" s="123" t="s">
        <v>1960</v>
      </c>
      <c r="L122" s="117" t="s">
        <v>1961</v>
      </c>
      <c r="M122" s="123" t="s">
        <v>1962</v>
      </c>
      <c r="N122" s="117" t="s">
        <v>1294</v>
      </c>
      <c r="O122" s="118" t="s">
        <v>1963</v>
      </c>
      <c r="P122" s="118" t="s">
        <v>1964</v>
      </c>
      <c r="Q122" s="117" t="s">
        <v>278</v>
      </c>
      <c r="R122" s="117" t="s">
        <v>270</v>
      </c>
      <c r="S122" s="117"/>
      <c r="T122" s="117"/>
      <c r="U122" s="117"/>
      <c r="V122" s="123" t="s">
        <v>1965</v>
      </c>
      <c r="W122" s="117"/>
      <c r="X122" s="128" t="s">
        <v>1966</v>
      </c>
      <c r="Y122" s="128"/>
      <c r="Z122" s="118" t="s">
        <v>1967</v>
      </c>
      <c r="AA122" s="118"/>
      <c r="AB122" s="117"/>
      <c r="AC122" s="117"/>
      <c r="AD122" s="117"/>
      <c r="AE122" s="117"/>
      <c r="AF122" s="117"/>
      <c r="AG122" s="117"/>
      <c r="AH122" s="117"/>
      <c r="AI122" s="117"/>
      <c r="AJ122" s="117"/>
    </row>
    <row r="123" spans="1:36" ht="24.75" customHeight="1">
      <c r="A123" s="116"/>
      <c r="B123" s="117" t="s">
        <v>1502</v>
      </c>
      <c r="C123" s="117"/>
      <c r="D123" s="117"/>
      <c r="E123" s="117" t="s">
        <v>1272</v>
      </c>
      <c r="F123" s="118" t="s">
        <v>1968</v>
      </c>
      <c r="G123" s="118"/>
      <c r="H123" s="117" t="s">
        <v>302</v>
      </c>
      <c r="I123" s="117"/>
      <c r="J123" s="117"/>
      <c r="K123" s="123"/>
      <c r="L123" s="117" t="s">
        <v>269</v>
      </c>
      <c r="M123" s="123" t="s">
        <v>1284</v>
      </c>
      <c r="N123" s="117" t="s">
        <v>1294</v>
      </c>
      <c r="O123" s="118" t="s">
        <v>1969</v>
      </c>
      <c r="P123" s="118"/>
      <c r="Q123" s="117"/>
      <c r="R123" s="117"/>
      <c r="S123" s="117" t="s">
        <v>1270</v>
      </c>
      <c r="T123" s="117"/>
      <c r="U123" s="117"/>
      <c r="V123" s="123"/>
      <c r="W123" s="117"/>
      <c r="X123" s="118"/>
      <c r="Y123" s="118"/>
      <c r="Z123" s="118"/>
      <c r="AA123" s="118"/>
      <c r="AB123" s="117"/>
      <c r="AC123" s="117"/>
      <c r="AD123" s="117"/>
      <c r="AE123" s="117"/>
      <c r="AF123" s="117"/>
      <c r="AG123" s="117"/>
      <c r="AH123" s="117"/>
      <c r="AI123" s="117"/>
      <c r="AJ123" s="117"/>
    </row>
    <row r="124" spans="1:36" s="2" customFormat="1" ht="24.75" customHeight="1">
      <c r="A124" s="116"/>
      <c r="B124" s="117" t="s">
        <v>1502</v>
      </c>
      <c r="C124" s="117"/>
      <c r="D124" s="117"/>
      <c r="E124" s="117" t="s">
        <v>1272</v>
      </c>
      <c r="F124" s="118" t="s">
        <v>318</v>
      </c>
      <c r="G124" s="118"/>
      <c r="H124" s="117" t="s">
        <v>302</v>
      </c>
      <c r="I124" s="117"/>
      <c r="J124" s="117" t="s">
        <v>300</v>
      </c>
      <c r="K124" s="123" t="s">
        <v>1725</v>
      </c>
      <c r="L124" s="117" t="s">
        <v>300</v>
      </c>
      <c r="M124" s="123" t="s">
        <v>1416</v>
      </c>
      <c r="N124" s="117" t="s">
        <v>1294</v>
      </c>
      <c r="O124" s="118"/>
      <c r="P124" s="118"/>
      <c r="Q124" s="117"/>
      <c r="R124" s="117"/>
      <c r="S124" s="117" t="s">
        <v>1270</v>
      </c>
      <c r="T124" s="117"/>
      <c r="U124" s="117"/>
      <c r="V124" s="123"/>
      <c r="W124" s="117"/>
      <c r="X124" s="118"/>
      <c r="Y124" s="118"/>
      <c r="Z124" s="118"/>
      <c r="AA124" s="118"/>
      <c r="AB124" s="117"/>
      <c r="AC124" s="117"/>
      <c r="AD124" s="117"/>
      <c r="AE124" s="117"/>
      <c r="AF124" s="117"/>
      <c r="AG124" s="117"/>
      <c r="AH124" s="117"/>
      <c r="AI124" s="117"/>
      <c r="AJ124" s="117"/>
    </row>
    <row r="125" spans="1:36" ht="24.75" customHeight="1">
      <c r="A125" s="116"/>
      <c r="B125" s="117" t="s">
        <v>1502</v>
      </c>
      <c r="C125" s="117" t="s">
        <v>1343</v>
      </c>
      <c r="D125" s="117"/>
      <c r="E125" s="117" t="s">
        <v>1272</v>
      </c>
      <c r="F125" s="118" t="s">
        <v>337</v>
      </c>
      <c r="G125" s="118"/>
      <c r="H125" s="117" t="s">
        <v>298</v>
      </c>
      <c r="I125" s="117"/>
      <c r="J125" s="117" t="s">
        <v>269</v>
      </c>
      <c r="K125" s="123" t="s">
        <v>1274</v>
      </c>
      <c r="L125" s="117" t="s">
        <v>269</v>
      </c>
      <c r="M125" s="123" t="s">
        <v>1360</v>
      </c>
      <c r="N125" s="117" t="s">
        <v>1294</v>
      </c>
      <c r="O125" s="118" t="s">
        <v>1970</v>
      </c>
      <c r="P125" s="118" t="s">
        <v>1971</v>
      </c>
      <c r="Q125" s="117"/>
      <c r="R125" s="117"/>
      <c r="S125" s="117"/>
      <c r="T125" s="117"/>
      <c r="U125" s="117"/>
      <c r="V125" s="123" t="s">
        <v>1972</v>
      </c>
      <c r="W125" s="117"/>
      <c r="X125" s="128" t="s">
        <v>1973</v>
      </c>
      <c r="Y125" s="118"/>
      <c r="Z125" s="118"/>
      <c r="AA125" s="118" t="s">
        <v>1974</v>
      </c>
      <c r="AB125" s="117"/>
      <c r="AC125" s="117"/>
      <c r="AD125" s="117"/>
      <c r="AE125" s="117"/>
      <c r="AF125" s="117"/>
      <c r="AG125" s="117"/>
      <c r="AH125" s="117"/>
      <c r="AI125" s="117"/>
      <c r="AJ125" s="117"/>
    </row>
    <row r="126" spans="1:36" ht="24.75" customHeight="1">
      <c r="A126" s="116"/>
      <c r="B126" s="117" t="s">
        <v>1469</v>
      </c>
      <c r="C126" s="117"/>
      <c r="D126" s="117"/>
      <c r="E126" s="117" t="s">
        <v>1272</v>
      </c>
      <c r="F126" s="118" t="s">
        <v>1975</v>
      </c>
      <c r="G126" s="118" t="s">
        <v>1975</v>
      </c>
      <c r="H126" s="117" t="s">
        <v>298</v>
      </c>
      <c r="I126" s="143" t="s">
        <v>1283</v>
      </c>
      <c r="J126" s="117" t="s">
        <v>1976</v>
      </c>
      <c r="K126" s="123" t="s">
        <v>1725</v>
      </c>
      <c r="L126" s="117" t="s">
        <v>1976</v>
      </c>
      <c r="M126" s="123" t="s">
        <v>1977</v>
      </c>
      <c r="N126" s="117" t="s">
        <v>1294</v>
      </c>
      <c r="O126" s="118"/>
      <c r="P126" s="118"/>
      <c r="Q126" s="117"/>
      <c r="R126" s="117"/>
      <c r="S126" s="117"/>
      <c r="T126" s="117"/>
      <c r="U126" s="117"/>
      <c r="V126" s="123"/>
      <c r="W126" s="117"/>
      <c r="X126" s="118"/>
      <c r="Y126" s="118"/>
      <c r="Z126" s="118"/>
      <c r="AA126" s="118"/>
      <c r="AB126" s="117"/>
      <c r="AC126" s="117"/>
      <c r="AD126" s="117"/>
      <c r="AE126" s="117"/>
      <c r="AF126" s="117"/>
      <c r="AG126" s="117"/>
      <c r="AH126" s="117"/>
      <c r="AI126" s="117"/>
      <c r="AJ126" s="117"/>
    </row>
    <row r="127" spans="1:36" ht="24.75" customHeight="1">
      <c r="A127" s="116"/>
      <c r="B127" s="117" t="s">
        <v>1469</v>
      </c>
      <c r="C127" s="117"/>
      <c r="D127" s="117"/>
      <c r="E127" s="117" t="s">
        <v>1272</v>
      </c>
      <c r="F127" s="157" t="s">
        <v>1978</v>
      </c>
      <c r="G127" s="157" t="s">
        <v>1978</v>
      </c>
      <c r="H127" s="117" t="s">
        <v>298</v>
      </c>
      <c r="I127" s="143" t="s">
        <v>1283</v>
      </c>
      <c r="J127" s="117" t="s">
        <v>1976</v>
      </c>
      <c r="K127" s="123" t="s">
        <v>1725</v>
      </c>
      <c r="L127" s="117" t="s">
        <v>1976</v>
      </c>
      <c r="M127" s="123" t="s">
        <v>1977</v>
      </c>
      <c r="N127" s="117" t="s">
        <v>1294</v>
      </c>
      <c r="O127" s="118" t="s">
        <v>1979</v>
      </c>
      <c r="P127" s="118" t="s">
        <v>1951</v>
      </c>
      <c r="Q127" s="117"/>
      <c r="R127" s="117"/>
      <c r="S127" s="117"/>
      <c r="T127" s="117"/>
      <c r="U127" s="117"/>
      <c r="V127" s="169" t="s">
        <v>1980</v>
      </c>
      <c r="W127" s="151"/>
      <c r="X127" s="128" t="s">
        <v>1981</v>
      </c>
      <c r="Y127" s="128"/>
      <c r="Z127" s="118" t="s">
        <v>1982</v>
      </c>
      <c r="AA127" s="118" t="s">
        <v>1983</v>
      </c>
      <c r="AB127" s="117"/>
      <c r="AC127" s="117"/>
      <c r="AD127" s="117"/>
      <c r="AE127" s="117"/>
      <c r="AF127" s="117"/>
      <c r="AG127" s="117"/>
      <c r="AH127" s="117"/>
      <c r="AI127" s="117"/>
      <c r="AJ127" s="117"/>
    </row>
    <row r="128" spans="1:36" ht="24.75" customHeight="1">
      <c r="A128" s="116"/>
      <c r="B128" s="117" t="s">
        <v>1469</v>
      </c>
      <c r="C128" s="117"/>
      <c r="D128" s="117"/>
      <c r="E128" s="117" t="s">
        <v>1272</v>
      </c>
      <c r="F128" s="157" t="s">
        <v>1984</v>
      </c>
      <c r="G128" s="157" t="s">
        <v>1984</v>
      </c>
      <c r="H128" s="117" t="s">
        <v>298</v>
      </c>
      <c r="I128" s="143" t="s">
        <v>1283</v>
      </c>
      <c r="J128" s="117" t="s">
        <v>1976</v>
      </c>
      <c r="K128" s="123" t="s">
        <v>1725</v>
      </c>
      <c r="L128" s="117" t="s">
        <v>1976</v>
      </c>
      <c r="M128" s="123" t="s">
        <v>1977</v>
      </c>
      <c r="N128" s="117" t="s">
        <v>1294</v>
      </c>
      <c r="O128" s="118" t="s">
        <v>1985</v>
      </c>
      <c r="P128" s="118" t="s">
        <v>1986</v>
      </c>
      <c r="Q128" s="117"/>
      <c r="R128" s="117" t="s">
        <v>278</v>
      </c>
      <c r="S128" s="117"/>
      <c r="T128" s="117"/>
      <c r="U128" s="117"/>
      <c r="V128" s="123" t="s">
        <v>1987</v>
      </c>
      <c r="W128" s="117"/>
      <c r="X128" s="128" t="s">
        <v>1988</v>
      </c>
      <c r="Y128" s="128"/>
      <c r="Z128" s="118"/>
      <c r="AA128" s="118" t="s">
        <v>1989</v>
      </c>
      <c r="AB128" s="117"/>
      <c r="AC128" s="117"/>
      <c r="AD128" s="117"/>
      <c r="AE128" s="117"/>
      <c r="AF128" s="117"/>
      <c r="AG128" s="117"/>
      <c r="AH128" s="117"/>
      <c r="AI128" s="117"/>
      <c r="AJ128" s="117"/>
    </row>
    <row r="129" spans="1:36" ht="24.75" customHeight="1">
      <c r="A129" s="116"/>
      <c r="B129" s="117" t="s">
        <v>1469</v>
      </c>
      <c r="C129" s="117"/>
      <c r="D129" s="117"/>
      <c r="E129" s="117" t="s">
        <v>1272</v>
      </c>
      <c r="F129" s="157" t="s">
        <v>1990</v>
      </c>
      <c r="G129" s="157" t="s">
        <v>1990</v>
      </c>
      <c r="H129" s="117" t="s">
        <v>298</v>
      </c>
      <c r="I129" s="143" t="s">
        <v>1283</v>
      </c>
      <c r="J129" s="117" t="s">
        <v>1976</v>
      </c>
      <c r="K129" s="123" t="s">
        <v>1725</v>
      </c>
      <c r="L129" s="117" t="s">
        <v>1976</v>
      </c>
      <c r="M129" s="123" t="s">
        <v>1977</v>
      </c>
      <c r="N129" s="117" t="s">
        <v>1276</v>
      </c>
      <c r="O129" s="118" t="s">
        <v>1991</v>
      </c>
      <c r="P129" s="118" t="s">
        <v>1992</v>
      </c>
      <c r="Q129" s="117"/>
      <c r="R129" s="117" t="s">
        <v>276</v>
      </c>
      <c r="S129" s="117"/>
      <c r="T129" s="117"/>
      <c r="U129" s="117"/>
      <c r="V129" s="123" t="s">
        <v>1993</v>
      </c>
      <c r="W129" s="117"/>
      <c r="X129" s="128" t="s">
        <v>1994</v>
      </c>
      <c r="Y129" s="128"/>
      <c r="Z129" s="118" t="s">
        <v>1995</v>
      </c>
      <c r="AA129" s="180" t="s">
        <v>1996</v>
      </c>
      <c r="AB129" s="117"/>
      <c r="AC129" s="117"/>
      <c r="AD129" s="117"/>
      <c r="AE129" s="117"/>
      <c r="AF129" s="117"/>
      <c r="AG129" s="117"/>
      <c r="AH129" s="117"/>
      <c r="AI129" s="117"/>
      <c r="AJ129" s="117"/>
    </row>
    <row r="130" spans="1:36" ht="24.75" customHeight="1">
      <c r="A130" s="116"/>
      <c r="B130" s="117" t="s">
        <v>1469</v>
      </c>
      <c r="C130" s="117"/>
      <c r="D130" s="117"/>
      <c r="E130" s="117" t="s">
        <v>1272</v>
      </c>
      <c r="F130" s="157" t="s">
        <v>1997</v>
      </c>
      <c r="G130" s="118" t="s">
        <v>1998</v>
      </c>
      <c r="H130" s="117" t="s">
        <v>298</v>
      </c>
      <c r="I130" s="143" t="s">
        <v>1283</v>
      </c>
      <c r="J130" s="117" t="s">
        <v>1976</v>
      </c>
      <c r="K130" s="123" t="s">
        <v>1725</v>
      </c>
      <c r="L130" s="117" t="s">
        <v>1976</v>
      </c>
      <c r="M130" s="123" t="s">
        <v>1977</v>
      </c>
      <c r="N130" s="117" t="s">
        <v>1305</v>
      </c>
      <c r="O130" s="118" t="s">
        <v>1999</v>
      </c>
      <c r="P130" s="118" t="s">
        <v>2000</v>
      </c>
      <c r="Q130" s="117"/>
      <c r="R130" s="117" t="s">
        <v>2001</v>
      </c>
      <c r="S130" s="117"/>
      <c r="T130" s="117"/>
      <c r="U130" s="117"/>
      <c r="V130" s="123" t="s">
        <v>2002</v>
      </c>
      <c r="W130" s="123"/>
      <c r="X130" s="128" t="s">
        <v>2003</v>
      </c>
      <c r="Y130" s="128"/>
      <c r="Z130" s="118" t="s">
        <v>2004</v>
      </c>
      <c r="AA130" s="118" t="s">
        <v>2005</v>
      </c>
      <c r="AB130" s="117"/>
      <c r="AC130" s="117"/>
      <c r="AD130" s="117"/>
      <c r="AE130" s="117"/>
      <c r="AF130" s="117"/>
      <c r="AG130" s="117"/>
      <c r="AH130" s="117"/>
      <c r="AI130" s="117"/>
      <c r="AJ130" s="117"/>
    </row>
    <row r="131" spans="1:36" ht="24.75" customHeight="1">
      <c r="A131" s="116"/>
      <c r="B131" s="117" t="s">
        <v>1469</v>
      </c>
      <c r="C131" s="117"/>
      <c r="D131" s="117"/>
      <c r="E131" s="117" t="s">
        <v>1272</v>
      </c>
      <c r="F131" s="157" t="s">
        <v>2006</v>
      </c>
      <c r="G131" s="157" t="s">
        <v>2006</v>
      </c>
      <c r="H131" s="117" t="s">
        <v>298</v>
      </c>
      <c r="I131" s="143" t="s">
        <v>1283</v>
      </c>
      <c r="J131" s="117" t="s">
        <v>282</v>
      </c>
      <c r="K131" s="123" t="s">
        <v>1725</v>
      </c>
      <c r="L131" s="117" t="s">
        <v>1976</v>
      </c>
      <c r="M131" s="123" t="s">
        <v>1977</v>
      </c>
      <c r="N131" s="117" t="s">
        <v>1305</v>
      </c>
      <c r="O131" s="118" t="s">
        <v>2007</v>
      </c>
      <c r="P131" s="118" t="s">
        <v>2008</v>
      </c>
      <c r="Q131" s="117"/>
      <c r="R131" s="117"/>
      <c r="S131" s="117"/>
      <c r="T131" s="117"/>
      <c r="U131" s="117"/>
      <c r="V131" s="123" t="s">
        <v>2009</v>
      </c>
      <c r="W131" s="117"/>
      <c r="X131" s="128" t="s">
        <v>2010</v>
      </c>
      <c r="Y131" s="128"/>
      <c r="Z131" s="118" t="s">
        <v>2011</v>
      </c>
      <c r="AA131" s="118" t="s">
        <v>1989</v>
      </c>
      <c r="AB131" s="117"/>
      <c r="AC131" s="117"/>
      <c r="AD131" s="117"/>
      <c r="AE131" s="117"/>
      <c r="AF131" s="117"/>
      <c r="AG131" s="117"/>
      <c r="AH131" s="117"/>
      <c r="AI131" s="117"/>
      <c r="AJ131" s="117"/>
    </row>
    <row r="132" spans="1:36" ht="24.75" customHeight="1">
      <c r="A132" s="116"/>
      <c r="B132" s="117" t="s">
        <v>1469</v>
      </c>
      <c r="C132" s="117"/>
      <c r="D132" s="117"/>
      <c r="E132" s="117" t="s">
        <v>1272</v>
      </c>
      <c r="F132" s="118" t="s">
        <v>2012</v>
      </c>
      <c r="G132" s="118" t="s">
        <v>2012</v>
      </c>
      <c r="H132" s="117" t="s">
        <v>298</v>
      </c>
      <c r="I132" s="143" t="s">
        <v>1283</v>
      </c>
      <c r="J132" s="117" t="s">
        <v>1976</v>
      </c>
      <c r="K132" s="123" t="s">
        <v>1725</v>
      </c>
      <c r="L132" s="117" t="s">
        <v>1976</v>
      </c>
      <c r="M132" s="123" t="s">
        <v>1977</v>
      </c>
      <c r="N132" s="117" t="s">
        <v>1294</v>
      </c>
      <c r="O132" s="118" t="s">
        <v>2013</v>
      </c>
      <c r="P132" s="118" t="s">
        <v>2014</v>
      </c>
      <c r="Q132" s="117"/>
      <c r="R132" s="117"/>
      <c r="S132" s="117"/>
      <c r="T132" s="117"/>
      <c r="U132" s="117"/>
      <c r="V132" s="123" t="s">
        <v>2015</v>
      </c>
      <c r="W132" s="123"/>
      <c r="X132" s="128" t="s">
        <v>2016</v>
      </c>
      <c r="Y132" s="128"/>
      <c r="Z132" s="118"/>
      <c r="AA132" s="144" t="s">
        <v>2017</v>
      </c>
      <c r="AB132" s="117"/>
      <c r="AC132" s="117"/>
      <c r="AD132" s="117"/>
      <c r="AE132" s="117"/>
      <c r="AF132" s="117"/>
      <c r="AG132" s="117"/>
      <c r="AH132" s="117"/>
      <c r="AI132" s="117"/>
      <c r="AJ132" s="117"/>
    </row>
    <row r="133" spans="1:36" ht="24.75" customHeight="1">
      <c r="A133" s="116"/>
      <c r="B133" s="117" t="s">
        <v>1469</v>
      </c>
      <c r="C133" s="117"/>
      <c r="D133" s="117"/>
      <c r="E133" s="117" t="s">
        <v>1272</v>
      </c>
      <c r="F133" s="118" t="s">
        <v>2018</v>
      </c>
      <c r="G133" s="118" t="s">
        <v>2018</v>
      </c>
      <c r="H133" s="117" t="s">
        <v>298</v>
      </c>
      <c r="I133" s="143" t="s">
        <v>1283</v>
      </c>
      <c r="J133" s="117" t="s">
        <v>282</v>
      </c>
      <c r="K133" s="123" t="s">
        <v>1725</v>
      </c>
      <c r="L133" s="117" t="s">
        <v>282</v>
      </c>
      <c r="M133" s="123"/>
      <c r="N133" s="117" t="s">
        <v>1294</v>
      </c>
      <c r="O133" s="118" t="s">
        <v>2019</v>
      </c>
      <c r="P133" s="118"/>
      <c r="Q133" s="117"/>
      <c r="R133" s="117"/>
      <c r="S133" s="117"/>
      <c r="T133" s="117"/>
      <c r="U133" s="117"/>
      <c r="V133" s="123">
        <v>31051171</v>
      </c>
      <c r="W133" s="117"/>
      <c r="X133" s="118" t="s">
        <v>2020</v>
      </c>
      <c r="Y133" s="118"/>
      <c r="Z133" s="118" t="s">
        <v>2021</v>
      </c>
      <c r="AA133" s="118" t="s">
        <v>2022</v>
      </c>
      <c r="AB133" s="117"/>
      <c r="AC133" s="117"/>
      <c r="AD133" s="117"/>
      <c r="AE133" s="117"/>
      <c r="AF133" s="117"/>
      <c r="AG133" s="117"/>
      <c r="AH133" s="117"/>
      <c r="AI133" s="117"/>
      <c r="AJ133" s="117"/>
    </row>
    <row r="134" spans="1:36" ht="24.75" customHeight="1">
      <c r="A134" s="116"/>
      <c r="B134" s="117" t="s">
        <v>1469</v>
      </c>
      <c r="C134" s="117"/>
      <c r="D134" s="117"/>
      <c r="E134" s="117" t="s">
        <v>1272</v>
      </c>
      <c r="F134" s="118" t="s">
        <v>2023</v>
      </c>
      <c r="G134" s="118"/>
      <c r="H134" s="117" t="s">
        <v>424</v>
      </c>
      <c r="I134" s="117" t="s">
        <v>1283</v>
      </c>
      <c r="J134" s="117" t="s">
        <v>306</v>
      </c>
      <c r="K134" s="123" t="s">
        <v>1762</v>
      </c>
      <c r="L134" s="117" t="s">
        <v>306</v>
      </c>
      <c r="M134" s="123"/>
      <c r="N134" s="117"/>
      <c r="O134" s="118"/>
      <c r="P134" s="118"/>
      <c r="Q134" s="117"/>
      <c r="R134" s="117"/>
      <c r="S134" s="117"/>
      <c r="T134" s="117"/>
      <c r="U134" s="117"/>
      <c r="V134" s="123"/>
      <c r="W134" s="117"/>
      <c r="X134" s="118"/>
      <c r="Y134" s="118"/>
      <c r="Z134" s="118"/>
      <c r="AA134" s="118"/>
      <c r="AB134" s="117"/>
      <c r="AC134" s="117"/>
      <c r="AD134" s="117"/>
      <c r="AE134" s="117"/>
      <c r="AF134" s="117"/>
      <c r="AG134" s="117"/>
      <c r="AH134" s="117"/>
      <c r="AI134" s="117"/>
      <c r="AJ134" s="117"/>
    </row>
    <row r="135" spans="1:36" ht="24.75" customHeight="1">
      <c r="A135" s="116"/>
      <c r="B135" s="117" t="s">
        <v>1469</v>
      </c>
      <c r="C135" s="117"/>
      <c r="D135" s="117"/>
      <c r="E135" s="117" t="s">
        <v>1272</v>
      </c>
      <c r="F135" s="118" t="s">
        <v>2024</v>
      </c>
      <c r="G135" s="118"/>
      <c r="H135" s="117" t="s">
        <v>424</v>
      </c>
      <c r="I135" s="117" t="s">
        <v>1283</v>
      </c>
      <c r="J135" s="117" t="s">
        <v>306</v>
      </c>
      <c r="K135" s="123" t="s">
        <v>1762</v>
      </c>
      <c r="L135" s="117" t="s">
        <v>306</v>
      </c>
      <c r="M135" s="123"/>
      <c r="N135" s="117"/>
      <c r="O135" s="128" t="s">
        <v>2025</v>
      </c>
      <c r="P135" s="118" t="s">
        <v>2026</v>
      </c>
      <c r="Q135" s="117"/>
      <c r="R135" s="117"/>
      <c r="S135" s="117"/>
      <c r="T135" s="117"/>
      <c r="U135" s="117"/>
      <c r="V135" s="123"/>
      <c r="W135" s="117"/>
      <c r="X135" s="128" t="s">
        <v>2027</v>
      </c>
      <c r="Y135" s="128" t="s">
        <v>2028</v>
      </c>
      <c r="Z135" s="118"/>
      <c r="AA135" s="118"/>
      <c r="AB135" s="117"/>
      <c r="AC135" s="117"/>
      <c r="AD135" s="117"/>
      <c r="AE135" s="117"/>
      <c r="AF135" s="117"/>
      <c r="AG135" s="117"/>
      <c r="AH135" s="117"/>
      <c r="AI135" s="117"/>
      <c r="AJ135" s="117"/>
    </row>
    <row r="136" spans="1:36" ht="24.75" customHeight="1">
      <c r="A136" s="116"/>
      <c r="B136" s="117" t="s">
        <v>1469</v>
      </c>
      <c r="C136" s="117"/>
      <c r="D136" s="117"/>
      <c r="E136" s="117" t="s">
        <v>1272</v>
      </c>
      <c r="F136" s="118" t="s">
        <v>2029</v>
      </c>
      <c r="G136" s="118"/>
      <c r="H136" s="117" t="s">
        <v>424</v>
      </c>
      <c r="I136" s="117" t="s">
        <v>1283</v>
      </c>
      <c r="J136" s="117" t="s">
        <v>306</v>
      </c>
      <c r="K136" s="123" t="s">
        <v>1762</v>
      </c>
      <c r="L136" s="117" t="s">
        <v>306</v>
      </c>
      <c r="M136" s="123"/>
      <c r="N136" s="117"/>
      <c r="O136" s="118"/>
      <c r="P136" s="118"/>
      <c r="Q136" s="117"/>
      <c r="R136" s="117"/>
      <c r="S136" s="117"/>
      <c r="T136" s="117"/>
      <c r="U136" s="117"/>
      <c r="V136" s="123"/>
      <c r="W136" s="117"/>
      <c r="X136" s="118"/>
      <c r="Y136" s="118"/>
      <c r="Z136" s="118"/>
      <c r="AA136" s="118"/>
      <c r="AB136" s="117"/>
      <c r="AC136" s="117"/>
      <c r="AD136" s="117"/>
      <c r="AE136" s="117"/>
      <c r="AF136" s="117"/>
      <c r="AG136" s="117"/>
      <c r="AH136" s="117"/>
      <c r="AI136" s="117"/>
      <c r="AJ136" s="117"/>
    </row>
    <row r="137" spans="1:36" ht="24.75" customHeight="1">
      <c r="A137" s="116"/>
      <c r="B137" s="117" t="s">
        <v>1469</v>
      </c>
      <c r="C137" s="117"/>
      <c r="D137" s="117"/>
      <c r="E137" s="117" t="s">
        <v>1272</v>
      </c>
      <c r="F137" s="118" t="s">
        <v>2030</v>
      </c>
      <c r="G137" s="118"/>
      <c r="H137" s="117" t="s">
        <v>424</v>
      </c>
      <c r="I137" s="117" t="s">
        <v>1283</v>
      </c>
      <c r="J137" s="117" t="s">
        <v>306</v>
      </c>
      <c r="K137" s="123" t="s">
        <v>1762</v>
      </c>
      <c r="L137" s="117" t="s">
        <v>306</v>
      </c>
      <c r="M137" s="123"/>
      <c r="N137" s="117"/>
      <c r="O137" s="118"/>
      <c r="P137" s="118"/>
      <c r="Q137" s="117"/>
      <c r="R137" s="117"/>
      <c r="S137" s="117"/>
      <c r="T137" s="117"/>
      <c r="U137" s="117"/>
      <c r="V137" s="123"/>
      <c r="W137" s="117"/>
      <c r="X137" s="118"/>
      <c r="Y137" s="118"/>
      <c r="Z137" s="118"/>
      <c r="AA137" s="118"/>
      <c r="AB137" s="117"/>
      <c r="AC137" s="117"/>
      <c r="AD137" s="117"/>
      <c r="AE137" s="117"/>
      <c r="AF137" s="117"/>
      <c r="AG137" s="117"/>
      <c r="AH137" s="117"/>
      <c r="AI137" s="117"/>
      <c r="AJ137" s="117"/>
    </row>
    <row r="138" spans="1:36" ht="24.75" customHeight="1">
      <c r="A138" s="116"/>
      <c r="B138" s="117" t="s">
        <v>1469</v>
      </c>
      <c r="C138" s="117"/>
      <c r="D138" s="117"/>
      <c r="E138" s="117" t="s">
        <v>1272</v>
      </c>
      <c r="F138" s="118" t="s">
        <v>2031</v>
      </c>
      <c r="G138" s="118"/>
      <c r="H138" s="117" t="s">
        <v>424</v>
      </c>
      <c r="I138" s="117" t="s">
        <v>1283</v>
      </c>
      <c r="J138" s="117" t="s">
        <v>306</v>
      </c>
      <c r="K138" s="123" t="s">
        <v>1762</v>
      </c>
      <c r="L138" s="117" t="s">
        <v>306</v>
      </c>
      <c r="M138" s="123"/>
      <c r="N138" s="117"/>
      <c r="O138" s="118" t="s">
        <v>2032</v>
      </c>
      <c r="P138" s="118" t="s">
        <v>2033</v>
      </c>
      <c r="Q138" s="117"/>
      <c r="R138" s="117"/>
      <c r="S138" s="117"/>
      <c r="T138" s="117"/>
      <c r="U138" s="117"/>
      <c r="V138" s="123">
        <v>91281675</v>
      </c>
      <c r="W138" s="117"/>
      <c r="X138" s="128" t="s">
        <v>2034</v>
      </c>
      <c r="Y138" s="128" t="s">
        <v>2035</v>
      </c>
      <c r="Z138" s="118" t="s">
        <v>2036</v>
      </c>
      <c r="AA138" s="118"/>
      <c r="AB138" s="117"/>
      <c r="AC138" s="117"/>
      <c r="AD138" s="117"/>
      <c r="AE138" s="117"/>
      <c r="AF138" s="117"/>
      <c r="AG138" s="117"/>
      <c r="AH138" s="117"/>
      <c r="AI138" s="117"/>
      <c r="AJ138" s="117"/>
    </row>
    <row r="139" spans="1:36" ht="24.75" customHeight="1">
      <c r="A139" s="116"/>
      <c r="B139" s="117" t="s">
        <v>1469</v>
      </c>
      <c r="C139" s="117"/>
      <c r="D139" s="117"/>
      <c r="E139" s="117" t="s">
        <v>1272</v>
      </c>
      <c r="F139" s="118" t="s">
        <v>2037</v>
      </c>
      <c r="G139" s="118"/>
      <c r="H139" s="117" t="s">
        <v>424</v>
      </c>
      <c r="I139" s="117" t="s">
        <v>1283</v>
      </c>
      <c r="J139" s="117" t="s">
        <v>306</v>
      </c>
      <c r="K139" s="123" t="s">
        <v>1762</v>
      </c>
      <c r="L139" s="117" t="s">
        <v>306</v>
      </c>
      <c r="M139" s="123"/>
      <c r="N139" s="117"/>
      <c r="O139" s="118"/>
      <c r="P139" s="118"/>
      <c r="Q139" s="117"/>
      <c r="R139" s="117"/>
      <c r="S139" s="117"/>
      <c r="T139" s="117"/>
      <c r="U139" s="117"/>
      <c r="V139" s="123"/>
      <c r="W139" s="117"/>
      <c r="X139" s="128" t="s">
        <v>2038</v>
      </c>
      <c r="Y139" s="118"/>
      <c r="Z139" s="118"/>
      <c r="AA139" s="118"/>
      <c r="AB139" s="117"/>
      <c r="AC139" s="117"/>
      <c r="AD139" s="117"/>
      <c r="AE139" s="117"/>
      <c r="AF139" s="117"/>
      <c r="AG139" s="117"/>
      <c r="AH139" s="117"/>
      <c r="AI139" s="117"/>
      <c r="AJ139" s="117"/>
    </row>
    <row r="140" spans="1:36" ht="24.75" customHeight="1">
      <c r="A140" s="116"/>
      <c r="B140" s="117" t="s">
        <v>1469</v>
      </c>
      <c r="C140" s="117"/>
      <c r="D140" s="117"/>
      <c r="E140" s="117" t="s">
        <v>1272</v>
      </c>
      <c r="F140" s="118" t="s">
        <v>2039</v>
      </c>
      <c r="G140" s="118" t="s">
        <v>2040</v>
      </c>
      <c r="H140" s="117" t="s">
        <v>424</v>
      </c>
      <c r="I140" s="117" t="s">
        <v>1283</v>
      </c>
      <c r="J140" s="117" t="s">
        <v>306</v>
      </c>
      <c r="K140" s="123" t="s">
        <v>1762</v>
      </c>
      <c r="L140" s="117" t="s">
        <v>306</v>
      </c>
      <c r="M140" s="123"/>
      <c r="N140" s="117" t="s">
        <v>2041</v>
      </c>
      <c r="O140" s="118" t="s">
        <v>2042</v>
      </c>
      <c r="P140" s="118" t="s">
        <v>2043</v>
      </c>
      <c r="Q140" s="117"/>
      <c r="R140" s="117"/>
      <c r="S140" s="117"/>
      <c r="T140" s="117"/>
      <c r="U140" s="117"/>
      <c r="V140" s="123"/>
      <c r="W140" s="117"/>
      <c r="X140" s="118" t="s">
        <v>2044</v>
      </c>
      <c r="Y140" s="118"/>
      <c r="Z140" s="118" t="s">
        <v>2045</v>
      </c>
      <c r="AA140" s="118"/>
      <c r="AB140" s="117"/>
      <c r="AC140" s="117"/>
      <c r="AD140" s="117"/>
      <c r="AE140" s="117"/>
      <c r="AF140" s="117"/>
      <c r="AG140" s="117"/>
      <c r="AH140" s="117"/>
      <c r="AI140" s="117"/>
      <c r="AJ140" s="117"/>
    </row>
    <row r="141" spans="1:36" ht="24.75" customHeight="1">
      <c r="A141" s="116"/>
      <c r="B141" s="117" t="s">
        <v>1469</v>
      </c>
      <c r="C141" s="117"/>
      <c r="D141" s="117"/>
      <c r="E141" s="117" t="s">
        <v>1272</v>
      </c>
      <c r="F141" s="118" t="s">
        <v>2046</v>
      </c>
      <c r="G141" s="118"/>
      <c r="H141" s="117" t="s">
        <v>424</v>
      </c>
      <c r="I141" s="117" t="s">
        <v>1283</v>
      </c>
      <c r="J141" s="117" t="s">
        <v>306</v>
      </c>
      <c r="K141" s="123" t="s">
        <v>1762</v>
      </c>
      <c r="L141" s="117" t="s">
        <v>306</v>
      </c>
      <c r="M141" s="123"/>
      <c r="N141" s="117"/>
      <c r="O141" s="118"/>
      <c r="P141" s="118"/>
      <c r="Q141" s="117"/>
      <c r="R141" s="117"/>
      <c r="S141" s="117"/>
      <c r="T141" s="117"/>
      <c r="U141" s="117"/>
      <c r="V141" s="123" t="s">
        <v>2047</v>
      </c>
      <c r="W141" s="117"/>
      <c r="X141" s="128" t="s">
        <v>2048</v>
      </c>
      <c r="Y141" s="118"/>
      <c r="Z141" s="118"/>
      <c r="AA141" s="118"/>
      <c r="AB141" s="117"/>
      <c r="AC141" s="117"/>
      <c r="AD141" s="117"/>
      <c r="AE141" s="117"/>
      <c r="AF141" s="117"/>
      <c r="AG141" s="117"/>
      <c r="AH141" s="117"/>
      <c r="AI141" s="117"/>
      <c r="AJ141" s="117"/>
    </row>
    <row r="142" spans="1:36" ht="24.75" customHeight="1">
      <c r="A142" s="116"/>
      <c r="B142" s="117" t="s">
        <v>1469</v>
      </c>
      <c r="C142" s="117"/>
      <c r="D142" s="117"/>
      <c r="E142" s="117" t="s">
        <v>1272</v>
      </c>
      <c r="F142" s="118" t="s">
        <v>2049</v>
      </c>
      <c r="G142" s="118"/>
      <c r="H142" s="117" t="s">
        <v>424</v>
      </c>
      <c r="I142" s="117" t="s">
        <v>1283</v>
      </c>
      <c r="J142" s="117" t="s">
        <v>306</v>
      </c>
      <c r="K142" s="123" t="s">
        <v>1762</v>
      </c>
      <c r="L142" s="117" t="s">
        <v>306</v>
      </c>
      <c r="M142" s="123"/>
      <c r="N142" s="117"/>
      <c r="O142" s="118"/>
      <c r="P142" s="118"/>
      <c r="Q142" s="117"/>
      <c r="R142" s="117"/>
      <c r="S142" s="117"/>
      <c r="T142" s="117"/>
      <c r="U142" s="117"/>
      <c r="V142" s="123"/>
      <c r="W142" s="117"/>
      <c r="X142" s="128" t="s">
        <v>2050</v>
      </c>
      <c r="Y142" s="118"/>
      <c r="Z142" s="118"/>
      <c r="AA142" s="118"/>
      <c r="AB142" s="117"/>
      <c r="AC142" s="117"/>
      <c r="AD142" s="117"/>
      <c r="AE142" s="117"/>
      <c r="AF142" s="117"/>
      <c r="AG142" s="117"/>
      <c r="AH142" s="117"/>
      <c r="AI142" s="117"/>
      <c r="AJ142" s="117"/>
    </row>
    <row r="143" spans="1:36" ht="24.75" customHeight="1">
      <c r="A143" s="116"/>
      <c r="B143" s="117" t="s">
        <v>1502</v>
      </c>
      <c r="C143" s="117"/>
      <c r="D143" s="117"/>
      <c r="E143" s="117" t="s">
        <v>1272</v>
      </c>
      <c r="F143" s="118" t="s">
        <v>2051</v>
      </c>
      <c r="G143" s="118"/>
      <c r="H143" s="117" t="s">
        <v>1283</v>
      </c>
      <c r="I143" s="117" t="s">
        <v>1283</v>
      </c>
      <c r="J143" s="117"/>
      <c r="K143" s="123"/>
      <c r="L143" s="117" t="s">
        <v>275</v>
      </c>
      <c r="M143" s="123"/>
      <c r="N143" s="117" t="s">
        <v>2052</v>
      </c>
      <c r="O143" s="118" t="s">
        <v>2053</v>
      </c>
      <c r="P143" s="118" t="s">
        <v>2054</v>
      </c>
      <c r="Q143" s="117"/>
      <c r="R143" s="117"/>
      <c r="S143" s="117"/>
      <c r="T143" s="117"/>
      <c r="U143" s="117"/>
      <c r="V143" s="123"/>
      <c r="W143" s="117"/>
      <c r="X143" s="118" t="s">
        <v>2055</v>
      </c>
      <c r="Y143" s="118"/>
      <c r="Z143" s="118" t="s">
        <v>2056</v>
      </c>
      <c r="AA143" s="118"/>
      <c r="AB143" s="117"/>
      <c r="AC143" s="117"/>
      <c r="AD143" s="117"/>
      <c r="AE143" s="117"/>
      <c r="AF143" s="117"/>
      <c r="AG143" s="117"/>
      <c r="AH143" s="117"/>
      <c r="AI143" s="117"/>
      <c r="AJ143" s="117"/>
    </row>
    <row r="144" spans="1:36" ht="24.75" customHeight="1">
      <c r="A144" s="116"/>
      <c r="B144" s="117" t="s">
        <v>1502</v>
      </c>
      <c r="C144" s="117"/>
      <c r="D144" s="117"/>
      <c r="E144" s="117" t="s">
        <v>1272</v>
      </c>
      <c r="F144" s="118" t="s">
        <v>2057</v>
      </c>
      <c r="G144" s="118"/>
      <c r="H144" s="117" t="s">
        <v>1283</v>
      </c>
      <c r="I144" s="117" t="s">
        <v>1283</v>
      </c>
      <c r="J144" s="117"/>
      <c r="K144" s="123"/>
      <c r="L144" s="117" t="s">
        <v>2058</v>
      </c>
      <c r="M144" s="123"/>
      <c r="N144" s="117" t="s">
        <v>2059</v>
      </c>
      <c r="O144" s="118" t="s">
        <v>2060</v>
      </c>
      <c r="P144" s="118" t="s">
        <v>2061</v>
      </c>
      <c r="Q144" s="117"/>
      <c r="R144" s="117"/>
      <c r="S144" s="117"/>
      <c r="T144" s="117"/>
      <c r="U144" s="117"/>
      <c r="V144" s="123"/>
      <c r="W144" s="117"/>
      <c r="X144" s="118" t="s">
        <v>2062</v>
      </c>
      <c r="Y144" s="118"/>
      <c r="Z144" s="118" t="s">
        <v>2063</v>
      </c>
      <c r="AA144" s="118"/>
      <c r="AB144" s="117"/>
      <c r="AC144" s="117"/>
      <c r="AD144" s="117"/>
      <c r="AE144" s="117"/>
      <c r="AF144" s="117"/>
      <c r="AG144" s="117"/>
      <c r="AH144" s="117"/>
      <c r="AI144" s="117"/>
      <c r="AJ144" s="117"/>
    </row>
    <row r="145" spans="1:36" ht="24.75" customHeight="1">
      <c r="A145" s="116"/>
      <c r="B145" s="117" t="s">
        <v>1502</v>
      </c>
      <c r="C145" s="117"/>
      <c r="D145" s="117"/>
      <c r="E145" s="117" t="s">
        <v>1272</v>
      </c>
      <c r="F145" s="118" t="s">
        <v>2064</v>
      </c>
      <c r="G145" s="118"/>
      <c r="H145" s="117" t="s">
        <v>1283</v>
      </c>
      <c r="I145" s="117" t="s">
        <v>1283</v>
      </c>
      <c r="J145" s="117"/>
      <c r="K145" s="123"/>
      <c r="L145" s="117" t="s">
        <v>275</v>
      </c>
      <c r="M145" s="123"/>
      <c r="N145" s="117" t="s">
        <v>2065</v>
      </c>
      <c r="O145" s="118" t="s">
        <v>2066</v>
      </c>
      <c r="P145" s="118" t="s">
        <v>2067</v>
      </c>
      <c r="Q145" s="117"/>
      <c r="R145" s="117"/>
      <c r="S145" s="117"/>
      <c r="T145" s="117"/>
      <c r="U145" s="117"/>
      <c r="V145" s="123"/>
      <c r="W145" s="117"/>
      <c r="X145" s="118" t="s">
        <v>2068</v>
      </c>
      <c r="Y145" s="118"/>
      <c r="Z145" s="118" t="s">
        <v>2069</v>
      </c>
      <c r="AA145" s="118"/>
      <c r="AB145" s="117"/>
      <c r="AC145" s="117"/>
      <c r="AD145" s="117"/>
      <c r="AE145" s="117"/>
      <c r="AF145" s="117"/>
      <c r="AG145" s="117"/>
      <c r="AH145" s="117"/>
      <c r="AI145" s="117"/>
      <c r="AJ145" s="117"/>
    </row>
    <row r="146" spans="1:36" ht="24.75" customHeight="1">
      <c r="A146" s="116"/>
      <c r="B146" s="117" t="s">
        <v>1502</v>
      </c>
      <c r="C146" s="117"/>
      <c r="D146" s="117"/>
      <c r="E146" s="117" t="s">
        <v>1272</v>
      </c>
      <c r="F146" s="118" t="s">
        <v>2070</v>
      </c>
      <c r="G146" s="118"/>
      <c r="H146" s="117" t="s">
        <v>1283</v>
      </c>
      <c r="I146" s="117" t="s">
        <v>1283</v>
      </c>
      <c r="J146" s="117"/>
      <c r="K146" s="123"/>
      <c r="L146" s="117" t="s">
        <v>275</v>
      </c>
      <c r="M146" s="123"/>
      <c r="N146" s="117" t="s">
        <v>1294</v>
      </c>
      <c r="O146" s="118" t="s">
        <v>2071</v>
      </c>
      <c r="P146" s="118" t="s">
        <v>1320</v>
      </c>
      <c r="Q146" s="117"/>
      <c r="R146" s="117"/>
      <c r="S146" s="117"/>
      <c r="T146" s="117"/>
      <c r="U146" s="117"/>
      <c r="V146" s="123"/>
      <c r="W146" s="117"/>
      <c r="X146" s="118" t="s">
        <v>2072</v>
      </c>
      <c r="Y146" s="118"/>
      <c r="Z146" s="118" t="s">
        <v>2073</v>
      </c>
      <c r="AA146" s="118"/>
      <c r="AB146" s="117"/>
      <c r="AC146" s="117"/>
      <c r="AD146" s="117"/>
      <c r="AE146" s="117"/>
      <c r="AF146" s="117"/>
      <c r="AG146" s="117"/>
      <c r="AH146" s="117"/>
      <c r="AI146" s="117"/>
      <c r="AJ146" s="117"/>
    </row>
    <row r="147" spans="1:36" ht="24.75" customHeight="1">
      <c r="A147" s="116"/>
      <c r="B147" s="117" t="s">
        <v>1502</v>
      </c>
      <c r="C147" s="117"/>
      <c r="D147" s="117"/>
      <c r="E147" s="117"/>
      <c r="F147" s="118" t="s">
        <v>2074</v>
      </c>
      <c r="G147" s="118"/>
      <c r="H147" s="117" t="s">
        <v>1283</v>
      </c>
      <c r="I147" s="117" t="s">
        <v>1283</v>
      </c>
      <c r="J147" s="117"/>
      <c r="K147" s="123"/>
      <c r="L147" s="117" t="s">
        <v>275</v>
      </c>
      <c r="M147" s="123"/>
      <c r="N147" s="117" t="s">
        <v>1294</v>
      </c>
      <c r="O147" s="118" t="s">
        <v>2075</v>
      </c>
      <c r="P147" s="118" t="s">
        <v>2076</v>
      </c>
      <c r="Q147" s="117"/>
      <c r="R147" s="117"/>
      <c r="S147" s="117"/>
      <c r="T147" s="117"/>
      <c r="U147" s="117"/>
      <c r="V147" s="123"/>
      <c r="W147" s="117"/>
      <c r="X147" s="118" t="s">
        <v>2077</v>
      </c>
      <c r="Y147" s="118"/>
      <c r="Z147" s="118" t="s">
        <v>2078</v>
      </c>
      <c r="AA147" s="118"/>
      <c r="AB147" s="117"/>
      <c r="AC147" s="117"/>
      <c r="AD147" s="117"/>
      <c r="AE147" s="117"/>
      <c r="AF147" s="117"/>
      <c r="AG147" s="117"/>
      <c r="AH147" s="117"/>
      <c r="AI147" s="117"/>
      <c r="AJ147" s="117"/>
    </row>
    <row r="148" spans="1:36" ht="24.75" customHeight="1">
      <c r="A148" s="116"/>
      <c r="B148" s="117" t="s">
        <v>1502</v>
      </c>
      <c r="C148" s="117"/>
      <c r="D148" s="117"/>
      <c r="E148" s="117" t="s">
        <v>238</v>
      </c>
      <c r="F148" s="118" t="s">
        <v>270</v>
      </c>
      <c r="G148" s="118"/>
      <c r="H148" s="117" t="s">
        <v>302</v>
      </c>
      <c r="I148" s="117" t="s">
        <v>302</v>
      </c>
      <c r="J148" s="117"/>
      <c r="K148" s="123"/>
      <c r="L148" s="117" t="s">
        <v>269</v>
      </c>
      <c r="M148" s="123"/>
      <c r="N148" s="117" t="s">
        <v>238</v>
      </c>
      <c r="O148" s="118" t="s">
        <v>2079</v>
      </c>
      <c r="P148" s="118" t="s">
        <v>2080</v>
      </c>
      <c r="Q148" s="117"/>
      <c r="R148" s="117"/>
      <c r="S148" s="117"/>
      <c r="T148" s="117"/>
      <c r="U148" s="117"/>
      <c r="V148" s="123"/>
      <c r="W148" s="117"/>
      <c r="X148" s="118" t="s">
        <v>2081</v>
      </c>
      <c r="Y148" s="118"/>
      <c r="Z148" s="118" t="s">
        <v>2082</v>
      </c>
      <c r="AA148" s="118"/>
      <c r="AB148" s="117"/>
      <c r="AC148" s="117"/>
      <c r="AD148" s="117"/>
      <c r="AE148" s="117"/>
      <c r="AF148" s="117"/>
      <c r="AG148" s="117"/>
      <c r="AH148" s="117"/>
      <c r="AI148" s="117"/>
      <c r="AJ148" s="117"/>
    </row>
    <row r="149" spans="1:36" ht="24.75" customHeight="1">
      <c r="A149" s="116"/>
      <c r="B149" s="117" t="s">
        <v>1502</v>
      </c>
      <c r="C149" s="117"/>
      <c r="D149" s="117"/>
      <c r="E149" s="117" t="s">
        <v>1272</v>
      </c>
      <c r="F149" s="118" t="s">
        <v>2083</v>
      </c>
      <c r="G149" s="118"/>
      <c r="H149" s="117" t="s">
        <v>298</v>
      </c>
      <c r="I149" s="117"/>
      <c r="J149" s="117" t="s">
        <v>319</v>
      </c>
      <c r="K149" s="123" t="s">
        <v>1274</v>
      </c>
      <c r="L149" s="117" t="s">
        <v>319</v>
      </c>
      <c r="M149" s="123" t="s">
        <v>1442</v>
      </c>
      <c r="N149" s="117" t="s">
        <v>1276</v>
      </c>
      <c r="O149" s="118"/>
      <c r="P149" s="118"/>
      <c r="Q149" s="117"/>
      <c r="R149" s="117"/>
      <c r="S149" s="117"/>
      <c r="T149" s="117"/>
      <c r="U149" s="117"/>
      <c r="V149" s="123" t="s">
        <v>2084</v>
      </c>
      <c r="W149" s="117"/>
      <c r="X149" s="118" t="s">
        <v>2085</v>
      </c>
      <c r="Y149" s="118"/>
      <c r="Z149" s="118" t="s">
        <v>2086</v>
      </c>
      <c r="AA149" s="118"/>
      <c r="AB149" s="117"/>
      <c r="AC149" s="117"/>
      <c r="AD149" s="117"/>
      <c r="AE149" s="117"/>
      <c r="AF149" s="117"/>
      <c r="AG149" s="117"/>
      <c r="AH149" s="117"/>
      <c r="AI149" s="117"/>
      <c r="AJ149" s="117"/>
    </row>
    <row r="150" spans="1:36" ht="24.75" customHeight="1">
      <c r="A150" s="116"/>
      <c r="B150" s="117" t="s">
        <v>1502</v>
      </c>
      <c r="C150" s="117"/>
      <c r="D150" s="117"/>
      <c r="E150" s="117" t="s">
        <v>1272</v>
      </c>
      <c r="F150" s="118" t="s">
        <v>2087</v>
      </c>
      <c r="G150" s="118"/>
      <c r="H150" s="117" t="s">
        <v>298</v>
      </c>
      <c r="I150" s="117"/>
      <c r="J150" s="117" t="s">
        <v>319</v>
      </c>
      <c r="K150" s="123" t="s">
        <v>1274</v>
      </c>
      <c r="L150" s="117" t="s">
        <v>319</v>
      </c>
      <c r="M150" s="123" t="s">
        <v>1442</v>
      </c>
      <c r="N150" s="117" t="s">
        <v>1276</v>
      </c>
      <c r="O150" s="118"/>
      <c r="P150" s="118"/>
      <c r="Q150" s="117"/>
      <c r="R150" s="117"/>
      <c r="S150" s="117"/>
      <c r="T150" s="117"/>
      <c r="U150" s="117"/>
      <c r="V150" s="123"/>
      <c r="W150" s="117"/>
      <c r="X150" s="118" t="s">
        <v>2088</v>
      </c>
      <c r="Y150" s="118"/>
      <c r="Z150" s="118" t="s">
        <v>2089</v>
      </c>
      <c r="AA150" s="118"/>
      <c r="AB150" s="117"/>
      <c r="AC150" s="117"/>
      <c r="AD150" s="117"/>
      <c r="AE150" s="117"/>
      <c r="AF150" s="117"/>
      <c r="AG150" s="117"/>
      <c r="AH150" s="117"/>
      <c r="AI150" s="117"/>
      <c r="AJ150" s="117"/>
    </row>
    <row r="151" spans="1:36" ht="24.75" customHeight="1">
      <c r="A151" s="116"/>
      <c r="B151" s="117" t="s">
        <v>1502</v>
      </c>
      <c r="C151" s="117"/>
      <c r="D151" s="117"/>
      <c r="E151" s="117" t="s">
        <v>1272</v>
      </c>
      <c r="F151" s="118" t="s">
        <v>2090</v>
      </c>
      <c r="G151" s="118"/>
      <c r="H151" s="117" t="s">
        <v>424</v>
      </c>
      <c r="I151" s="117" t="s">
        <v>1283</v>
      </c>
      <c r="J151" s="117"/>
      <c r="K151" s="123"/>
      <c r="L151" s="117" t="s">
        <v>282</v>
      </c>
      <c r="M151" s="123"/>
      <c r="N151" s="117"/>
      <c r="O151" s="118" t="s">
        <v>2091</v>
      </c>
      <c r="P151" s="118" t="s">
        <v>2092</v>
      </c>
      <c r="Q151" s="117"/>
      <c r="R151" s="117"/>
      <c r="S151" s="117"/>
      <c r="T151" s="117"/>
      <c r="U151" s="117"/>
      <c r="V151" s="123" t="s">
        <v>2093</v>
      </c>
      <c r="W151" s="117"/>
      <c r="X151" s="118" t="s">
        <v>2094</v>
      </c>
      <c r="Y151" s="118"/>
      <c r="Z151" s="118" t="s">
        <v>2095</v>
      </c>
      <c r="AA151" s="118" t="s">
        <v>2096</v>
      </c>
      <c r="AB151" s="117"/>
      <c r="AC151" s="117"/>
      <c r="AD151" s="117"/>
      <c r="AE151" s="117"/>
      <c r="AF151" s="117"/>
      <c r="AG151" s="117"/>
      <c r="AH151" s="117"/>
      <c r="AI151" s="117"/>
      <c r="AJ151" s="117"/>
    </row>
    <row r="152" spans="1:36" ht="24.75" customHeight="1">
      <c r="A152" s="116"/>
      <c r="B152" s="117" t="s">
        <v>1502</v>
      </c>
      <c r="C152" s="117"/>
      <c r="D152" s="117"/>
      <c r="E152" s="117" t="s">
        <v>1272</v>
      </c>
      <c r="F152" s="118" t="s">
        <v>2097</v>
      </c>
      <c r="G152" s="118"/>
      <c r="H152" s="117" t="s">
        <v>424</v>
      </c>
      <c r="I152" s="117" t="s">
        <v>1283</v>
      </c>
      <c r="J152" s="117"/>
      <c r="K152" s="123"/>
      <c r="L152" s="117" t="s">
        <v>282</v>
      </c>
      <c r="M152" s="123"/>
      <c r="N152" s="117"/>
      <c r="O152" s="118" t="s">
        <v>2098</v>
      </c>
      <c r="P152" s="118" t="s">
        <v>2033</v>
      </c>
      <c r="Q152" s="117"/>
      <c r="R152" s="117"/>
      <c r="S152" s="117"/>
      <c r="T152" s="117"/>
      <c r="U152" s="117"/>
      <c r="V152" s="123">
        <v>90228027</v>
      </c>
      <c r="W152" s="117"/>
      <c r="X152" s="118" t="s">
        <v>2099</v>
      </c>
      <c r="Y152" s="118"/>
      <c r="Z152" s="118" t="s">
        <v>2100</v>
      </c>
      <c r="AA152" s="118" t="s">
        <v>2101</v>
      </c>
      <c r="AB152" s="117"/>
      <c r="AC152" s="117"/>
      <c r="AD152" s="117"/>
      <c r="AE152" s="117"/>
      <c r="AF152" s="117"/>
      <c r="AG152" s="117"/>
      <c r="AH152" s="117"/>
      <c r="AI152" s="117"/>
      <c r="AJ152" s="117"/>
    </row>
    <row r="153" spans="1:36" ht="24.75" customHeight="1">
      <c r="A153" s="116"/>
      <c r="B153" s="117" t="s">
        <v>1502</v>
      </c>
      <c r="C153" s="117"/>
      <c r="D153" s="117"/>
      <c r="E153" s="117" t="s">
        <v>1272</v>
      </c>
      <c r="F153" s="118" t="s">
        <v>2102</v>
      </c>
      <c r="G153" s="118"/>
      <c r="H153" s="117" t="s">
        <v>424</v>
      </c>
      <c r="I153" s="117" t="s">
        <v>1283</v>
      </c>
      <c r="J153" s="117"/>
      <c r="K153" s="123"/>
      <c r="L153" s="117" t="s">
        <v>282</v>
      </c>
      <c r="M153" s="123"/>
      <c r="N153" s="117"/>
      <c r="O153" s="118" t="s">
        <v>2103</v>
      </c>
      <c r="P153" s="118" t="s">
        <v>2033</v>
      </c>
      <c r="Q153" s="117"/>
      <c r="R153" s="117"/>
      <c r="S153" s="117"/>
      <c r="T153" s="117"/>
      <c r="U153" s="117"/>
      <c r="V153" s="123">
        <v>98988975</v>
      </c>
      <c r="W153" s="117"/>
      <c r="X153" s="118" t="s">
        <v>2104</v>
      </c>
      <c r="Y153" s="118"/>
      <c r="Z153" s="118" t="s">
        <v>2105</v>
      </c>
      <c r="AA153" s="118" t="s">
        <v>2106</v>
      </c>
      <c r="AB153" s="117"/>
      <c r="AC153" s="117"/>
      <c r="AD153" s="117"/>
      <c r="AE153" s="117"/>
      <c r="AF153" s="117"/>
      <c r="AG153" s="117"/>
      <c r="AH153" s="117"/>
      <c r="AI153" s="117"/>
      <c r="AJ153" s="117"/>
    </row>
    <row r="154" spans="1:36" ht="24.75" customHeight="1">
      <c r="A154" s="116"/>
      <c r="B154" s="117" t="s">
        <v>1502</v>
      </c>
      <c r="C154" s="117"/>
      <c r="D154" s="117"/>
      <c r="E154" s="117" t="s">
        <v>1272</v>
      </c>
      <c r="F154" s="118" t="s">
        <v>2107</v>
      </c>
      <c r="G154" s="118"/>
      <c r="H154" s="117" t="s">
        <v>424</v>
      </c>
      <c r="I154" s="117" t="s">
        <v>1283</v>
      </c>
      <c r="J154" s="117"/>
      <c r="K154" s="123"/>
      <c r="L154" s="117" t="s">
        <v>282</v>
      </c>
      <c r="M154" s="123"/>
      <c r="N154" s="117"/>
      <c r="O154" s="118" t="s">
        <v>2108</v>
      </c>
      <c r="P154" s="118" t="s">
        <v>1951</v>
      </c>
      <c r="Q154" s="117"/>
      <c r="R154" s="117"/>
      <c r="S154" s="117"/>
      <c r="T154" s="117"/>
      <c r="U154" s="117"/>
      <c r="V154" s="123">
        <v>97561783</v>
      </c>
      <c r="W154" s="117"/>
      <c r="X154" s="118" t="s">
        <v>2109</v>
      </c>
      <c r="Y154" s="118"/>
      <c r="Z154" s="118" t="s">
        <v>2110</v>
      </c>
      <c r="AA154" s="118" t="s">
        <v>2111</v>
      </c>
      <c r="AB154" s="117"/>
      <c r="AC154" s="117"/>
      <c r="AD154" s="117"/>
      <c r="AE154" s="117"/>
      <c r="AF154" s="117"/>
      <c r="AG154" s="117"/>
      <c r="AH154" s="117"/>
      <c r="AI154" s="117"/>
      <c r="AJ154" s="117"/>
    </row>
    <row r="155" spans="1:36" ht="24.75" customHeight="1">
      <c r="A155" s="116"/>
      <c r="B155" s="117" t="s">
        <v>1502</v>
      </c>
      <c r="C155" s="117"/>
      <c r="D155" s="117"/>
      <c r="E155" s="117" t="s">
        <v>1272</v>
      </c>
      <c r="F155" s="118" t="s">
        <v>2112</v>
      </c>
      <c r="G155" s="118"/>
      <c r="H155" s="117" t="s">
        <v>424</v>
      </c>
      <c r="I155" s="117" t="s">
        <v>1283</v>
      </c>
      <c r="J155" s="117"/>
      <c r="K155" s="123"/>
      <c r="L155" s="117" t="s">
        <v>282</v>
      </c>
      <c r="M155" s="123"/>
      <c r="N155" s="117"/>
      <c r="O155" s="118"/>
      <c r="P155" s="118"/>
      <c r="Q155" s="117"/>
      <c r="R155" s="117"/>
      <c r="S155" s="117"/>
      <c r="T155" s="117"/>
      <c r="U155" s="117"/>
      <c r="V155" s="123"/>
      <c r="W155" s="117"/>
      <c r="X155" s="118"/>
      <c r="Y155" s="118"/>
      <c r="Z155" s="118"/>
      <c r="AA155" s="118"/>
      <c r="AB155" s="117"/>
      <c r="AC155" s="117"/>
      <c r="AD155" s="117"/>
      <c r="AE155" s="117"/>
      <c r="AF155" s="117"/>
      <c r="AG155" s="117"/>
      <c r="AH155" s="117"/>
      <c r="AI155" s="117"/>
      <c r="AJ155" s="117"/>
    </row>
    <row r="156" spans="1:36" ht="24.75" customHeight="1">
      <c r="A156" s="116"/>
      <c r="B156" s="117" t="s">
        <v>1502</v>
      </c>
      <c r="C156" s="117"/>
      <c r="D156" s="117"/>
      <c r="E156" s="117" t="s">
        <v>1272</v>
      </c>
      <c r="F156" s="118" t="s">
        <v>2113</v>
      </c>
      <c r="G156" s="118"/>
      <c r="H156" s="117" t="s">
        <v>424</v>
      </c>
      <c r="I156" s="117" t="s">
        <v>1283</v>
      </c>
      <c r="J156" s="117"/>
      <c r="K156" s="123"/>
      <c r="L156" s="117" t="s">
        <v>282</v>
      </c>
      <c r="M156" s="123"/>
      <c r="N156" s="117"/>
      <c r="O156" s="118" t="s">
        <v>2114</v>
      </c>
      <c r="P156" s="118" t="s">
        <v>2115</v>
      </c>
      <c r="Q156" s="117"/>
      <c r="R156" s="117"/>
      <c r="S156" s="117"/>
      <c r="T156" s="117"/>
      <c r="U156" s="117"/>
      <c r="V156" s="123" t="s">
        <v>2116</v>
      </c>
      <c r="W156" s="117"/>
      <c r="X156" s="118" t="s">
        <v>2117</v>
      </c>
      <c r="Y156" s="118"/>
      <c r="Z156" s="118" t="s">
        <v>2118</v>
      </c>
      <c r="AA156" s="118" t="s">
        <v>2119</v>
      </c>
      <c r="AB156" s="117"/>
      <c r="AC156" s="117"/>
      <c r="AD156" s="117"/>
      <c r="AE156" s="117"/>
      <c r="AF156" s="117"/>
      <c r="AG156" s="117"/>
      <c r="AH156" s="117"/>
      <c r="AI156" s="117"/>
      <c r="AJ156" s="117"/>
    </row>
    <row r="157" spans="1:36" ht="24.75" customHeight="1">
      <c r="A157" s="116"/>
      <c r="B157" s="117" t="s">
        <v>1502</v>
      </c>
      <c r="C157" s="117"/>
      <c r="D157" s="117"/>
      <c r="E157" s="117" t="s">
        <v>1272</v>
      </c>
      <c r="F157" s="118" t="s">
        <v>2120</v>
      </c>
      <c r="G157" s="118"/>
      <c r="H157" s="117" t="s">
        <v>424</v>
      </c>
      <c r="I157" s="117" t="s">
        <v>1283</v>
      </c>
      <c r="J157" s="117"/>
      <c r="K157" s="123"/>
      <c r="L157" s="117" t="s">
        <v>282</v>
      </c>
      <c r="M157" s="123"/>
      <c r="N157" s="117"/>
      <c r="O157" s="118" t="s">
        <v>2121</v>
      </c>
      <c r="P157" s="118" t="s">
        <v>2033</v>
      </c>
      <c r="Q157" s="117"/>
      <c r="R157" s="117"/>
      <c r="S157" s="117"/>
      <c r="T157" s="117"/>
      <c r="U157" s="117"/>
      <c r="V157" s="123" t="s">
        <v>2122</v>
      </c>
      <c r="W157" s="117"/>
      <c r="X157" s="118" t="s">
        <v>2123</v>
      </c>
      <c r="Y157" s="118"/>
      <c r="Z157" s="118" t="s">
        <v>2124</v>
      </c>
      <c r="AA157" s="118" t="s">
        <v>2125</v>
      </c>
      <c r="AB157" s="117"/>
      <c r="AC157" s="117"/>
      <c r="AD157" s="117"/>
      <c r="AE157" s="117"/>
      <c r="AF157" s="117"/>
      <c r="AG157" s="117"/>
      <c r="AH157" s="117"/>
      <c r="AI157" s="117"/>
      <c r="AJ157" s="117"/>
    </row>
    <row r="158" spans="1:36" ht="24.75" customHeight="1">
      <c r="A158" s="116"/>
      <c r="B158" s="117" t="s">
        <v>1502</v>
      </c>
      <c r="C158" s="117"/>
      <c r="D158" s="117"/>
      <c r="E158" s="117" t="s">
        <v>1272</v>
      </c>
      <c r="F158" s="118" t="s">
        <v>2126</v>
      </c>
      <c r="G158" s="118"/>
      <c r="H158" s="117" t="s">
        <v>424</v>
      </c>
      <c r="I158" s="117" t="s">
        <v>1283</v>
      </c>
      <c r="J158" s="117"/>
      <c r="K158" s="123"/>
      <c r="L158" s="117" t="s">
        <v>282</v>
      </c>
      <c r="M158" s="123"/>
      <c r="N158" s="117"/>
      <c r="O158" s="118"/>
      <c r="P158" s="118"/>
      <c r="Q158" s="117"/>
      <c r="R158" s="117"/>
      <c r="S158" s="117"/>
      <c r="T158" s="117"/>
      <c r="U158" s="117"/>
      <c r="V158" s="123"/>
      <c r="W158" s="117"/>
      <c r="X158" s="118"/>
      <c r="Y158" s="118"/>
      <c r="Z158" s="118"/>
      <c r="AA158" s="118"/>
      <c r="AB158" s="117"/>
      <c r="AC158" s="117"/>
      <c r="AD158" s="117"/>
      <c r="AE158" s="117"/>
      <c r="AF158" s="117"/>
      <c r="AG158" s="117"/>
      <c r="AH158" s="117"/>
      <c r="AI158" s="117"/>
      <c r="AJ158" s="117"/>
    </row>
    <row r="159" spans="1:36" ht="24.75" customHeight="1">
      <c r="A159" s="116"/>
      <c r="B159" s="117" t="s">
        <v>1502</v>
      </c>
      <c r="C159" s="117"/>
      <c r="D159" s="117"/>
      <c r="E159" s="117" t="s">
        <v>1272</v>
      </c>
      <c r="F159" s="118" t="s">
        <v>2127</v>
      </c>
      <c r="G159" s="118"/>
      <c r="H159" s="117" t="s">
        <v>424</v>
      </c>
      <c r="I159" s="117" t="s">
        <v>1283</v>
      </c>
      <c r="J159" s="117"/>
      <c r="K159" s="123"/>
      <c r="L159" s="117" t="s">
        <v>282</v>
      </c>
      <c r="M159" s="123"/>
      <c r="N159" s="117"/>
      <c r="O159" s="118"/>
      <c r="P159" s="118"/>
      <c r="Q159" s="117"/>
      <c r="R159" s="117"/>
      <c r="S159" s="117"/>
      <c r="T159" s="117"/>
      <c r="U159" s="117"/>
      <c r="V159" s="123"/>
      <c r="W159" s="117"/>
      <c r="X159" s="118"/>
      <c r="Y159" s="118"/>
      <c r="Z159" s="118"/>
      <c r="AA159" s="118"/>
      <c r="AB159" s="117"/>
      <c r="AC159" s="117"/>
      <c r="AD159" s="117"/>
      <c r="AE159" s="117"/>
      <c r="AF159" s="117"/>
      <c r="AG159" s="117"/>
      <c r="AH159" s="117"/>
      <c r="AI159" s="117"/>
      <c r="AJ159" s="117"/>
    </row>
    <row r="160" spans="1:36" ht="24.75" customHeight="1">
      <c r="A160" s="116"/>
      <c r="B160" s="117" t="s">
        <v>1502</v>
      </c>
      <c r="C160" s="117"/>
      <c r="D160" s="117"/>
      <c r="E160" s="117" t="s">
        <v>1272</v>
      </c>
      <c r="F160" s="118" t="s">
        <v>2128</v>
      </c>
      <c r="G160" s="118"/>
      <c r="H160" s="117" t="s">
        <v>424</v>
      </c>
      <c r="I160" s="117" t="s">
        <v>1283</v>
      </c>
      <c r="J160" s="117" t="s">
        <v>1976</v>
      </c>
      <c r="K160" s="123" t="s">
        <v>1725</v>
      </c>
      <c r="L160" s="117" t="s">
        <v>1976</v>
      </c>
      <c r="M160" s="123" t="s">
        <v>1977</v>
      </c>
      <c r="N160" s="117" t="s">
        <v>2129</v>
      </c>
      <c r="O160" s="118"/>
      <c r="P160" s="118"/>
      <c r="Q160" s="117"/>
      <c r="R160" s="117"/>
      <c r="S160" s="117"/>
      <c r="T160" s="117"/>
      <c r="U160" s="117"/>
      <c r="V160" s="123"/>
      <c r="W160" s="117"/>
      <c r="X160" s="118"/>
      <c r="Y160" s="118"/>
      <c r="Z160" s="118"/>
      <c r="AA160" s="118"/>
      <c r="AB160" s="117"/>
      <c r="AC160" s="117"/>
      <c r="AD160" s="117"/>
      <c r="AE160" s="117"/>
      <c r="AF160" s="117"/>
      <c r="AG160" s="117"/>
      <c r="AH160" s="117"/>
      <c r="AI160" s="117"/>
      <c r="AJ160" s="117"/>
    </row>
    <row r="161" spans="1:36" ht="24.75" customHeight="1">
      <c r="A161" s="116"/>
      <c r="B161" s="117" t="s">
        <v>1502</v>
      </c>
      <c r="C161" s="117"/>
      <c r="D161" s="117"/>
      <c r="E161" s="117" t="s">
        <v>1272</v>
      </c>
      <c r="F161" s="157" t="s">
        <v>2130</v>
      </c>
      <c r="G161" s="118" t="s">
        <v>2131</v>
      </c>
      <c r="H161" s="117" t="s">
        <v>424</v>
      </c>
      <c r="I161" s="117" t="s">
        <v>1283</v>
      </c>
      <c r="J161" s="117" t="s">
        <v>300</v>
      </c>
      <c r="K161" s="123" t="s">
        <v>1725</v>
      </c>
      <c r="L161" s="117" t="s">
        <v>300</v>
      </c>
      <c r="M161" s="123" t="s">
        <v>1416</v>
      </c>
      <c r="N161" s="117" t="s">
        <v>1276</v>
      </c>
      <c r="O161" s="118" t="s">
        <v>2132</v>
      </c>
      <c r="P161" s="118" t="s">
        <v>2133</v>
      </c>
      <c r="Q161" s="117"/>
      <c r="R161" s="117"/>
      <c r="S161" s="117"/>
      <c r="T161" s="117"/>
      <c r="U161" s="117"/>
      <c r="V161" s="123" t="s">
        <v>2134</v>
      </c>
      <c r="W161" s="117"/>
      <c r="X161" s="118" t="s">
        <v>2135</v>
      </c>
      <c r="Y161" s="118" t="s">
        <v>2136</v>
      </c>
      <c r="Z161" s="118" t="s">
        <v>2137</v>
      </c>
      <c r="AA161" s="118" t="s">
        <v>2138</v>
      </c>
      <c r="AB161" s="117"/>
      <c r="AC161" s="117"/>
      <c r="AD161" s="117"/>
      <c r="AE161" s="117"/>
      <c r="AF161" s="117"/>
      <c r="AG161" s="117"/>
      <c r="AH161" s="117"/>
      <c r="AI161" s="117"/>
      <c r="AJ161" s="117"/>
    </row>
    <row r="162" spans="1:36" ht="24.75" customHeight="1">
      <c r="A162" s="116"/>
      <c r="B162" s="117" t="s">
        <v>1502</v>
      </c>
      <c r="C162" s="117"/>
      <c r="D162" s="117"/>
      <c r="E162" s="117" t="s">
        <v>1272</v>
      </c>
      <c r="F162" s="118" t="s">
        <v>2139</v>
      </c>
      <c r="G162" s="118"/>
      <c r="H162" s="117" t="s">
        <v>1283</v>
      </c>
      <c r="I162" s="117" t="s">
        <v>1283</v>
      </c>
      <c r="J162" s="117" t="s">
        <v>313</v>
      </c>
      <c r="K162" s="123" t="s">
        <v>1725</v>
      </c>
      <c r="L162" s="117" t="s">
        <v>313</v>
      </c>
      <c r="M162" s="123"/>
      <c r="N162" s="117"/>
      <c r="O162" s="118"/>
      <c r="P162" s="118"/>
      <c r="Q162" s="117"/>
      <c r="R162" s="117"/>
      <c r="S162" s="117"/>
      <c r="T162" s="117"/>
      <c r="U162" s="117"/>
      <c r="V162" s="123"/>
      <c r="W162" s="117"/>
      <c r="X162" s="118"/>
      <c r="Y162" s="118"/>
      <c r="Z162" s="118"/>
      <c r="AA162" s="118"/>
      <c r="AB162" s="117"/>
      <c r="AC162" s="117"/>
      <c r="AD162" s="117"/>
      <c r="AE162" s="117"/>
      <c r="AF162" s="117"/>
      <c r="AG162" s="117"/>
      <c r="AH162" s="117"/>
      <c r="AI162" s="117"/>
      <c r="AJ162" s="117"/>
    </row>
    <row r="163" spans="1:36" ht="24.75" customHeight="1">
      <c r="A163" s="116"/>
      <c r="B163" s="117" t="s">
        <v>1502</v>
      </c>
      <c r="C163" s="117"/>
      <c r="D163" s="117"/>
      <c r="E163" s="131" t="s">
        <v>1272</v>
      </c>
      <c r="F163" s="118" t="s">
        <v>2140</v>
      </c>
      <c r="G163" s="118" t="s">
        <v>2140</v>
      </c>
      <c r="H163" s="117" t="s">
        <v>424</v>
      </c>
      <c r="I163" s="117" t="s">
        <v>1283</v>
      </c>
      <c r="J163" s="117" t="s">
        <v>1976</v>
      </c>
      <c r="K163" s="123" t="s">
        <v>1725</v>
      </c>
      <c r="L163" s="117" t="s">
        <v>1976</v>
      </c>
      <c r="M163" s="123"/>
      <c r="N163" s="117" t="s">
        <v>2141</v>
      </c>
      <c r="O163" s="118"/>
      <c r="P163" s="118"/>
      <c r="Q163" s="117"/>
      <c r="R163" s="117"/>
      <c r="S163" s="117"/>
      <c r="T163" s="117"/>
      <c r="U163" s="117"/>
      <c r="V163" s="123"/>
      <c r="W163" s="117"/>
      <c r="X163" s="128" t="s">
        <v>2142</v>
      </c>
      <c r="Y163" s="118"/>
      <c r="Z163" s="118" t="s">
        <v>2143</v>
      </c>
      <c r="AA163" s="118"/>
      <c r="AB163" s="117"/>
      <c r="AC163" s="117"/>
      <c r="AD163" s="117"/>
      <c r="AE163" s="117"/>
      <c r="AF163" s="117"/>
      <c r="AG163" s="117"/>
      <c r="AH163" s="117"/>
      <c r="AI163" s="117"/>
      <c r="AJ163" s="117"/>
    </row>
    <row r="164" spans="1:36" ht="24.75" customHeight="1">
      <c r="A164" s="116"/>
      <c r="B164" s="117" t="s">
        <v>1502</v>
      </c>
      <c r="C164" s="117"/>
      <c r="D164" s="117"/>
      <c r="E164" s="117" t="s">
        <v>1272</v>
      </c>
      <c r="F164" s="118" t="s">
        <v>2144</v>
      </c>
      <c r="G164" s="118"/>
      <c r="H164" s="117" t="s">
        <v>1283</v>
      </c>
      <c r="I164" s="117" t="s">
        <v>1283</v>
      </c>
      <c r="J164" s="117"/>
      <c r="K164" s="123"/>
      <c r="L164" s="117"/>
      <c r="M164" s="123"/>
      <c r="N164" s="117"/>
      <c r="O164" s="118" t="s">
        <v>2145</v>
      </c>
      <c r="P164" s="118" t="s">
        <v>2146</v>
      </c>
      <c r="Q164" s="117"/>
      <c r="R164" s="117"/>
      <c r="S164" s="117"/>
      <c r="T164" s="117"/>
      <c r="U164" s="117"/>
      <c r="V164" s="123"/>
      <c r="W164" s="117"/>
      <c r="X164" s="118" t="s">
        <v>2147</v>
      </c>
      <c r="Y164" s="118"/>
      <c r="Z164" s="118" t="s">
        <v>2148</v>
      </c>
      <c r="AA164" s="118"/>
      <c r="AB164" s="117"/>
      <c r="AC164" s="117"/>
      <c r="AD164" s="117"/>
      <c r="AE164" s="117"/>
      <c r="AF164" s="117"/>
      <c r="AG164" s="117"/>
      <c r="AH164" s="117"/>
      <c r="AI164" s="117"/>
      <c r="AJ164" s="117"/>
    </row>
    <row r="165" spans="1:36" ht="24.75" customHeight="1">
      <c r="A165" s="116"/>
      <c r="B165" s="117" t="s">
        <v>1502</v>
      </c>
      <c r="C165" s="117"/>
      <c r="D165" s="117"/>
      <c r="E165" s="131" t="s">
        <v>1272</v>
      </c>
      <c r="F165" s="118" t="s">
        <v>2149</v>
      </c>
      <c r="G165" s="118" t="s">
        <v>2149</v>
      </c>
      <c r="H165" s="117" t="s">
        <v>424</v>
      </c>
      <c r="I165" s="117" t="s">
        <v>1283</v>
      </c>
      <c r="J165" s="117" t="s">
        <v>1976</v>
      </c>
      <c r="K165" s="123" t="s">
        <v>1725</v>
      </c>
      <c r="L165" s="117" t="s">
        <v>1976</v>
      </c>
      <c r="M165" s="123" t="s">
        <v>2150</v>
      </c>
      <c r="N165" s="117" t="s">
        <v>2151</v>
      </c>
      <c r="O165" s="118" t="s">
        <v>2152</v>
      </c>
      <c r="P165" s="118" t="s">
        <v>1320</v>
      </c>
      <c r="Q165" s="117"/>
      <c r="R165" s="117"/>
      <c r="S165" s="117"/>
      <c r="T165" s="117"/>
      <c r="U165" s="117"/>
      <c r="V165" s="123"/>
      <c r="W165" s="117"/>
      <c r="X165" s="118" t="s">
        <v>2153</v>
      </c>
      <c r="Y165" s="118"/>
      <c r="Z165" s="118" t="s">
        <v>2154</v>
      </c>
      <c r="AA165" s="118"/>
      <c r="AB165" s="117"/>
      <c r="AC165" s="117"/>
      <c r="AD165" s="117"/>
      <c r="AE165" s="117"/>
      <c r="AF165" s="117"/>
      <c r="AG165" s="117"/>
      <c r="AH165" s="117"/>
      <c r="AI165" s="117"/>
      <c r="AJ165" s="117"/>
    </row>
    <row r="166" spans="1:36" ht="24.75" customHeight="1">
      <c r="A166" s="116"/>
      <c r="B166" s="117" t="s">
        <v>1502</v>
      </c>
      <c r="C166" s="117"/>
      <c r="D166" s="117"/>
      <c r="E166" s="131" t="s">
        <v>1272</v>
      </c>
      <c r="F166" s="118" t="s">
        <v>2155</v>
      </c>
      <c r="G166" s="118" t="s">
        <v>2155</v>
      </c>
      <c r="H166" s="117" t="s">
        <v>424</v>
      </c>
      <c r="I166" s="117" t="s">
        <v>1283</v>
      </c>
      <c r="J166" s="117" t="s">
        <v>2156</v>
      </c>
      <c r="K166" s="123" t="s">
        <v>1863</v>
      </c>
      <c r="L166" s="117" t="s">
        <v>306</v>
      </c>
      <c r="M166" s="123" t="s">
        <v>1831</v>
      </c>
      <c r="N166" s="117" t="s">
        <v>2157</v>
      </c>
      <c r="O166" s="118" t="s">
        <v>2158</v>
      </c>
      <c r="P166" s="118" t="s">
        <v>2159</v>
      </c>
      <c r="Q166" s="117"/>
      <c r="R166" s="117"/>
      <c r="S166" s="117"/>
      <c r="T166" s="117"/>
      <c r="U166" s="117"/>
      <c r="V166" s="123"/>
      <c r="W166" s="117"/>
      <c r="X166" s="118" t="s">
        <v>2160</v>
      </c>
      <c r="Y166" s="118"/>
      <c r="Z166" s="118" t="s">
        <v>2161</v>
      </c>
      <c r="AA166" s="118"/>
      <c r="AB166" s="117"/>
      <c r="AC166" s="117"/>
      <c r="AD166" s="117"/>
      <c r="AE166" s="117"/>
      <c r="AF166" s="117"/>
      <c r="AG166" s="117"/>
      <c r="AH166" s="117"/>
      <c r="AI166" s="117"/>
      <c r="AJ166" s="117"/>
    </row>
    <row r="167" spans="1:36" ht="24.75" customHeight="1">
      <c r="A167" s="116"/>
      <c r="B167" s="117" t="s">
        <v>1502</v>
      </c>
      <c r="C167" s="117"/>
      <c r="D167" s="117"/>
      <c r="E167" s="131" t="s">
        <v>1272</v>
      </c>
      <c r="F167" s="118" t="s">
        <v>2162</v>
      </c>
      <c r="G167" s="118" t="s">
        <v>2162</v>
      </c>
      <c r="H167" s="117" t="s">
        <v>424</v>
      </c>
      <c r="I167" s="117" t="s">
        <v>1283</v>
      </c>
      <c r="J167" s="117" t="s">
        <v>300</v>
      </c>
      <c r="K167" s="123" t="s">
        <v>1725</v>
      </c>
      <c r="L167" s="117" t="s">
        <v>300</v>
      </c>
      <c r="M167" s="123" t="s">
        <v>2163</v>
      </c>
      <c r="N167" s="117" t="s">
        <v>2164</v>
      </c>
      <c r="O167" s="118" t="s">
        <v>2165</v>
      </c>
      <c r="P167" s="118" t="s">
        <v>2166</v>
      </c>
      <c r="Q167" s="117"/>
      <c r="R167" s="117"/>
      <c r="S167" s="117"/>
      <c r="T167" s="117"/>
      <c r="U167" s="117"/>
      <c r="V167" s="123"/>
      <c r="W167" s="117"/>
      <c r="X167" s="118" t="s">
        <v>2167</v>
      </c>
      <c r="Y167" s="118"/>
      <c r="Z167" s="118" t="s">
        <v>2168</v>
      </c>
      <c r="AA167" s="118"/>
      <c r="AB167" s="117"/>
      <c r="AC167" s="117"/>
      <c r="AD167" s="117"/>
      <c r="AE167" s="117"/>
      <c r="AF167" s="117"/>
      <c r="AG167" s="117"/>
      <c r="AH167" s="117"/>
      <c r="AI167" s="117"/>
      <c r="AJ167" s="117"/>
    </row>
    <row r="168" spans="1:36" ht="24.75" customHeight="1">
      <c r="A168" s="116"/>
      <c r="B168" s="117" t="s">
        <v>1502</v>
      </c>
      <c r="C168" s="117"/>
      <c r="D168" s="117"/>
      <c r="E168" s="131" t="s">
        <v>1272</v>
      </c>
      <c r="F168" s="118" t="s">
        <v>2169</v>
      </c>
      <c r="G168" s="118"/>
      <c r="H168" s="117" t="s">
        <v>424</v>
      </c>
      <c r="I168" s="117" t="s">
        <v>1283</v>
      </c>
      <c r="J168" s="117" t="s">
        <v>1976</v>
      </c>
      <c r="K168" s="123" t="s">
        <v>1725</v>
      </c>
      <c r="L168" s="117" t="s">
        <v>1976</v>
      </c>
      <c r="M168" s="123" t="s">
        <v>2170</v>
      </c>
      <c r="N168" s="117" t="s">
        <v>2171</v>
      </c>
      <c r="O168" s="118" t="s">
        <v>2172</v>
      </c>
      <c r="P168" s="118" t="s">
        <v>1548</v>
      </c>
      <c r="Q168" s="117"/>
      <c r="R168" s="117"/>
      <c r="S168" s="117"/>
      <c r="T168" s="117"/>
      <c r="U168" s="117"/>
      <c r="V168" s="123"/>
      <c r="W168" s="117"/>
      <c r="X168" s="118" t="s">
        <v>2173</v>
      </c>
      <c r="Y168" s="118"/>
      <c r="Z168" s="118" t="s">
        <v>2174</v>
      </c>
      <c r="AA168" s="118"/>
      <c r="AB168" s="117"/>
      <c r="AC168" s="117"/>
      <c r="AD168" s="117"/>
      <c r="AE168" s="117"/>
      <c r="AF168" s="117"/>
      <c r="AG168" s="117"/>
      <c r="AH168" s="117"/>
      <c r="AI168" s="117"/>
      <c r="AJ168" s="117"/>
    </row>
    <row r="169" spans="1:36" ht="24.75" customHeight="1">
      <c r="A169" s="116"/>
      <c r="B169" s="117" t="s">
        <v>1502</v>
      </c>
      <c r="C169" s="117"/>
      <c r="D169" s="117"/>
      <c r="E169" s="131" t="s">
        <v>1272</v>
      </c>
      <c r="F169" s="118" t="s">
        <v>2175</v>
      </c>
      <c r="G169" s="118" t="s">
        <v>2176</v>
      </c>
      <c r="H169" s="117" t="s">
        <v>424</v>
      </c>
      <c r="I169" s="117" t="s">
        <v>1283</v>
      </c>
      <c r="J169" s="117" t="s">
        <v>313</v>
      </c>
      <c r="K169" s="123" t="s">
        <v>2177</v>
      </c>
      <c r="L169" s="117" t="s">
        <v>313</v>
      </c>
      <c r="M169" s="123" t="s">
        <v>2178</v>
      </c>
      <c r="N169" s="117" t="s">
        <v>2179</v>
      </c>
      <c r="O169" s="118" t="s">
        <v>2180</v>
      </c>
      <c r="P169" s="118" t="s">
        <v>2043</v>
      </c>
      <c r="Q169" s="117"/>
      <c r="R169" s="117"/>
      <c r="S169" s="117"/>
      <c r="T169" s="117"/>
      <c r="U169" s="117"/>
      <c r="V169" s="123"/>
      <c r="W169" s="117"/>
      <c r="X169" s="118" t="s">
        <v>2181</v>
      </c>
      <c r="Y169" s="118"/>
      <c r="Z169" s="118" t="s">
        <v>2182</v>
      </c>
      <c r="AA169" s="118"/>
      <c r="AB169" s="117"/>
      <c r="AC169" s="117"/>
      <c r="AD169" s="117"/>
      <c r="AE169" s="117"/>
      <c r="AF169" s="117"/>
      <c r="AG169" s="117"/>
      <c r="AH169" s="117"/>
      <c r="AI169" s="117"/>
      <c r="AJ169" s="117"/>
    </row>
    <row r="170" spans="1:36" ht="24.75" customHeight="1">
      <c r="A170" s="116"/>
      <c r="B170" s="117" t="s">
        <v>1502</v>
      </c>
      <c r="C170" s="117"/>
      <c r="D170" s="117"/>
      <c r="E170" s="117" t="s">
        <v>1272</v>
      </c>
      <c r="F170" s="118" t="s">
        <v>2183</v>
      </c>
      <c r="G170" s="118"/>
      <c r="H170" s="117" t="s">
        <v>1283</v>
      </c>
      <c r="I170" s="117" t="s">
        <v>1283</v>
      </c>
      <c r="J170" s="117" t="s">
        <v>2184</v>
      </c>
      <c r="K170" s="123"/>
      <c r="L170" s="117"/>
      <c r="M170" s="123"/>
      <c r="N170" s="117" t="s">
        <v>2185</v>
      </c>
      <c r="O170" s="118" t="s">
        <v>2186</v>
      </c>
      <c r="P170" s="118" t="s">
        <v>2187</v>
      </c>
      <c r="Q170" s="117"/>
      <c r="R170" s="117"/>
      <c r="S170" s="117"/>
      <c r="T170" s="117"/>
      <c r="U170" s="117"/>
      <c r="V170" s="123"/>
      <c r="W170" s="117"/>
      <c r="X170" s="118" t="s">
        <v>2188</v>
      </c>
      <c r="Y170" s="118"/>
      <c r="Z170" s="118" t="s">
        <v>2189</v>
      </c>
      <c r="AA170" s="118"/>
      <c r="AB170" s="117"/>
      <c r="AC170" s="117"/>
      <c r="AD170" s="117"/>
      <c r="AE170" s="117"/>
      <c r="AF170" s="117"/>
      <c r="AG170" s="117"/>
      <c r="AH170" s="117"/>
      <c r="AI170" s="117"/>
      <c r="AJ170" s="117"/>
    </row>
    <row r="171" spans="1:36" ht="24.75" customHeight="1">
      <c r="A171" s="116"/>
      <c r="B171" s="117" t="s">
        <v>1502</v>
      </c>
      <c r="C171" s="117"/>
      <c r="D171" s="117"/>
      <c r="E171" s="117" t="s">
        <v>1272</v>
      </c>
      <c r="F171" s="118" t="s">
        <v>2190</v>
      </c>
      <c r="G171" s="118"/>
      <c r="H171" s="117" t="s">
        <v>1283</v>
      </c>
      <c r="I171" s="117" t="s">
        <v>1283</v>
      </c>
      <c r="J171" s="117"/>
      <c r="K171" s="123"/>
      <c r="L171" s="117"/>
      <c r="M171" s="123"/>
      <c r="N171" s="123" t="s">
        <v>2191</v>
      </c>
      <c r="O171" s="118" t="s">
        <v>2192</v>
      </c>
      <c r="P171" s="118"/>
      <c r="Q171" s="117"/>
      <c r="R171" s="117"/>
      <c r="S171" s="117"/>
      <c r="T171" s="117"/>
      <c r="U171" s="117"/>
      <c r="V171" s="123"/>
      <c r="W171" s="117"/>
      <c r="X171" s="118" t="s">
        <v>2193</v>
      </c>
      <c r="Y171" s="118"/>
      <c r="Z171" s="118" t="s">
        <v>2194</v>
      </c>
      <c r="AA171" s="118"/>
      <c r="AB171" s="117"/>
      <c r="AC171" s="117"/>
      <c r="AD171" s="117"/>
      <c r="AE171" s="117"/>
      <c r="AF171" s="117"/>
      <c r="AG171" s="117"/>
      <c r="AH171" s="117"/>
      <c r="AI171" s="117"/>
      <c r="AJ171" s="117"/>
    </row>
    <row r="172" spans="1:36" ht="24.75" customHeight="1">
      <c r="A172" s="116"/>
      <c r="B172" s="117" t="s">
        <v>1502</v>
      </c>
      <c r="C172" s="117"/>
      <c r="D172" s="117"/>
      <c r="E172" s="117" t="s">
        <v>1272</v>
      </c>
      <c r="F172" s="118" t="s">
        <v>2195</v>
      </c>
      <c r="G172" s="118"/>
      <c r="H172" s="117" t="s">
        <v>424</v>
      </c>
      <c r="I172" s="117" t="s">
        <v>1283</v>
      </c>
      <c r="J172" s="117"/>
      <c r="K172" s="123"/>
      <c r="L172" s="117"/>
      <c r="M172" s="123"/>
      <c r="N172" s="117" t="s">
        <v>1866</v>
      </c>
      <c r="O172" s="118" t="s">
        <v>2196</v>
      </c>
      <c r="P172" s="118" t="s">
        <v>1548</v>
      </c>
      <c r="Q172" s="117"/>
      <c r="R172" s="117"/>
      <c r="S172" s="117"/>
      <c r="T172" s="117"/>
      <c r="U172" s="117"/>
      <c r="V172" s="123"/>
      <c r="W172" s="117"/>
      <c r="X172" s="118" t="s">
        <v>2197</v>
      </c>
      <c r="Y172" s="118"/>
      <c r="Z172" s="118" t="s">
        <v>2198</v>
      </c>
      <c r="AA172" s="118"/>
      <c r="AB172" s="117"/>
      <c r="AC172" s="117"/>
      <c r="AD172" s="117"/>
      <c r="AE172" s="117"/>
      <c r="AF172" s="117"/>
      <c r="AG172" s="117"/>
      <c r="AH172" s="117"/>
      <c r="AI172" s="117"/>
      <c r="AJ172" s="117"/>
    </row>
    <row r="173" spans="1:36" ht="24.75" customHeight="1">
      <c r="A173" s="116"/>
      <c r="B173" s="117" t="s">
        <v>1502</v>
      </c>
      <c r="C173" s="117"/>
      <c r="D173" s="117"/>
      <c r="E173" s="117" t="s">
        <v>1272</v>
      </c>
      <c r="F173" s="118" t="s">
        <v>2199</v>
      </c>
      <c r="G173" s="118"/>
      <c r="H173" s="117" t="s">
        <v>424</v>
      </c>
      <c r="I173" s="117" t="s">
        <v>1283</v>
      </c>
      <c r="J173" s="117" t="s">
        <v>2200</v>
      </c>
      <c r="K173" s="123" t="s">
        <v>1725</v>
      </c>
      <c r="L173" s="117" t="s">
        <v>2200</v>
      </c>
      <c r="M173" s="123" t="s">
        <v>2201</v>
      </c>
      <c r="N173" s="117" t="s">
        <v>1866</v>
      </c>
      <c r="O173" s="118" t="s">
        <v>2202</v>
      </c>
      <c r="P173" s="118" t="s">
        <v>2203</v>
      </c>
      <c r="Q173" s="117"/>
      <c r="R173" s="117"/>
      <c r="S173" s="117"/>
      <c r="T173" s="117"/>
      <c r="U173" s="117"/>
      <c r="V173" s="123"/>
      <c r="W173" s="117"/>
      <c r="X173" s="118" t="s">
        <v>2204</v>
      </c>
      <c r="Y173" s="118"/>
      <c r="Z173" s="118" t="s">
        <v>2205</v>
      </c>
      <c r="AA173" s="118"/>
      <c r="AB173" s="117"/>
      <c r="AC173" s="117"/>
      <c r="AD173" s="117"/>
      <c r="AE173" s="117"/>
      <c r="AF173" s="117"/>
      <c r="AG173" s="117"/>
      <c r="AH173" s="117"/>
      <c r="AI173" s="117"/>
      <c r="AJ173" s="117"/>
    </row>
    <row r="174" spans="1:36" ht="24.75" customHeight="1">
      <c r="A174" s="116"/>
      <c r="B174" s="117" t="s">
        <v>1502</v>
      </c>
      <c r="C174" s="117"/>
      <c r="D174" s="117"/>
      <c r="E174" s="117" t="s">
        <v>1272</v>
      </c>
      <c r="F174" s="118" t="s">
        <v>2206</v>
      </c>
      <c r="G174" s="118"/>
      <c r="H174" s="117" t="s">
        <v>1283</v>
      </c>
      <c r="I174" s="117" t="s">
        <v>1283</v>
      </c>
      <c r="J174" s="117" t="s">
        <v>2207</v>
      </c>
      <c r="K174" s="123" t="s">
        <v>1274</v>
      </c>
      <c r="L174" s="117" t="s">
        <v>2207</v>
      </c>
      <c r="M174" s="123" t="s">
        <v>2208</v>
      </c>
      <c r="N174" s="117" t="s">
        <v>2209</v>
      </c>
      <c r="O174" s="118" t="s">
        <v>2210</v>
      </c>
      <c r="P174" s="118" t="s">
        <v>1548</v>
      </c>
      <c r="Q174" s="117"/>
      <c r="R174" s="117"/>
      <c r="S174" s="117"/>
      <c r="T174" s="117"/>
      <c r="U174" s="117"/>
      <c r="V174" s="123"/>
      <c r="W174" s="117"/>
      <c r="X174" s="118" t="s">
        <v>2211</v>
      </c>
      <c r="Y174" s="118"/>
      <c r="Z174" s="118" t="s">
        <v>2212</v>
      </c>
      <c r="AA174" s="118"/>
      <c r="AB174" s="117"/>
      <c r="AC174" s="117"/>
      <c r="AD174" s="117"/>
      <c r="AE174" s="117"/>
      <c r="AF174" s="117"/>
      <c r="AG174" s="117"/>
      <c r="AH174" s="117"/>
      <c r="AI174" s="117"/>
      <c r="AJ174" s="117"/>
    </row>
    <row r="175" spans="1:36" ht="24.75" customHeight="1">
      <c r="A175" s="116"/>
      <c r="B175" s="117" t="s">
        <v>1502</v>
      </c>
      <c r="C175" s="117"/>
      <c r="D175" s="117"/>
      <c r="E175" s="117" t="s">
        <v>1272</v>
      </c>
      <c r="F175" s="118" t="s">
        <v>2213</v>
      </c>
      <c r="G175" s="118" t="s">
        <v>2214</v>
      </c>
      <c r="H175" s="117" t="s">
        <v>424</v>
      </c>
      <c r="I175" s="117" t="s">
        <v>1283</v>
      </c>
      <c r="J175" s="117" t="s">
        <v>282</v>
      </c>
      <c r="K175" s="123" t="s">
        <v>1725</v>
      </c>
      <c r="L175" s="117" t="s">
        <v>282</v>
      </c>
      <c r="M175" s="123" t="s">
        <v>282</v>
      </c>
      <c r="N175" s="117" t="s">
        <v>2215</v>
      </c>
      <c r="O175" s="118" t="s">
        <v>2216</v>
      </c>
      <c r="P175" s="118" t="s">
        <v>2217</v>
      </c>
      <c r="Q175" s="117"/>
      <c r="R175" s="117"/>
      <c r="S175" s="117"/>
      <c r="T175" s="117"/>
      <c r="U175" s="117"/>
      <c r="V175" s="123" t="s">
        <v>2218</v>
      </c>
      <c r="W175" s="117"/>
      <c r="X175" s="118" t="s">
        <v>2219</v>
      </c>
      <c r="Y175" s="118"/>
      <c r="Z175" s="118" t="s">
        <v>2220</v>
      </c>
      <c r="AA175" s="118" t="s">
        <v>2221</v>
      </c>
      <c r="AB175" s="117"/>
      <c r="AC175" s="117"/>
      <c r="AD175" s="117"/>
      <c r="AE175" s="117"/>
      <c r="AF175" s="117"/>
      <c r="AG175" s="117"/>
      <c r="AH175" s="117"/>
      <c r="AI175" s="117"/>
      <c r="AJ175" s="117"/>
    </row>
    <row r="176" spans="1:36" ht="24.75" customHeight="1">
      <c r="A176" s="116"/>
      <c r="B176" s="117" t="s">
        <v>1502</v>
      </c>
      <c r="C176" s="117"/>
      <c r="D176" s="117"/>
      <c r="E176" s="117" t="s">
        <v>1272</v>
      </c>
      <c r="F176" s="118" t="s">
        <v>2222</v>
      </c>
      <c r="G176" s="118"/>
      <c r="H176" s="117" t="s">
        <v>424</v>
      </c>
      <c r="I176" s="117" t="s">
        <v>1283</v>
      </c>
      <c r="J176" s="117"/>
      <c r="K176" s="123"/>
      <c r="L176" s="117"/>
      <c r="M176" s="123"/>
      <c r="N176" s="117"/>
      <c r="O176" s="118" t="s">
        <v>2223</v>
      </c>
      <c r="P176" s="118" t="s">
        <v>2224</v>
      </c>
      <c r="Q176" s="117"/>
      <c r="R176" s="117"/>
      <c r="S176" s="117"/>
      <c r="T176" s="117"/>
      <c r="U176" s="117"/>
      <c r="V176" s="123"/>
      <c r="W176" s="117"/>
      <c r="X176" s="118" t="s">
        <v>2225</v>
      </c>
      <c r="Y176" s="118"/>
      <c r="Z176" s="118" t="s">
        <v>2226</v>
      </c>
      <c r="AA176" s="118"/>
      <c r="AB176" s="117"/>
      <c r="AC176" s="117"/>
      <c r="AD176" s="117"/>
      <c r="AE176" s="117"/>
      <c r="AF176" s="117"/>
      <c r="AG176" s="117"/>
      <c r="AH176" s="117"/>
      <c r="AI176" s="117"/>
      <c r="AJ176" s="117"/>
    </row>
    <row r="177" spans="1:36" ht="24.75" customHeight="1">
      <c r="A177" s="116"/>
      <c r="B177" s="117" t="s">
        <v>1502</v>
      </c>
      <c r="C177" s="117"/>
      <c r="D177" s="117"/>
      <c r="E177" s="117" t="s">
        <v>1272</v>
      </c>
      <c r="F177" s="118" t="s">
        <v>2227</v>
      </c>
      <c r="G177" s="118" t="s">
        <v>2228</v>
      </c>
      <c r="H177" s="117" t="s">
        <v>424</v>
      </c>
      <c r="I177" s="117" t="s">
        <v>1283</v>
      </c>
      <c r="J177" s="117" t="s">
        <v>326</v>
      </c>
      <c r="K177" s="123" t="s">
        <v>1725</v>
      </c>
      <c r="L177" s="117" t="s">
        <v>326</v>
      </c>
      <c r="M177" s="123" t="s">
        <v>2229</v>
      </c>
      <c r="N177" s="117" t="s">
        <v>2215</v>
      </c>
      <c r="O177" s="118" t="s">
        <v>2230</v>
      </c>
      <c r="P177" s="118" t="s">
        <v>2224</v>
      </c>
      <c r="Q177" s="117"/>
      <c r="R177" s="117"/>
      <c r="S177" s="117"/>
      <c r="T177" s="117"/>
      <c r="U177" s="117"/>
      <c r="V177" s="123"/>
      <c r="W177" s="117"/>
      <c r="X177" s="118" t="s">
        <v>2231</v>
      </c>
      <c r="Y177" s="118"/>
      <c r="Z177" s="118" t="s">
        <v>2232</v>
      </c>
      <c r="AA177" s="118"/>
      <c r="AB177" s="117"/>
      <c r="AC177" s="117"/>
      <c r="AD177" s="117"/>
      <c r="AE177" s="117"/>
      <c r="AF177" s="117"/>
      <c r="AG177" s="117"/>
      <c r="AH177" s="117"/>
      <c r="AI177" s="117"/>
      <c r="AJ177" s="117"/>
    </row>
    <row r="178" spans="1:36" ht="24.75" customHeight="1">
      <c r="A178" s="116"/>
      <c r="B178" s="117" t="s">
        <v>1502</v>
      </c>
      <c r="C178" s="117"/>
      <c r="D178" s="117"/>
      <c r="E178" s="117" t="s">
        <v>1272</v>
      </c>
      <c r="F178" s="118" t="s">
        <v>2233</v>
      </c>
      <c r="G178" s="118" t="s">
        <v>2234</v>
      </c>
      <c r="H178" s="117" t="s">
        <v>1283</v>
      </c>
      <c r="I178" s="117" t="s">
        <v>1283</v>
      </c>
      <c r="J178" s="117" t="s">
        <v>360</v>
      </c>
      <c r="K178" s="123" t="s">
        <v>1274</v>
      </c>
      <c r="L178" s="117" t="s">
        <v>360</v>
      </c>
      <c r="M178" s="123" t="s">
        <v>2235</v>
      </c>
      <c r="N178" s="117" t="s">
        <v>2236</v>
      </c>
      <c r="O178" s="118" t="s">
        <v>2237</v>
      </c>
      <c r="P178" s="118"/>
      <c r="Q178" s="117"/>
      <c r="R178" s="117"/>
      <c r="S178" s="117"/>
      <c r="T178" s="117"/>
      <c r="U178" s="117"/>
      <c r="V178" s="123"/>
      <c r="W178" s="117"/>
      <c r="X178" s="118"/>
      <c r="Y178" s="118"/>
      <c r="Z178" s="118" t="s">
        <v>2238</v>
      </c>
      <c r="AA178" s="118"/>
      <c r="AB178" s="117"/>
      <c r="AC178" s="117"/>
      <c r="AD178" s="117"/>
      <c r="AE178" s="117"/>
      <c r="AF178" s="117"/>
      <c r="AG178" s="117"/>
      <c r="AH178" s="117"/>
      <c r="AI178" s="117"/>
      <c r="AJ178" s="117"/>
    </row>
    <row r="179" spans="1:36" ht="24.75" customHeight="1">
      <c r="A179" s="116"/>
      <c r="B179" s="117" t="s">
        <v>1502</v>
      </c>
      <c r="C179" s="117"/>
      <c r="D179" s="117"/>
      <c r="E179" s="117" t="s">
        <v>1272</v>
      </c>
      <c r="F179" s="118" t="s">
        <v>2239</v>
      </c>
      <c r="G179" s="118" t="s">
        <v>2240</v>
      </c>
      <c r="H179" s="117" t="s">
        <v>424</v>
      </c>
      <c r="I179" s="117" t="s">
        <v>1283</v>
      </c>
      <c r="J179" s="117" t="s">
        <v>306</v>
      </c>
      <c r="K179" s="123" t="s">
        <v>1863</v>
      </c>
      <c r="L179" s="117" t="s">
        <v>306</v>
      </c>
      <c r="M179" s="123" t="s">
        <v>2241</v>
      </c>
      <c r="N179" s="117" t="s">
        <v>2242</v>
      </c>
      <c r="O179" s="118" t="s">
        <v>2243</v>
      </c>
      <c r="P179" s="118" t="s">
        <v>2224</v>
      </c>
      <c r="Q179" s="117"/>
      <c r="R179" s="117"/>
      <c r="S179" s="117"/>
      <c r="T179" s="117"/>
      <c r="U179" s="117"/>
      <c r="V179" s="123"/>
      <c r="W179" s="117"/>
      <c r="X179" s="118" t="s">
        <v>2244</v>
      </c>
      <c r="Y179" s="118"/>
      <c r="Z179" s="118" t="s">
        <v>2245</v>
      </c>
      <c r="AA179" s="118"/>
      <c r="AB179" s="117"/>
      <c r="AC179" s="117"/>
      <c r="AD179" s="117"/>
      <c r="AE179" s="117"/>
      <c r="AF179" s="117"/>
      <c r="AG179" s="117"/>
      <c r="AH179" s="117"/>
      <c r="AI179" s="117"/>
      <c r="AJ179" s="117"/>
    </row>
    <row r="180" spans="1:36" ht="24.75" customHeight="1">
      <c r="A180" s="116"/>
      <c r="B180" s="117" t="s">
        <v>1502</v>
      </c>
      <c r="C180" s="117"/>
      <c r="D180" s="117"/>
      <c r="E180" s="117" t="s">
        <v>1272</v>
      </c>
      <c r="F180" s="118" t="s">
        <v>2246</v>
      </c>
      <c r="G180" s="118"/>
      <c r="H180" s="117" t="s">
        <v>298</v>
      </c>
      <c r="I180" s="117"/>
      <c r="J180" s="117" t="s">
        <v>319</v>
      </c>
      <c r="K180" s="123"/>
      <c r="L180" s="117" t="s">
        <v>319</v>
      </c>
      <c r="M180" s="123" t="s">
        <v>2247</v>
      </c>
      <c r="N180" s="117" t="s">
        <v>2248</v>
      </c>
      <c r="O180" s="118" t="s">
        <v>2249</v>
      </c>
      <c r="P180" s="118" t="s">
        <v>1574</v>
      </c>
      <c r="Q180" s="117"/>
      <c r="R180" s="117"/>
      <c r="S180" s="117"/>
      <c r="T180" s="117"/>
      <c r="U180" s="117"/>
      <c r="V180" s="123"/>
      <c r="W180" s="117"/>
      <c r="X180" s="118"/>
      <c r="Y180" s="118"/>
      <c r="Z180" s="118" t="s">
        <v>2250</v>
      </c>
      <c r="AA180" s="118"/>
      <c r="AB180" s="117"/>
      <c r="AC180" s="117"/>
      <c r="AD180" s="117"/>
      <c r="AE180" s="117"/>
      <c r="AF180" s="117"/>
      <c r="AG180" s="117"/>
      <c r="AH180" s="117"/>
      <c r="AI180" s="117"/>
      <c r="AJ180" s="117"/>
    </row>
    <row r="181" spans="1:36" ht="24.75" customHeight="1">
      <c r="A181" s="116"/>
      <c r="B181" s="117" t="s">
        <v>1502</v>
      </c>
      <c r="C181" s="117"/>
      <c r="D181" s="117"/>
      <c r="E181" s="117" t="s">
        <v>1272</v>
      </c>
      <c r="F181" s="118" t="s">
        <v>2251</v>
      </c>
      <c r="G181" s="118" t="s">
        <v>2251</v>
      </c>
      <c r="H181" s="117" t="s">
        <v>302</v>
      </c>
      <c r="I181" s="117"/>
      <c r="J181" s="117" t="s">
        <v>360</v>
      </c>
      <c r="K181" s="123" t="s">
        <v>1274</v>
      </c>
      <c r="L181" s="117" t="s">
        <v>360</v>
      </c>
      <c r="M181" s="123" t="s">
        <v>2252</v>
      </c>
      <c r="N181" s="117" t="s">
        <v>2253</v>
      </c>
      <c r="O181" s="118" t="s">
        <v>2254</v>
      </c>
      <c r="P181" s="118"/>
      <c r="Q181" s="117"/>
      <c r="R181" s="117"/>
      <c r="S181" s="117"/>
      <c r="T181" s="117"/>
      <c r="U181" s="117"/>
      <c r="V181" s="123"/>
      <c r="W181" s="117"/>
      <c r="X181" s="118" t="s">
        <v>2255</v>
      </c>
      <c r="Y181" s="118"/>
      <c r="Z181" s="118" t="s">
        <v>2256</v>
      </c>
      <c r="AA181" s="118"/>
      <c r="AB181" s="117"/>
      <c r="AC181" s="117"/>
      <c r="AD181" s="117"/>
      <c r="AE181" s="117"/>
      <c r="AF181" s="117"/>
      <c r="AG181" s="117"/>
      <c r="AH181" s="117"/>
      <c r="AI181" s="117"/>
      <c r="AJ181" s="117"/>
    </row>
    <row r="182" spans="1:36" ht="24.75" customHeight="1">
      <c r="A182" s="116"/>
      <c r="B182" s="117" t="s">
        <v>1502</v>
      </c>
      <c r="C182" s="117"/>
      <c r="D182" s="117"/>
      <c r="E182" s="117" t="s">
        <v>1272</v>
      </c>
      <c r="F182" s="118" t="s">
        <v>2257</v>
      </c>
      <c r="G182" s="118" t="s">
        <v>2257</v>
      </c>
      <c r="H182" s="117" t="s">
        <v>424</v>
      </c>
      <c r="I182" s="117" t="s">
        <v>1283</v>
      </c>
      <c r="J182" s="117" t="s">
        <v>300</v>
      </c>
      <c r="K182" s="123" t="s">
        <v>2177</v>
      </c>
      <c r="L182" s="117" t="s">
        <v>300</v>
      </c>
      <c r="M182" s="123" t="s">
        <v>2258</v>
      </c>
      <c r="N182" s="117" t="s">
        <v>2259</v>
      </c>
      <c r="O182" s="118" t="s">
        <v>2260</v>
      </c>
      <c r="P182" s="118" t="s">
        <v>2261</v>
      </c>
      <c r="Q182" s="117"/>
      <c r="R182" s="117"/>
      <c r="S182" s="117"/>
      <c r="T182" s="117"/>
      <c r="U182" s="117"/>
      <c r="V182" s="123"/>
      <c r="W182" s="117"/>
      <c r="X182" s="118" t="s">
        <v>2262</v>
      </c>
      <c r="Y182" s="118"/>
      <c r="Z182" s="118" t="s">
        <v>2263</v>
      </c>
      <c r="AA182" s="118"/>
      <c r="AB182" s="117"/>
      <c r="AC182" s="117"/>
      <c r="AD182" s="117"/>
      <c r="AE182" s="117"/>
      <c r="AF182" s="117"/>
      <c r="AG182" s="117"/>
      <c r="AH182" s="117"/>
      <c r="AI182" s="117"/>
      <c r="AJ182" s="117"/>
    </row>
    <row r="183" spans="1:36" ht="24.75" customHeight="1">
      <c r="A183" s="116"/>
      <c r="B183" s="117" t="s">
        <v>1502</v>
      </c>
      <c r="C183" s="117"/>
      <c r="D183" s="117"/>
      <c r="E183" s="117" t="s">
        <v>1272</v>
      </c>
      <c r="F183" s="118" t="s">
        <v>2264</v>
      </c>
      <c r="G183" s="118" t="s">
        <v>2265</v>
      </c>
      <c r="H183" s="117" t="s">
        <v>424</v>
      </c>
      <c r="I183" s="117" t="s">
        <v>1283</v>
      </c>
      <c r="J183" s="117" t="s">
        <v>300</v>
      </c>
      <c r="K183" s="123" t="s">
        <v>2177</v>
      </c>
      <c r="L183" s="117" t="s">
        <v>300</v>
      </c>
      <c r="M183" s="123" t="s">
        <v>2266</v>
      </c>
      <c r="N183" s="117" t="s">
        <v>2215</v>
      </c>
      <c r="O183" s="118" t="s">
        <v>2267</v>
      </c>
      <c r="P183" s="118" t="s">
        <v>1320</v>
      </c>
      <c r="Q183" s="117"/>
      <c r="R183" s="117"/>
      <c r="S183" s="117"/>
      <c r="T183" s="117"/>
      <c r="U183" s="117"/>
      <c r="V183" s="123"/>
      <c r="W183" s="117"/>
      <c r="X183" s="118" t="s">
        <v>2268</v>
      </c>
      <c r="Y183" s="118"/>
      <c r="Z183" s="118" t="s">
        <v>2269</v>
      </c>
      <c r="AA183" s="118"/>
      <c r="AB183" s="117"/>
      <c r="AC183" s="117"/>
      <c r="AD183" s="117"/>
      <c r="AE183" s="117"/>
      <c r="AF183" s="117"/>
      <c r="AG183" s="117"/>
      <c r="AH183" s="117"/>
      <c r="AI183" s="117"/>
      <c r="AJ183" s="117"/>
    </row>
    <row r="184" spans="1:36" ht="24.75" customHeight="1">
      <c r="A184" s="116"/>
      <c r="B184" s="117" t="s">
        <v>1502</v>
      </c>
      <c r="C184" s="117"/>
      <c r="D184" s="117"/>
      <c r="E184" s="117" t="s">
        <v>1272</v>
      </c>
      <c r="F184" s="118" t="s">
        <v>2270</v>
      </c>
      <c r="G184" s="118" t="s">
        <v>2271</v>
      </c>
      <c r="H184" s="117" t="s">
        <v>424</v>
      </c>
      <c r="I184" s="117" t="s">
        <v>1283</v>
      </c>
      <c r="J184" s="117" t="s">
        <v>313</v>
      </c>
      <c r="K184" s="123" t="s">
        <v>2177</v>
      </c>
      <c r="L184" s="117" t="s">
        <v>313</v>
      </c>
      <c r="M184" s="123" t="s">
        <v>2178</v>
      </c>
      <c r="N184" s="117" t="s">
        <v>2272</v>
      </c>
      <c r="O184" s="118" t="s">
        <v>2273</v>
      </c>
      <c r="P184" s="118" t="s">
        <v>2274</v>
      </c>
      <c r="Q184" s="117"/>
      <c r="R184" s="117"/>
      <c r="S184" s="117"/>
      <c r="T184" s="117"/>
      <c r="U184" s="117"/>
      <c r="V184" s="123"/>
      <c r="W184" s="117"/>
      <c r="X184" s="118"/>
      <c r="Y184" s="118"/>
      <c r="Z184" s="118" t="s">
        <v>2275</v>
      </c>
      <c r="AA184" s="118"/>
      <c r="AB184" s="117"/>
      <c r="AC184" s="117"/>
      <c r="AD184" s="117"/>
      <c r="AE184" s="117"/>
      <c r="AF184" s="117"/>
      <c r="AG184" s="117"/>
      <c r="AH184" s="117"/>
      <c r="AI184" s="117"/>
      <c r="AJ184" s="117"/>
    </row>
    <row r="185" spans="1:36" ht="24.75" customHeight="1">
      <c r="A185" s="116"/>
      <c r="B185" s="117" t="s">
        <v>1502</v>
      </c>
      <c r="C185" s="117"/>
      <c r="D185" s="117"/>
      <c r="E185" s="117" t="s">
        <v>1272</v>
      </c>
      <c r="F185" s="118" t="s">
        <v>2276</v>
      </c>
      <c r="G185" s="118"/>
      <c r="H185" s="117" t="s">
        <v>1283</v>
      </c>
      <c r="I185" s="117" t="s">
        <v>1283</v>
      </c>
      <c r="J185" s="117" t="s">
        <v>1912</v>
      </c>
      <c r="K185" s="123"/>
      <c r="L185" s="117" t="s">
        <v>2277</v>
      </c>
      <c r="M185" s="123"/>
      <c r="N185" s="123" t="s">
        <v>2278</v>
      </c>
      <c r="O185" s="118" t="s">
        <v>2279</v>
      </c>
      <c r="P185" s="118" t="s">
        <v>2280</v>
      </c>
      <c r="Q185" s="117"/>
      <c r="R185" s="117"/>
      <c r="S185" s="117"/>
      <c r="T185" s="117"/>
      <c r="U185" s="117"/>
      <c r="V185" s="123"/>
      <c r="W185" s="117"/>
      <c r="X185" s="118" t="s">
        <v>2281</v>
      </c>
      <c r="Y185" s="118"/>
      <c r="Z185" s="118" t="s">
        <v>2282</v>
      </c>
      <c r="AA185" s="118"/>
      <c r="AB185" s="117"/>
      <c r="AC185" s="117"/>
      <c r="AD185" s="117"/>
      <c r="AE185" s="117"/>
      <c r="AF185" s="117"/>
      <c r="AG185" s="117"/>
      <c r="AH185" s="117"/>
      <c r="AI185" s="117"/>
      <c r="AJ185" s="117"/>
    </row>
    <row r="186" spans="1:36" ht="24.75" customHeight="1">
      <c r="A186" s="116"/>
      <c r="B186" s="117" t="s">
        <v>1502</v>
      </c>
      <c r="C186" s="117"/>
      <c r="D186" s="117"/>
      <c r="E186" s="117" t="s">
        <v>1272</v>
      </c>
      <c r="F186" s="118" t="s">
        <v>2283</v>
      </c>
      <c r="G186" s="118"/>
      <c r="H186" s="117" t="s">
        <v>298</v>
      </c>
      <c r="I186" s="117"/>
      <c r="J186" s="117" t="s">
        <v>319</v>
      </c>
      <c r="K186" s="123" t="s">
        <v>1274</v>
      </c>
      <c r="L186" s="117" t="s">
        <v>319</v>
      </c>
      <c r="M186" s="123" t="s">
        <v>1442</v>
      </c>
      <c r="N186" s="117" t="s">
        <v>2253</v>
      </c>
      <c r="O186" s="118" t="s">
        <v>2284</v>
      </c>
      <c r="P186" s="118" t="s">
        <v>2217</v>
      </c>
      <c r="Q186" s="117"/>
      <c r="R186" s="117"/>
      <c r="S186" s="117"/>
      <c r="T186" s="117"/>
      <c r="U186" s="117"/>
      <c r="V186" s="123"/>
      <c r="W186" s="117"/>
      <c r="X186" s="118" t="s">
        <v>2285</v>
      </c>
      <c r="Y186" s="118"/>
      <c r="Z186" s="118" t="s">
        <v>2286</v>
      </c>
      <c r="AA186" s="118"/>
      <c r="AB186" s="117"/>
      <c r="AC186" s="117"/>
      <c r="AD186" s="117"/>
      <c r="AE186" s="117"/>
      <c r="AF186" s="117"/>
      <c r="AG186" s="117"/>
      <c r="AH186" s="117"/>
      <c r="AI186" s="117"/>
      <c r="AJ186" s="117"/>
    </row>
    <row r="187" spans="1:36" ht="24.75" customHeight="1">
      <c r="A187" s="116"/>
      <c r="B187" s="117" t="s">
        <v>1502</v>
      </c>
      <c r="C187" s="117"/>
      <c r="D187" s="117"/>
      <c r="E187" s="117" t="s">
        <v>1272</v>
      </c>
      <c r="F187" s="118" t="s">
        <v>2287</v>
      </c>
      <c r="G187" s="118" t="s">
        <v>2288</v>
      </c>
      <c r="H187" s="117" t="s">
        <v>424</v>
      </c>
      <c r="I187" s="117" t="s">
        <v>1283</v>
      </c>
      <c r="J187" s="117" t="s">
        <v>1976</v>
      </c>
      <c r="K187" s="123" t="s">
        <v>2177</v>
      </c>
      <c r="L187" s="117" t="s">
        <v>1976</v>
      </c>
      <c r="M187" s="123" t="s">
        <v>1977</v>
      </c>
      <c r="N187" s="117" t="s">
        <v>1294</v>
      </c>
      <c r="O187" s="118"/>
      <c r="P187" s="118"/>
      <c r="Q187" s="117"/>
      <c r="R187" s="117"/>
      <c r="S187" s="117"/>
      <c r="T187" s="117"/>
      <c r="U187" s="117"/>
      <c r="V187" s="123"/>
      <c r="W187" s="117"/>
      <c r="X187" s="118"/>
      <c r="Y187" s="118"/>
      <c r="Z187" s="118"/>
      <c r="AA187" s="118"/>
      <c r="AB187" s="117"/>
      <c r="AC187" s="117"/>
      <c r="AD187" s="117"/>
      <c r="AE187" s="117"/>
      <c r="AF187" s="117"/>
      <c r="AG187" s="117"/>
      <c r="AH187" s="117"/>
      <c r="AI187" s="117"/>
      <c r="AJ187" s="117"/>
    </row>
    <row r="188" spans="1:36" ht="24.75" customHeight="1">
      <c r="A188" s="116"/>
      <c r="B188" s="117" t="s">
        <v>1502</v>
      </c>
      <c r="C188" s="117"/>
      <c r="D188" s="117"/>
      <c r="E188" s="117" t="s">
        <v>1272</v>
      </c>
      <c r="F188" s="118" t="s">
        <v>2289</v>
      </c>
      <c r="G188" s="118" t="s">
        <v>2289</v>
      </c>
      <c r="H188" s="117" t="s">
        <v>424</v>
      </c>
      <c r="I188" s="117" t="s">
        <v>1283</v>
      </c>
      <c r="J188" s="117" t="s">
        <v>1976</v>
      </c>
      <c r="K188" s="123" t="s">
        <v>2177</v>
      </c>
      <c r="L188" s="117" t="s">
        <v>1976</v>
      </c>
      <c r="M188" s="123" t="s">
        <v>1977</v>
      </c>
      <c r="N188" s="117" t="s">
        <v>2253</v>
      </c>
      <c r="O188" s="118"/>
      <c r="P188" s="118"/>
      <c r="Q188" s="117"/>
      <c r="R188" s="117"/>
      <c r="S188" s="117"/>
      <c r="T188" s="117"/>
      <c r="U188" s="117"/>
      <c r="V188" s="123"/>
      <c r="W188" s="117"/>
      <c r="X188" s="128" t="s">
        <v>2290</v>
      </c>
      <c r="Y188" s="118"/>
      <c r="Z188" s="118"/>
      <c r="AA188" s="118"/>
      <c r="AB188" s="117"/>
      <c r="AC188" s="117"/>
      <c r="AD188" s="117"/>
      <c r="AE188" s="117"/>
      <c r="AF188" s="117"/>
      <c r="AG188" s="117"/>
      <c r="AH188" s="117"/>
      <c r="AI188" s="117"/>
      <c r="AJ188" s="117"/>
    </row>
    <row r="189" spans="1:36" ht="24.75" customHeight="1">
      <c r="A189" s="116"/>
      <c r="B189" s="117" t="s">
        <v>1502</v>
      </c>
      <c r="C189" s="117"/>
      <c r="D189" s="117"/>
      <c r="E189" s="117" t="s">
        <v>1272</v>
      </c>
      <c r="F189" s="118" t="s">
        <v>2291</v>
      </c>
      <c r="G189" s="118" t="s">
        <v>2291</v>
      </c>
      <c r="H189" s="117" t="s">
        <v>424</v>
      </c>
      <c r="I189" s="117" t="s">
        <v>1283</v>
      </c>
      <c r="J189" s="117" t="s">
        <v>1976</v>
      </c>
      <c r="K189" s="123" t="s">
        <v>2177</v>
      </c>
      <c r="L189" s="117" t="s">
        <v>1976</v>
      </c>
      <c r="M189" s="123" t="s">
        <v>1977</v>
      </c>
      <c r="N189" s="117" t="s">
        <v>1734</v>
      </c>
      <c r="O189" s="118"/>
      <c r="P189" s="118"/>
      <c r="Q189" s="117"/>
      <c r="R189" s="117"/>
      <c r="S189" s="117"/>
      <c r="T189" s="117"/>
      <c r="U189" s="117"/>
      <c r="V189" s="123"/>
      <c r="W189" s="117"/>
      <c r="X189" s="118"/>
      <c r="Y189" s="118"/>
      <c r="Z189" s="118"/>
      <c r="AA189" s="118"/>
      <c r="AB189" s="117"/>
      <c r="AC189" s="117"/>
      <c r="AD189" s="117"/>
      <c r="AE189" s="117"/>
      <c r="AF189" s="117"/>
      <c r="AG189" s="117"/>
      <c r="AH189" s="117"/>
      <c r="AI189" s="117"/>
      <c r="AJ189" s="117"/>
    </row>
    <row r="190" spans="1:36" ht="24.75" customHeight="1">
      <c r="A190" s="116"/>
      <c r="B190" s="117" t="s">
        <v>1502</v>
      </c>
      <c r="C190" s="117"/>
      <c r="D190" s="117"/>
      <c r="E190" s="117" t="s">
        <v>1272</v>
      </c>
      <c r="F190" s="118" t="s">
        <v>2292</v>
      </c>
      <c r="G190" s="118"/>
      <c r="H190" s="117" t="s">
        <v>424</v>
      </c>
      <c r="I190" s="117" t="s">
        <v>1283</v>
      </c>
      <c r="J190" s="117" t="s">
        <v>1976</v>
      </c>
      <c r="K190" s="123" t="s">
        <v>2177</v>
      </c>
      <c r="L190" s="117" t="s">
        <v>1976</v>
      </c>
      <c r="M190" s="123" t="s">
        <v>1977</v>
      </c>
      <c r="N190" s="117" t="s">
        <v>2215</v>
      </c>
      <c r="O190" s="118"/>
      <c r="P190" s="118"/>
      <c r="Q190" s="117"/>
      <c r="R190" s="117"/>
      <c r="S190" s="117"/>
      <c r="T190" s="117"/>
      <c r="U190" s="117"/>
      <c r="V190" s="123"/>
      <c r="W190" s="117"/>
      <c r="X190" s="118" t="s">
        <v>2293</v>
      </c>
      <c r="Y190" s="118"/>
      <c r="Z190" s="118"/>
      <c r="AA190" s="118"/>
      <c r="AB190" s="117"/>
      <c r="AC190" s="117"/>
      <c r="AD190" s="117"/>
      <c r="AE190" s="117"/>
      <c r="AF190" s="117"/>
      <c r="AG190" s="117"/>
      <c r="AH190" s="117"/>
      <c r="AI190" s="117"/>
      <c r="AJ190" s="117"/>
    </row>
    <row r="191" spans="1:36" ht="24.75" customHeight="1">
      <c r="A191" s="116"/>
      <c r="B191" s="117" t="s">
        <v>1502</v>
      </c>
      <c r="C191" s="117"/>
      <c r="D191" s="117"/>
      <c r="E191" s="117" t="s">
        <v>1272</v>
      </c>
      <c r="F191" s="118" t="s">
        <v>2294</v>
      </c>
      <c r="G191" s="118"/>
      <c r="H191" s="117" t="s">
        <v>1283</v>
      </c>
      <c r="I191" s="117" t="s">
        <v>1283</v>
      </c>
      <c r="J191" s="117" t="s">
        <v>2200</v>
      </c>
      <c r="K191" s="123" t="s">
        <v>2177</v>
      </c>
      <c r="L191" s="117" t="s">
        <v>2200</v>
      </c>
      <c r="M191" s="123" t="s">
        <v>2295</v>
      </c>
      <c r="N191" s="117" t="s">
        <v>2296</v>
      </c>
      <c r="O191" s="118"/>
      <c r="P191" s="118"/>
      <c r="Q191" s="117"/>
      <c r="R191" s="117"/>
      <c r="S191" s="117"/>
      <c r="T191" s="117"/>
      <c r="U191" s="117"/>
      <c r="V191" s="123"/>
      <c r="W191" s="117"/>
      <c r="X191" s="118"/>
      <c r="Y191" s="118"/>
      <c r="Z191" s="118"/>
      <c r="AA191" s="118"/>
      <c r="AB191" s="117"/>
      <c r="AC191" s="117"/>
      <c r="AD191" s="117"/>
      <c r="AE191" s="117"/>
      <c r="AF191" s="117"/>
      <c r="AG191" s="117"/>
      <c r="AH191" s="117"/>
      <c r="AI191" s="117"/>
      <c r="AJ191" s="117"/>
    </row>
    <row r="192" spans="1:36" ht="24.75" customHeight="1">
      <c r="A192" s="116"/>
      <c r="B192" s="117" t="s">
        <v>1502</v>
      </c>
      <c r="C192" s="117"/>
      <c r="D192" s="117"/>
      <c r="E192" s="117" t="s">
        <v>1272</v>
      </c>
      <c r="F192" s="118" t="s">
        <v>2297</v>
      </c>
      <c r="G192" s="118"/>
      <c r="H192" s="117" t="s">
        <v>1283</v>
      </c>
      <c r="I192" s="117" t="s">
        <v>1283</v>
      </c>
      <c r="J192" s="117" t="s">
        <v>2200</v>
      </c>
      <c r="K192" s="123" t="s">
        <v>2177</v>
      </c>
      <c r="L192" s="117" t="s">
        <v>2200</v>
      </c>
      <c r="M192" s="123" t="s">
        <v>2295</v>
      </c>
      <c r="N192" s="117" t="s">
        <v>2296</v>
      </c>
      <c r="O192" s="118"/>
      <c r="P192" s="118"/>
      <c r="Q192" s="117"/>
      <c r="R192" s="117"/>
      <c r="S192" s="117"/>
      <c r="T192" s="117"/>
      <c r="U192" s="117"/>
      <c r="V192" s="123"/>
      <c r="W192" s="117"/>
      <c r="X192" s="118"/>
      <c r="Y192" s="118"/>
      <c r="Z192" s="118"/>
      <c r="AA192" s="118"/>
      <c r="AB192" s="117"/>
      <c r="AC192" s="117"/>
      <c r="AD192" s="117"/>
      <c r="AE192" s="117"/>
      <c r="AF192" s="117"/>
      <c r="AG192" s="117"/>
      <c r="AH192" s="117"/>
      <c r="AI192" s="117"/>
      <c r="AJ192" s="117"/>
    </row>
    <row r="193" spans="1:36" ht="24.75" customHeight="1">
      <c r="A193" s="116"/>
      <c r="B193" s="117" t="s">
        <v>1502</v>
      </c>
      <c r="C193" s="117"/>
      <c r="D193" s="117"/>
      <c r="E193" s="117" t="s">
        <v>1272</v>
      </c>
      <c r="F193" s="118" t="s">
        <v>2298</v>
      </c>
      <c r="G193" s="118"/>
      <c r="H193" s="117" t="s">
        <v>424</v>
      </c>
      <c r="I193" s="117" t="s">
        <v>1283</v>
      </c>
      <c r="J193" s="117" t="s">
        <v>2299</v>
      </c>
      <c r="K193" s="123" t="s">
        <v>1762</v>
      </c>
      <c r="L193" s="117" t="s">
        <v>2299</v>
      </c>
      <c r="M193" s="123" t="s">
        <v>2300</v>
      </c>
      <c r="N193" s="117" t="s">
        <v>2301</v>
      </c>
      <c r="O193" s="118"/>
      <c r="P193" s="118"/>
      <c r="Q193" s="117"/>
      <c r="R193" s="117"/>
      <c r="S193" s="117"/>
      <c r="T193" s="117"/>
      <c r="U193" s="117"/>
      <c r="V193" s="123"/>
      <c r="W193" s="117"/>
      <c r="X193" s="118"/>
      <c r="Y193" s="118"/>
      <c r="Z193" s="118"/>
      <c r="AA193" s="118"/>
      <c r="AB193" s="117"/>
      <c r="AC193" s="117"/>
      <c r="AD193" s="117"/>
      <c r="AE193" s="117"/>
      <c r="AF193" s="117"/>
      <c r="AG193" s="117"/>
      <c r="AH193" s="117"/>
      <c r="AI193" s="117"/>
      <c r="AJ193" s="117"/>
    </row>
    <row r="194" spans="1:36" ht="24.75" customHeight="1">
      <c r="A194" s="116"/>
      <c r="B194" s="117" t="s">
        <v>1502</v>
      </c>
      <c r="C194" s="117"/>
      <c r="D194" s="117"/>
      <c r="E194" s="117" t="s">
        <v>1272</v>
      </c>
      <c r="F194" s="118" t="s">
        <v>2302</v>
      </c>
      <c r="G194" s="118"/>
      <c r="H194" s="117" t="s">
        <v>424</v>
      </c>
      <c r="I194" s="117" t="s">
        <v>1283</v>
      </c>
      <c r="J194" s="117" t="s">
        <v>2299</v>
      </c>
      <c r="K194" s="123" t="s">
        <v>1762</v>
      </c>
      <c r="L194" s="117" t="s">
        <v>2299</v>
      </c>
      <c r="M194" s="123" t="s">
        <v>2300</v>
      </c>
      <c r="N194" s="117" t="s">
        <v>2296</v>
      </c>
      <c r="O194" s="118"/>
      <c r="P194" s="118"/>
      <c r="Q194" s="117"/>
      <c r="R194" s="117"/>
      <c r="S194" s="117"/>
      <c r="T194" s="117"/>
      <c r="U194" s="117"/>
      <c r="V194" s="123"/>
      <c r="W194" s="117"/>
      <c r="X194" s="118"/>
      <c r="Y194" s="118"/>
      <c r="Z194" s="118"/>
      <c r="AA194" s="118"/>
      <c r="AB194" s="117"/>
      <c r="AC194" s="117"/>
      <c r="AD194" s="117"/>
      <c r="AE194" s="117"/>
      <c r="AF194" s="117"/>
      <c r="AG194" s="117"/>
      <c r="AH194" s="117"/>
      <c r="AI194" s="117"/>
      <c r="AJ194" s="117"/>
    </row>
    <row r="195" spans="1:36" ht="24.75" customHeight="1">
      <c r="A195" s="116"/>
      <c r="B195" s="117" t="s">
        <v>1502</v>
      </c>
      <c r="C195" s="117"/>
      <c r="D195" s="117"/>
      <c r="E195" s="117" t="s">
        <v>1272</v>
      </c>
      <c r="F195" s="118" t="s">
        <v>2303</v>
      </c>
      <c r="G195" s="118"/>
      <c r="H195" s="117" t="s">
        <v>424</v>
      </c>
      <c r="I195" s="117" t="s">
        <v>1283</v>
      </c>
      <c r="J195" s="117" t="s">
        <v>151</v>
      </c>
      <c r="K195" s="123" t="s">
        <v>1762</v>
      </c>
      <c r="L195" s="117" t="s">
        <v>151</v>
      </c>
      <c r="M195" s="123" t="s">
        <v>152</v>
      </c>
      <c r="N195" s="117" t="s">
        <v>2304</v>
      </c>
      <c r="O195" s="118"/>
      <c r="P195" s="118"/>
      <c r="Q195" s="117"/>
      <c r="R195" s="117"/>
      <c r="S195" s="117"/>
      <c r="T195" s="117"/>
      <c r="U195" s="117"/>
      <c r="V195" s="123"/>
      <c r="W195" s="117"/>
      <c r="X195" s="118"/>
      <c r="Y195" s="118"/>
      <c r="Z195" s="118"/>
      <c r="AA195" s="118"/>
      <c r="AB195" s="117"/>
      <c r="AC195" s="117"/>
      <c r="AD195" s="117"/>
      <c r="AE195" s="117"/>
      <c r="AF195" s="117"/>
      <c r="AG195" s="117"/>
      <c r="AH195" s="117"/>
      <c r="AI195" s="117"/>
      <c r="AJ195" s="117"/>
    </row>
    <row r="196" spans="1:36" ht="24.75" customHeight="1">
      <c r="A196" s="116"/>
      <c r="B196" s="117" t="s">
        <v>1502</v>
      </c>
      <c r="C196" s="117"/>
      <c r="D196" s="117"/>
      <c r="E196" s="117" t="s">
        <v>1272</v>
      </c>
      <c r="F196" s="118" t="s">
        <v>2305</v>
      </c>
      <c r="G196" s="118"/>
      <c r="H196" s="117" t="s">
        <v>424</v>
      </c>
      <c r="I196" s="117" t="s">
        <v>1283</v>
      </c>
      <c r="J196" s="117" t="s">
        <v>151</v>
      </c>
      <c r="K196" s="123" t="s">
        <v>1762</v>
      </c>
      <c r="L196" s="117" t="s">
        <v>151</v>
      </c>
      <c r="M196" s="123" t="s">
        <v>152</v>
      </c>
      <c r="N196" s="117" t="s">
        <v>1616</v>
      </c>
      <c r="O196" s="118"/>
      <c r="P196" s="118"/>
      <c r="Q196" s="117"/>
      <c r="R196" s="117"/>
      <c r="S196" s="117"/>
      <c r="T196" s="117"/>
      <c r="U196" s="117"/>
      <c r="V196" s="123"/>
      <c r="W196" s="117"/>
      <c r="X196" s="118"/>
      <c r="Y196" s="118"/>
      <c r="Z196" s="118"/>
      <c r="AA196" s="118"/>
      <c r="AB196" s="117"/>
      <c r="AC196" s="117"/>
      <c r="AD196" s="117"/>
      <c r="AE196" s="117"/>
      <c r="AF196" s="117"/>
      <c r="AG196" s="117"/>
      <c r="AH196" s="117"/>
      <c r="AI196" s="117"/>
      <c r="AJ196" s="117"/>
    </row>
    <row r="197" spans="1:36" ht="24.75" customHeight="1">
      <c r="A197" s="116"/>
      <c r="B197" s="117" t="s">
        <v>1502</v>
      </c>
      <c r="C197" s="117"/>
      <c r="D197" s="117"/>
      <c r="E197" s="117" t="s">
        <v>1272</v>
      </c>
      <c r="F197" s="118" t="s">
        <v>2306</v>
      </c>
      <c r="G197" s="118"/>
      <c r="H197" s="117" t="s">
        <v>1283</v>
      </c>
      <c r="I197" s="117" t="s">
        <v>1283</v>
      </c>
      <c r="J197" s="117" t="s">
        <v>2307</v>
      </c>
      <c r="K197" s="123" t="s">
        <v>2177</v>
      </c>
      <c r="L197" s="117" t="s">
        <v>2307</v>
      </c>
      <c r="M197" s="123" t="s">
        <v>2308</v>
      </c>
      <c r="N197" s="117" t="s">
        <v>2296</v>
      </c>
      <c r="O197" s="118"/>
      <c r="P197" s="118"/>
      <c r="Q197" s="117"/>
      <c r="R197" s="117"/>
      <c r="S197" s="117"/>
      <c r="T197" s="117"/>
      <c r="U197" s="117"/>
      <c r="V197" s="123"/>
      <c r="W197" s="117"/>
      <c r="X197" s="118"/>
      <c r="Y197" s="118"/>
      <c r="Z197" s="118"/>
      <c r="AA197" s="118"/>
      <c r="AB197" s="117"/>
      <c r="AC197" s="117"/>
      <c r="AD197" s="117"/>
      <c r="AE197" s="117"/>
      <c r="AF197" s="117"/>
      <c r="AG197" s="117"/>
      <c r="AH197" s="117"/>
      <c r="AI197" s="117"/>
      <c r="AJ197" s="117"/>
    </row>
    <row r="198" spans="1:36" ht="24.75" customHeight="1">
      <c r="A198" s="116"/>
      <c r="B198" s="117" t="s">
        <v>1502</v>
      </c>
      <c r="C198" s="117"/>
      <c r="D198" s="117"/>
      <c r="E198" s="117" t="s">
        <v>1272</v>
      </c>
      <c r="F198" s="118" t="s">
        <v>2309</v>
      </c>
      <c r="G198" s="118"/>
      <c r="H198" s="117" t="s">
        <v>424</v>
      </c>
      <c r="I198" s="117" t="s">
        <v>1283</v>
      </c>
      <c r="J198" s="117" t="s">
        <v>2307</v>
      </c>
      <c r="K198" s="123" t="s">
        <v>2177</v>
      </c>
      <c r="L198" s="117" t="s">
        <v>2307</v>
      </c>
      <c r="M198" s="123" t="s">
        <v>2308</v>
      </c>
      <c r="N198" s="117" t="s">
        <v>2215</v>
      </c>
      <c r="O198" s="118"/>
      <c r="P198" s="118"/>
      <c r="Q198" s="117"/>
      <c r="R198" s="117"/>
      <c r="S198" s="117"/>
      <c r="T198" s="117"/>
      <c r="U198" s="117"/>
      <c r="V198" s="123"/>
      <c r="W198" s="117"/>
      <c r="X198" s="118"/>
      <c r="Y198" s="118"/>
      <c r="Z198" s="118"/>
      <c r="AA198" s="118"/>
      <c r="AB198" s="117"/>
      <c r="AC198" s="117"/>
      <c r="AD198" s="117"/>
      <c r="AE198" s="117"/>
      <c r="AF198" s="117"/>
      <c r="AG198" s="117"/>
      <c r="AH198" s="117"/>
      <c r="AI198" s="117"/>
      <c r="AJ198" s="117"/>
    </row>
    <row r="199" spans="1:36" ht="24.75" customHeight="1">
      <c r="A199" s="116"/>
      <c r="B199" s="117" t="s">
        <v>1502</v>
      </c>
      <c r="C199" s="117"/>
      <c r="D199" s="117"/>
      <c r="E199" s="117" t="s">
        <v>1272</v>
      </c>
      <c r="F199" s="118" t="s">
        <v>2310</v>
      </c>
      <c r="G199" s="118"/>
      <c r="H199" s="117" t="s">
        <v>1283</v>
      </c>
      <c r="I199" s="117" t="s">
        <v>1283</v>
      </c>
      <c r="J199" s="117"/>
      <c r="K199" s="123"/>
      <c r="L199" s="117"/>
      <c r="M199" s="123"/>
      <c r="N199" s="117"/>
      <c r="O199" s="118"/>
      <c r="P199" s="118"/>
      <c r="Q199" s="117"/>
      <c r="R199" s="117"/>
      <c r="S199" s="117"/>
      <c r="T199" s="117"/>
      <c r="U199" s="117"/>
      <c r="V199" s="123"/>
      <c r="W199" s="117"/>
      <c r="X199" s="118"/>
      <c r="Y199" s="118"/>
      <c r="Z199" s="118"/>
      <c r="AA199" s="118"/>
      <c r="AB199" s="117"/>
      <c r="AC199" s="117"/>
      <c r="AD199" s="117"/>
      <c r="AE199" s="117"/>
      <c r="AF199" s="117"/>
      <c r="AG199" s="117"/>
      <c r="AH199" s="117"/>
      <c r="AI199" s="117"/>
      <c r="AJ199" s="117"/>
    </row>
    <row r="200" spans="1:36" ht="24.75" customHeight="1">
      <c r="A200" s="116"/>
      <c r="B200" s="117" t="s">
        <v>1502</v>
      </c>
      <c r="C200" s="117"/>
      <c r="D200" s="117"/>
      <c r="E200" s="117" t="s">
        <v>1272</v>
      </c>
      <c r="F200" s="118" t="s">
        <v>2311</v>
      </c>
      <c r="G200" s="118"/>
      <c r="H200" s="117" t="s">
        <v>1283</v>
      </c>
      <c r="I200" s="117" t="s">
        <v>1283</v>
      </c>
      <c r="J200" s="117" t="s">
        <v>2312</v>
      </c>
      <c r="K200" s="123" t="s">
        <v>2177</v>
      </c>
      <c r="L200" s="117" t="s">
        <v>2312</v>
      </c>
      <c r="M200" s="123" t="s">
        <v>2313</v>
      </c>
      <c r="N200" s="117" t="s">
        <v>2296</v>
      </c>
      <c r="O200" s="118"/>
      <c r="P200" s="118"/>
      <c r="Q200" s="117"/>
      <c r="R200" s="117"/>
      <c r="S200" s="117"/>
      <c r="T200" s="117"/>
      <c r="U200" s="117"/>
      <c r="V200" s="123"/>
      <c r="W200" s="117"/>
      <c r="X200" s="118"/>
      <c r="Y200" s="118"/>
      <c r="Z200" s="118"/>
      <c r="AA200" s="118"/>
      <c r="AB200" s="117"/>
      <c r="AC200" s="117"/>
      <c r="AD200" s="117"/>
      <c r="AE200" s="117"/>
      <c r="AF200" s="117"/>
      <c r="AG200" s="117"/>
      <c r="AH200" s="117"/>
      <c r="AI200" s="117"/>
      <c r="AJ200" s="117"/>
    </row>
    <row r="201" spans="1:36" ht="24.75" customHeight="1">
      <c r="A201" s="116"/>
      <c r="B201" s="117" t="s">
        <v>1502</v>
      </c>
      <c r="C201" s="117"/>
      <c r="D201" s="117"/>
      <c r="E201" s="117" t="s">
        <v>1272</v>
      </c>
      <c r="F201" s="118" t="s">
        <v>2314</v>
      </c>
      <c r="G201" s="118"/>
      <c r="H201" s="117" t="s">
        <v>1283</v>
      </c>
      <c r="I201" s="117" t="s">
        <v>1283</v>
      </c>
      <c r="J201" s="117" t="s">
        <v>2312</v>
      </c>
      <c r="K201" s="123" t="s">
        <v>2177</v>
      </c>
      <c r="L201" s="117" t="s">
        <v>2312</v>
      </c>
      <c r="M201" s="123" t="s">
        <v>2313</v>
      </c>
      <c r="N201" s="117" t="s">
        <v>2296</v>
      </c>
      <c r="O201" s="118"/>
      <c r="P201" s="118"/>
      <c r="Q201" s="117"/>
      <c r="R201" s="117"/>
      <c r="S201" s="117"/>
      <c r="T201" s="117"/>
      <c r="U201" s="117"/>
      <c r="V201" s="123"/>
      <c r="W201" s="117"/>
      <c r="X201" s="118"/>
      <c r="Y201" s="118"/>
      <c r="Z201" s="118"/>
      <c r="AA201" s="118"/>
      <c r="AB201" s="117"/>
      <c r="AC201" s="117"/>
      <c r="AD201" s="117"/>
      <c r="AE201" s="117"/>
      <c r="AF201" s="117"/>
      <c r="AG201" s="117"/>
      <c r="AH201" s="117"/>
      <c r="AI201" s="117"/>
      <c r="AJ201" s="117"/>
    </row>
    <row r="202" spans="1:36" ht="24.75" customHeight="1">
      <c r="A202" s="116"/>
      <c r="B202" s="117" t="s">
        <v>1502</v>
      </c>
      <c r="C202" s="117"/>
      <c r="D202" s="117"/>
      <c r="E202" s="117" t="s">
        <v>1272</v>
      </c>
      <c r="F202" s="118" t="s">
        <v>2315</v>
      </c>
      <c r="G202" s="118"/>
      <c r="H202" s="117" t="s">
        <v>1283</v>
      </c>
      <c r="I202" s="117" t="s">
        <v>1283</v>
      </c>
      <c r="J202" s="117"/>
      <c r="K202" s="123"/>
      <c r="L202" s="117"/>
      <c r="M202" s="123"/>
      <c r="N202" s="117"/>
      <c r="O202" s="118"/>
      <c r="P202" s="118"/>
      <c r="Q202" s="117"/>
      <c r="R202" s="117"/>
      <c r="S202" s="117"/>
      <c r="T202" s="117"/>
      <c r="U202" s="117"/>
      <c r="V202" s="123"/>
      <c r="W202" s="117"/>
      <c r="X202" s="118"/>
      <c r="Y202" s="118"/>
      <c r="Z202" s="118"/>
      <c r="AA202" s="118"/>
      <c r="AB202" s="117"/>
      <c r="AC202" s="117"/>
      <c r="AD202" s="117"/>
      <c r="AE202" s="117"/>
      <c r="AF202" s="117"/>
      <c r="AG202" s="117"/>
      <c r="AH202" s="117"/>
      <c r="AI202" s="117"/>
      <c r="AJ202" s="117"/>
    </row>
    <row r="203" spans="1:36" ht="24.75" customHeight="1">
      <c r="A203" s="116"/>
      <c r="B203" s="117" t="s">
        <v>1502</v>
      </c>
      <c r="C203" s="117"/>
      <c r="D203" s="117"/>
      <c r="E203" s="117" t="s">
        <v>1272</v>
      </c>
      <c r="F203" s="118" t="s">
        <v>2316</v>
      </c>
      <c r="G203" s="118"/>
      <c r="H203" s="117" t="s">
        <v>1283</v>
      </c>
      <c r="I203" s="117" t="s">
        <v>1283</v>
      </c>
      <c r="J203" s="117" t="s">
        <v>2317</v>
      </c>
      <c r="K203" s="123" t="s">
        <v>2177</v>
      </c>
      <c r="L203" s="117" t="s">
        <v>2318</v>
      </c>
      <c r="M203" s="123" t="s">
        <v>2319</v>
      </c>
      <c r="N203" s="117" t="s">
        <v>2296</v>
      </c>
      <c r="O203" s="118"/>
      <c r="P203" s="118"/>
      <c r="Q203" s="117"/>
      <c r="R203" s="117"/>
      <c r="S203" s="117"/>
      <c r="T203" s="117"/>
      <c r="U203" s="117"/>
      <c r="V203" s="123"/>
      <c r="W203" s="117"/>
      <c r="X203" s="118"/>
      <c r="Y203" s="118"/>
      <c r="Z203" s="118"/>
      <c r="AA203" s="118"/>
      <c r="AB203" s="117"/>
      <c r="AC203" s="117"/>
      <c r="AD203" s="117"/>
      <c r="AE203" s="117"/>
      <c r="AF203" s="117"/>
      <c r="AG203" s="117"/>
      <c r="AH203" s="117"/>
      <c r="AI203" s="117"/>
      <c r="AJ203" s="117"/>
    </row>
    <row r="204" spans="1:36" ht="24.75" customHeight="1">
      <c r="A204" s="116"/>
      <c r="B204" s="117" t="s">
        <v>1502</v>
      </c>
      <c r="C204" s="117"/>
      <c r="D204" s="117"/>
      <c r="E204" s="117" t="s">
        <v>1272</v>
      </c>
      <c r="F204" s="118" t="s">
        <v>2320</v>
      </c>
      <c r="G204" s="118"/>
      <c r="H204" s="117" t="s">
        <v>1283</v>
      </c>
      <c r="I204" s="117" t="s">
        <v>1283</v>
      </c>
      <c r="J204" s="117"/>
      <c r="K204" s="123"/>
      <c r="L204" s="117"/>
      <c r="M204" s="123"/>
      <c r="N204" s="117"/>
      <c r="O204" s="118"/>
      <c r="P204" s="118"/>
      <c r="Q204" s="117"/>
      <c r="R204" s="117"/>
      <c r="S204" s="117"/>
      <c r="T204" s="117"/>
      <c r="U204" s="117"/>
      <c r="V204" s="123"/>
      <c r="W204" s="117"/>
      <c r="X204" s="118"/>
      <c r="Y204" s="118"/>
      <c r="Z204" s="118"/>
      <c r="AA204" s="118"/>
      <c r="AB204" s="117"/>
      <c r="AC204" s="117"/>
      <c r="AD204" s="117"/>
      <c r="AE204" s="117"/>
      <c r="AF204" s="117"/>
      <c r="AG204" s="117"/>
      <c r="AH204" s="117"/>
      <c r="AI204" s="117"/>
      <c r="AJ204" s="117"/>
    </row>
    <row r="205" spans="1:36" ht="24.75" customHeight="1">
      <c r="A205" s="116"/>
      <c r="B205" s="117" t="s">
        <v>1502</v>
      </c>
      <c r="C205" s="117"/>
      <c r="D205" s="117"/>
      <c r="E205" s="117" t="s">
        <v>1272</v>
      </c>
      <c r="F205" s="118" t="s">
        <v>2321</v>
      </c>
      <c r="G205" s="118"/>
      <c r="H205" s="117" t="s">
        <v>1283</v>
      </c>
      <c r="I205" s="117" t="s">
        <v>1283</v>
      </c>
      <c r="J205" s="117"/>
      <c r="K205" s="123"/>
      <c r="L205" s="117"/>
      <c r="M205" s="123"/>
      <c r="N205" s="117"/>
      <c r="O205" s="118"/>
      <c r="P205" s="118"/>
      <c r="Q205" s="117"/>
      <c r="R205" s="117"/>
      <c r="S205" s="117"/>
      <c r="T205" s="117"/>
      <c r="U205" s="117"/>
      <c r="V205" s="123"/>
      <c r="W205" s="117"/>
      <c r="X205" s="118"/>
      <c r="Y205" s="118"/>
      <c r="Z205" s="118"/>
      <c r="AA205" s="118"/>
      <c r="AB205" s="117"/>
      <c r="AC205" s="117"/>
      <c r="AD205" s="117"/>
      <c r="AE205" s="117"/>
      <c r="AF205" s="117"/>
      <c r="AG205" s="117"/>
      <c r="AH205" s="117"/>
      <c r="AI205" s="117"/>
      <c r="AJ205" s="117"/>
    </row>
    <row r="206" spans="1:36" ht="24.75" customHeight="1">
      <c r="A206" s="116"/>
      <c r="B206" s="117" t="s">
        <v>1502</v>
      </c>
      <c r="C206" s="117"/>
      <c r="D206" s="117"/>
      <c r="E206" s="117" t="s">
        <v>1272</v>
      </c>
      <c r="F206" s="118" t="s">
        <v>2322</v>
      </c>
      <c r="G206" s="118"/>
      <c r="H206" s="117" t="s">
        <v>298</v>
      </c>
      <c r="I206" s="117"/>
      <c r="J206" s="117" t="s">
        <v>319</v>
      </c>
      <c r="K206" s="123" t="s">
        <v>1274</v>
      </c>
      <c r="L206" s="117" t="s">
        <v>319</v>
      </c>
      <c r="M206" s="123" t="s">
        <v>1442</v>
      </c>
      <c r="N206" s="117" t="s">
        <v>2253</v>
      </c>
      <c r="O206" s="118" t="s">
        <v>2323</v>
      </c>
      <c r="P206" s="118"/>
      <c r="Q206" s="117"/>
      <c r="R206" s="117"/>
      <c r="S206" s="117"/>
      <c r="T206" s="117"/>
      <c r="U206" s="117"/>
      <c r="V206" s="123"/>
      <c r="W206" s="117"/>
      <c r="X206" s="128" t="s">
        <v>2324</v>
      </c>
      <c r="Y206" s="118"/>
      <c r="Z206" s="128" t="s">
        <v>2325</v>
      </c>
      <c r="AA206" s="118"/>
      <c r="AB206" s="117"/>
      <c r="AC206" s="117"/>
      <c r="AD206" s="117"/>
      <c r="AE206" s="117"/>
      <c r="AF206" s="117"/>
      <c r="AG206" s="117"/>
      <c r="AH206" s="117"/>
      <c r="AI206" s="117"/>
      <c r="AJ206" s="117"/>
    </row>
    <row r="207" spans="1:36" ht="24.75" customHeight="1">
      <c r="A207" s="116"/>
      <c r="B207" s="117" t="s">
        <v>1502</v>
      </c>
      <c r="C207" s="117"/>
      <c r="D207" s="117"/>
      <c r="E207" s="117" t="s">
        <v>1272</v>
      </c>
      <c r="F207" s="118" t="s">
        <v>2326</v>
      </c>
      <c r="G207" s="118"/>
      <c r="H207" s="117" t="s">
        <v>298</v>
      </c>
      <c r="I207" s="117"/>
      <c r="J207" s="117" t="s">
        <v>319</v>
      </c>
      <c r="K207" s="123" t="s">
        <v>1274</v>
      </c>
      <c r="L207" s="117" t="s">
        <v>319</v>
      </c>
      <c r="M207" s="123" t="s">
        <v>1442</v>
      </c>
      <c r="N207" s="117" t="s">
        <v>2327</v>
      </c>
      <c r="O207" s="118" t="s">
        <v>424</v>
      </c>
      <c r="P207" s="118"/>
      <c r="Q207" s="117"/>
      <c r="R207" s="117"/>
      <c r="S207" s="117"/>
      <c r="T207" s="117"/>
      <c r="U207" s="117"/>
      <c r="V207" s="123"/>
      <c r="W207" s="117"/>
      <c r="X207" s="128" t="s">
        <v>2328</v>
      </c>
      <c r="Y207" s="128"/>
      <c r="Z207" s="128" t="s">
        <v>2329</v>
      </c>
      <c r="AA207" s="118" t="s">
        <v>2330</v>
      </c>
      <c r="AB207" s="117"/>
      <c r="AC207" s="117"/>
      <c r="AD207" s="117"/>
      <c r="AE207" s="117"/>
      <c r="AF207" s="117"/>
      <c r="AG207" s="117"/>
      <c r="AH207" s="117"/>
      <c r="AI207" s="117"/>
      <c r="AJ207" s="117"/>
    </row>
    <row r="208" spans="1:36" ht="24.75" customHeight="1">
      <c r="A208" s="116"/>
      <c r="B208" s="117" t="s">
        <v>1502</v>
      </c>
      <c r="C208" s="117"/>
      <c r="D208" s="117"/>
      <c r="E208" s="117" t="s">
        <v>1272</v>
      </c>
      <c r="F208" s="118" t="s">
        <v>2331</v>
      </c>
      <c r="G208" s="118"/>
      <c r="H208" s="117" t="s">
        <v>424</v>
      </c>
      <c r="I208" s="117" t="s">
        <v>1283</v>
      </c>
      <c r="J208" s="117" t="s">
        <v>308</v>
      </c>
      <c r="K208" s="123" t="s">
        <v>2332</v>
      </c>
      <c r="L208" s="117" t="s">
        <v>308</v>
      </c>
      <c r="M208" s="123" t="s">
        <v>2333</v>
      </c>
      <c r="N208" s="117" t="s">
        <v>2334</v>
      </c>
      <c r="O208" s="118" t="s">
        <v>2335</v>
      </c>
      <c r="P208" s="118"/>
      <c r="Q208" s="117"/>
      <c r="R208" s="117"/>
      <c r="S208" s="117"/>
      <c r="T208" s="117"/>
      <c r="U208" s="117"/>
      <c r="V208" s="123"/>
      <c r="W208" s="117"/>
      <c r="X208" s="128" t="s">
        <v>2336</v>
      </c>
      <c r="Y208" s="128" t="s">
        <v>2337</v>
      </c>
      <c r="Z208" s="128" t="s">
        <v>2338</v>
      </c>
      <c r="AA208" s="118"/>
      <c r="AB208" s="117"/>
      <c r="AC208" s="117"/>
      <c r="AD208" s="117"/>
      <c r="AE208" s="117"/>
      <c r="AF208" s="117"/>
      <c r="AG208" s="117"/>
      <c r="AH208" s="117"/>
      <c r="AI208" s="117"/>
      <c r="AJ208" s="117"/>
    </row>
    <row r="209" spans="1:36" ht="24.75" customHeight="1">
      <c r="A209" s="116"/>
      <c r="B209" s="117" t="s">
        <v>1502</v>
      </c>
      <c r="C209" s="117"/>
      <c r="D209" s="117"/>
      <c r="E209" s="117" t="s">
        <v>1272</v>
      </c>
      <c r="F209" s="157" t="s">
        <v>1129</v>
      </c>
      <c r="G209" s="118" t="s">
        <v>2339</v>
      </c>
      <c r="H209" s="117" t="s">
        <v>298</v>
      </c>
      <c r="I209" s="117"/>
      <c r="J209" s="117" t="s">
        <v>269</v>
      </c>
      <c r="K209" s="123" t="s">
        <v>1274</v>
      </c>
      <c r="L209" s="117" t="s">
        <v>269</v>
      </c>
      <c r="M209" s="123" t="s">
        <v>1351</v>
      </c>
      <c r="N209" s="117" t="s">
        <v>1294</v>
      </c>
      <c r="O209" s="118" t="s">
        <v>2340</v>
      </c>
      <c r="P209" s="118" t="s">
        <v>1951</v>
      </c>
      <c r="Q209" s="117"/>
      <c r="R209" s="117"/>
      <c r="S209" s="117"/>
      <c r="T209" s="117"/>
      <c r="U209" s="117"/>
      <c r="V209" s="123" t="s">
        <v>2341</v>
      </c>
      <c r="W209" s="117" t="s">
        <v>1370</v>
      </c>
      <c r="X209" s="182" t="s">
        <v>2342</v>
      </c>
      <c r="Y209" s="118"/>
      <c r="Z209" s="128" t="s">
        <v>2343</v>
      </c>
      <c r="AA209" s="118" t="s">
        <v>2344</v>
      </c>
      <c r="AB209" s="117"/>
      <c r="AC209" s="117"/>
      <c r="AD209" s="117"/>
      <c r="AE209" s="117"/>
      <c r="AF209" s="117"/>
      <c r="AG209" s="117"/>
      <c r="AH209" s="117"/>
      <c r="AI209" s="117"/>
      <c r="AJ209" s="117"/>
    </row>
    <row r="210" spans="1:36" ht="24.75" customHeight="1">
      <c r="A210" s="116"/>
      <c r="B210" s="117" t="s">
        <v>1502</v>
      </c>
      <c r="C210" s="117" t="s">
        <v>1343</v>
      </c>
      <c r="D210" s="117"/>
      <c r="E210" s="117" t="s">
        <v>1272</v>
      </c>
      <c r="F210" s="159" t="s">
        <v>329</v>
      </c>
      <c r="G210" s="118" t="s">
        <v>2345</v>
      </c>
      <c r="H210" s="117" t="s">
        <v>298</v>
      </c>
      <c r="I210" s="117"/>
      <c r="J210" s="117" t="s">
        <v>269</v>
      </c>
      <c r="K210" s="123" t="s">
        <v>1274</v>
      </c>
      <c r="L210" s="117" t="s">
        <v>269</v>
      </c>
      <c r="M210" s="123" t="s">
        <v>1351</v>
      </c>
      <c r="N210" s="117" t="s">
        <v>1294</v>
      </c>
      <c r="O210" s="118" t="s">
        <v>2346</v>
      </c>
      <c r="P210" s="118" t="s">
        <v>1320</v>
      </c>
      <c r="Q210" s="117"/>
      <c r="R210" s="117"/>
      <c r="S210" s="117"/>
      <c r="T210" s="117"/>
      <c r="U210" s="117"/>
      <c r="V210" s="123" t="s">
        <v>2347</v>
      </c>
      <c r="W210" s="117" t="s">
        <v>1370</v>
      </c>
      <c r="X210" s="128" t="s">
        <v>2348</v>
      </c>
      <c r="Y210" s="118"/>
      <c r="Z210" s="128" t="s">
        <v>2349</v>
      </c>
      <c r="AA210" s="118" t="s">
        <v>2350</v>
      </c>
      <c r="AB210" s="117"/>
      <c r="AC210" s="117"/>
      <c r="AD210" s="117"/>
      <c r="AE210" s="117"/>
      <c r="AF210" s="117"/>
      <c r="AG210" s="117"/>
      <c r="AH210" s="117"/>
      <c r="AI210" s="117"/>
      <c r="AJ210" s="117"/>
    </row>
    <row r="211" spans="1:36" ht="24.75" customHeight="1">
      <c r="A211" s="116"/>
      <c r="B211" s="117" t="s">
        <v>1502</v>
      </c>
      <c r="C211" s="117"/>
      <c r="D211" s="117"/>
      <c r="E211" s="117" t="s">
        <v>1272</v>
      </c>
      <c r="F211" s="157" t="s">
        <v>349</v>
      </c>
      <c r="G211" s="118" t="s">
        <v>2351</v>
      </c>
      <c r="H211" s="117" t="s">
        <v>298</v>
      </c>
      <c r="I211" s="117"/>
      <c r="J211" s="117" t="s">
        <v>269</v>
      </c>
      <c r="K211" s="123" t="s">
        <v>1274</v>
      </c>
      <c r="L211" s="117" t="s">
        <v>269</v>
      </c>
      <c r="M211" s="123" t="s">
        <v>1351</v>
      </c>
      <c r="N211" s="117" t="s">
        <v>1294</v>
      </c>
      <c r="O211" s="118" t="s">
        <v>2352</v>
      </c>
      <c r="P211" s="118" t="s">
        <v>2353</v>
      </c>
      <c r="Q211" s="117"/>
      <c r="R211" s="117"/>
      <c r="S211" s="117"/>
      <c r="T211" s="117"/>
      <c r="U211" s="117"/>
      <c r="V211" s="123" t="s">
        <v>2354</v>
      </c>
      <c r="W211" s="117" t="s">
        <v>1370</v>
      </c>
      <c r="X211" s="128" t="s">
        <v>2355</v>
      </c>
      <c r="Y211" s="118"/>
      <c r="Z211" s="128" t="s">
        <v>2356</v>
      </c>
      <c r="AA211" s="118" t="s">
        <v>2357</v>
      </c>
      <c r="AB211" s="117"/>
      <c r="AC211" s="117"/>
      <c r="AD211" s="117"/>
      <c r="AE211" s="117"/>
      <c r="AF211" s="117"/>
      <c r="AG211" s="117"/>
      <c r="AH211" s="117"/>
      <c r="AI211" s="117"/>
      <c r="AJ211" s="117"/>
    </row>
    <row r="212" spans="1:36" ht="24.75" customHeight="1">
      <c r="A212" s="116"/>
      <c r="B212" s="117" t="s">
        <v>1502</v>
      </c>
      <c r="C212" s="117"/>
      <c r="D212" s="117"/>
      <c r="E212" s="117" t="s">
        <v>1272</v>
      </c>
      <c r="F212" s="157" t="s">
        <v>2358</v>
      </c>
      <c r="G212" s="118" t="s">
        <v>2359</v>
      </c>
      <c r="H212" s="117" t="s">
        <v>298</v>
      </c>
      <c r="I212" s="117"/>
      <c r="J212" s="117" t="s">
        <v>269</v>
      </c>
      <c r="K212" s="123" t="s">
        <v>1274</v>
      </c>
      <c r="L212" s="117" t="s">
        <v>269</v>
      </c>
      <c r="M212" s="123" t="s">
        <v>1293</v>
      </c>
      <c r="N212" s="117" t="s">
        <v>1294</v>
      </c>
      <c r="O212" s="118" t="s">
        <v>2360</v>
      </c>
      <c r="P212" s="118" t="s">
        <v>2361</v>
      </c>
      <c r="Q212" s="117"/>
      <c r="R212" s="117"/>
      <c r="S212" s="117"/>
      <c r="T212" s="117"/>
      <c r="U212" s="117"/>
      <c r="V212" s="123"/>
      <c r="W212" s="117" t="s">
        <v>1370</v>
      </c>
      <c r="X212" s="171" t="s">
        <v>2362</v>
      </c>
      <c r="Y212" s="118"/>
      <c r="Z212" s="128" t="s">
        <v>2363</v>
      </c>
      <c r="AA212" s="118" t="s">
        <v>2364</v>
      </c>
      <c r="AB212" s="117"/>
      <c r="AC212" s="117"/>
      <c r="AD212" s="117"/>
      <c r="AE212" s="117"/>
      <c r="AF212" s="117"/>
      <c r="AG212" s="117"/>
      <c r="AH212" s="117"/>
      <c r="AI212" s="117"/>
      <c r="AJ212" s="117"/>
    </row>
    <row r="213" spans="1:36" ht="24.75" customHeight="1">
      <c r="A213" s="116"/>
      <c r="B213" s="117" t="s">
        <v>1502</v>
      </c>
      <c r="C213" s="117" t="s">
        <v>1343</v>
      </c>
      <c r="D213" s="117"/>
      <c r="E213" s="117" t="s">
        <v>1272</v>
      </c>
      <c r="F213" s="159" t="s">
        <v>328</v>
      </c>
      <c r="G213" s="118" t="s">
        <v>2365</v>
      </c>
      <c r="H213" s="117" t="s">
        <v>298</v>
      </c>
      <c r="I213" s="117"/>
      <c r="J213" s="117" t="s">
        <v>269</v>
      </c>
      <c r="K213" s="123" t="s">
        <v>1274</v>
      </c>
      <c r="L213" s="117" t="s">
        <v>269</v>
      </c>
      <c r="M213" s="123" t="s">
        <v>1293</v>
      </c>
      <c r="N213" s="117" t="s">
        <v>1294</v>
      </c>
      <c r="O213" s="118" t="s">
        <v>2366</v>
      </c>
      <c r="P213" s="118"/>
      <c r="Q213" s="117"/>
      <c r="R213" s="117"/>
      <c r="S213" s="117"/>
      <c r="T213" s="117"/>
      <c r="U213" s="117"/>
      <c r="V213" s="123"/>
      <c r="W213" s="117" t="s">
        <v>1370</v>
      </c>
      <c r="X213" s="172" t="s">
        <v>2367</v>
      </c>
      <c r="Y213" s="118"/>
      <c r="Z213" s="128" t="s">
        <v>2368</v>
      </c>
      <c r="AA213" s="118" t="s">
        <v>2369</v>
      </c>
      <c r="AB213" s="117"/>
      <c r="AC213" s="117"/>
      <c r="AD213" s="117"/>
      <c r="AE213" s="117"/>
      <c r="AF213" s="117"/>
      <c r="AG213" s="117"/>
      <c r="AH213" s="117"/>
      <c r="AI213" s="117"/>
      <c r="AJ213" s="117"/>
    </row>
    <row r="214" spans="1:36" ht="24.75" customHeight="1">
      <c r="A214" s="116"/>
      <c r="B214" s="117" t="s">
        <v>1502</v>
      </c>
      <c r="C214" s="117" t="s">
        <v>1343</v>
      </c>
      <c r="D214" s="117"/>
      <c r="E214" s="117" t="s">
        <v>1272</v>
      </c>
      <c r="F214" s="159" t="s">
        <v>383</v>
      </c>
      <c r="G214" s="118" t="s">
        <v>2370</v>
      </c>
      <c r="H214" s="117" t="s">
        <v>298</v>
      </c>
      <c r="I214" s="117"/>
      <c r="J214" s="117" t="s">
        <v>269</v>
      </c>
      <c r="K214" s="123" t="s">
        <v>1274</v>
      </c>
      <c r="L214" s="117" t="s">
        <v>269</v>
      </c>
      <c r="M214" s="123" t="s">
        <v>1360</v>
      </c>
      <c r="N214" s="117" t="s">
        <v>1294</v>
      </c>
      <c r="O214" s="118" t="s">
        <v>2371</v>
      </c>
      <c r="P214" s="118" t="s">
        <v>2372</v>
      </c>
      <c r="Q214" s="117"/>
      <c r="R214" s="117"/>
      <c r="S214" s="117"/>
      <c r="T214" s="117"/>
      <c r="U214" s="117"/>
      <c r="V214" s="142" t="s">
        <v>2373</v>
      </c>
      <c r="W214" s="117" t="s">
        <v>2374</v>
      </c>
      <c r="X214" s="128" t="s">
        <v>2375</v>
      </c>
      <c r="Y214" s="118"/>
      <c r="Z214" s="177" t="s">
        <v>2376</v>
      </c>
      <c r="AA214" s="118"/>
      <c r="AB214" s="117" t="s">
        <v>1300</v>
      </c>
      <c r="AC214" s="117" t="s">
        <v>1300</v>
      </c>
      <c r="AD214" s="117" t="s">
        <v>1300</v>
      </c>
      <c r="AE214" s="117" t="s">
        <v>1300</v>
      </c>
      <c r="AF214" s="117" t="s">
        <v>432</v>
      </c>
      <c r="AG214" s="117" t="s">
        <v>2377</v>
      </c>
      <c r="AH214" s="117" t="s">
        <v>2378</v>
      </c>
      <c r="AI214" s="117" t="s">
        <v>1685</v>
      </c>
      <c r="AJ214" s="117"/>
    </row>
    <row r="215" spans="1:36" ht="24.75" customHeight="1">
      <c r="A215" s="116"/>
      <c r="B215" s="117" t="s">
        <v>1502</v>
      </c>
      <c r="C215" s="117"/>
      <c r="D215" s="117"/>
      <c r="E215" s="117" t="s">
        <v>1272</v>
      </c>
      <c r="F215" s="118" t="s">
        <v>2379</v>
      </c>
      <c r="G215" s="118" t="s">
        <v>2379</v>
      </c>
      <c r="H215" s="117" t="s">
        <v>298</v>
      </c>
      <c r="I215" s="143" t="s">
        <v>1283</v>
      </c>
      <c r="J215" s="117" t="s">
        <v>282</v>
      </c>
      <c r="K215" s="123"/>
      <c r="L215" s="117" t="s">
        <v>282</v>
      </c>
      <c r="M215" s="123"/>
      <c r="N215" s="117"/>
      <c r="O215" s="118"/>
      <c r="P215" s="118"/>
      <c r="Q215" s="117"/>
      <c r="R215" s="117"/>
      <c r="S215" s="117"/>
      <c r="T215" s="117"/>
      <c r="U215" s="117"/>
      <c r="V215" s="123"/>
      <c r="W215" s="117"/>
      <c r="X215" s="118"/>
      <c r="Y215" s="118"/>
      <c r="Z215" s="118"/>
      <c r="AA215" s="118"/>
      <c r="AB215" s="117"/>
      <c r="AC215" s="117"/>
      <c r="AD215" s="117"/>
      <c r="AE215" s="117"/>
      <c r="AF215" s="117"/>
      <c r="AG215" s="117"/>
      <c r="AH215" s="117"/>
      <c r="AI215" s="117"/>
      <c r="AJ215" s="117"/>
    </row>
    <row r="216" spans="1:36" ht="24.75" customHeight="1">
      <c r="A216" s="116"/>
      <c r="B216" s="117" t="s">
        <v>1469</v>
      </c>
      <c r="C216" s="117"/>
      <c r="D216" s="117"/>
      <c r="E216" s="117" t="s">
        <v>1272</v>
      </c>
      <c r="F216" s="118" t="s">
        <v>2380</v>
      </c>
      <c r="G216" s="118"/>
      <c r="H216" s="117" t="s">
        <v>424</v>
      </c>
      <c r="I216" s="117" t="s">
        <v>1283</v>
      </c>
      <c r="J216" s="117" t="s">
        <v>308</v>
      </c>
      <c r="K216" s="123" t="s">
        <v>2332</v>
      </c>
      <c r="L216" s="117" t="s">
        <v>308</v>
      </c>
      <c r="M216" s="123" t="s">
        <v>2333</v>
      </c>
      <c r="N216" s="117" t="s">
        <v>2253</v>
      </c>
      <c r="O216" s="118"/>
      <c r="P216" s="118"/>
      <c r="Q216" s="117"/>
      <c r="R216" s="117"/>
      <c r="S216" s="117"/>
      <c r="T216" s="117"/>
      <c r="U216" s="117"/>
      <c r="V216" s="123"/>
      <c r="W216" s="117"/>
      <c r="X216" s="118"/>
      <c r="Y216" s="118"/>
      <c r="Z216" s="118"/>
      <c r="AA216" s="118"/>
      <c r="AB216" s="117"/>
      <c r="AC216" s="117"/>
      <c r="AD216" s="117"/>
      <c r="AE216" s="117"/>
      <c r="AF216" s="117"/>
      <c r="AG216" s="117"/>
      <c r="AH216" s="117"/>
      <c r="AI216" s="117"/>
      <c r="AJ216" s="117"/>
    </row>
    <row r="217" spans="1:36" ht="24.75" customHeight="1">
      <c r="A217" s="116"/>
      <c r="B217" s="117" t="s">
        <v>1469</v>
      </c>
      <c r="C217" s="117"/>
      <c r="D217" s="117"/>
      <c r="E217" s="117" t="s">
        <v>1272</v>
      </c>
      <c r="F217" s="118" t="s">
        <v>2381</v>
      </c>
      <c r="G217" s="118"/>
      <c r="H217" s="117" t="s">
        <v>424</v>
      </c>
      <c r="I217" s="117" t="s">
        <v>1283</v>
      </c>
      <c r="J217" s="117" t="s">
        <v>308</v>
      </c>
      <c r="K217" s="123" t="s">
        <v>2332</v>
      </c>
      <c r="L217" s="117" t="s">
        <v>308</v>
      </c>
      <c r="M217" s="123" t="s">
        <v>2382</v>
      </c>
      <c r="N217" s="117" t="s">
        <v>2253</v>
      </c>
      <c r="O217" s="118"/>
      <c r="P217" s="118"/>
      <c r="Q217" s="117"/>
      <c r="R217" s="117"/>
      <c r="S217" s="117"/>
      <c r="T217" s="117"/>
      <c r="U217" s="117"/>
      <c r="V217" s="123"/>
      <c r="W217" s="117"/>
      <c r="X217" s="118"/>
      <c r="Y217" s="118"/>
      <c r="Z217" s="118"/>
      <c r="AA217" s="118"/>
      <c r="AB217" s="117"/>
      <c r="AC217" s="117"/>
      <c r="AD217" s="117"/>
      <c r="AE217" s="117"/>
      <c r="AF217" s="117"/>
      <c r="AG217" s="117"/>
      <c r="AH217" s="117"/>
      <c r="AI217" s="117"/>
      <c r="AJ217" s="117"/>
    </row>
    <row r="218" spans="1:36" ht="24.75" customHeight="1">
      <c r="A218" s="116"/>
      <c r="B218" s="117" t="s">
        <v>1469</v>
      </c>
      <c r="C218" s="117"/>
      <c r="D218" s="117"/>
      <c r="E218" s="117" t="s">
        <v>1272</v>
      </c>
      <c r="F218" s="118" t="s">
        <v>2383</v>
      </c>
      <c r="G218" s="118"/>
      <c r="H218" s="117" t="s">
        <v>424</v>
      </c>
      <c r="I218" s="117" t="s">
        <v>1283</v>
      </c>
      <c r="J218" s="117" t="s">
        <v>308</v>
      </c>
      <c r="K218" s="123" t="s">
        <v>2332</v>
      </c>
      <c r="L218" s="117" t="s">
        <v>308</v>
      </c>
      <c r="M218" s="123" t="s">
        <v>2333</v>
      </c>
      <c r="N218" s="117" t="s">
        <v>2253</v>
      </c>
      <c r="O218" s="118"/>
      <c r="P218" s="118"/>
      <c r="Q218" s="117"/>
      <c r="R218" s="117"/>
      <c r="S218" s="117"/>
      <c r="T218" s="117"/>
      <c r="U218" s="117"/>
      <c r="V218" s="123"/>
      <c r="W218" s="117"/>
      <c r="X218" s="118"/>
      <c r="Y218" s="118"/>
      <c r="Z218" s="118"/>
      <c r="AA218" s="118"/>
      <c r="AB218" s="117"/>
      <c r="AC218" s="117"/>
      <c r="AD218" s="117"/>
      <c r="AE218" s="117"/>
      <c r="AF218" s="117"/>
      <c r="AG218" s="117"/>
      <c r="AH218" s="117"/>
      <c r="AI218" s="117"/>
      <c r="AJ218" s="117"/>
    </row>
    <row r="219" spans="1:36" ht="24.75" customHeight="1">
      <c r="A219" s="116"/>
      <c r="B219" s="117" t="s">
        <v>1469</v>
      </c>
      <c r="C219" s="117"/>
      <c r="D219" s="117"/>
      <c r="E219" s="117" t="s">
        <v>1272</v>
      </c>
      <c r="F219" s="118" t="s">
        <v>2384</v>
      </c>
      <c r="G219" s="118"/>
      <c r="H219" s="117" t="s">
        <v>424</v>
      </c>
      <c r="I219" s="117" t="s">
        <v>1283</v>
      </c>
      <c r="J219" s="117" t="s">
        <v>308</v>
      </c>
      <c r="K219" s="123" t="s">
        <v>2332</v>
      </c>
      <c r="L219" s="117" t="s">
        <v>308</v>
      </c>
      <c r="M219" s="123" t="s">
        <v>2333</v>
      </c>
      <c r="N219" s="117" t="s">
        <v>2253</v>
      </c>
      <c r="O219" s="118"/>
      <c r="P219" s="118"/>
      <c r="Q219" s="117"/>
      <c r="R219" s="117"/>
      <c r="S219" s="117"/>
      <c r="T219" s="117"/>
      <c r="U219" s="117"/>
      <c r="V219" s="123"/>
      <c r="W219" s="117"/>
      <c r="X219" s="118"/>
      <c r="Y219" s="118"/>
      <c r="Z219" s="118"/>
      <c r="AA219" s="118"/>
      <c r="AB219" s="117"/>
      <c r="AC219" s="117"/>
      <c r="AD219" s="117"/>
      <c r="AE219" s="117"/>
      <c r="AF219" s="117"/>
      <c r="AG219" s="117"/>
      <c r="AH219" s="117"/>
      <c r="AI219" s="117"/>
      <c r="AJ219" s="117"/>
    </row>
    <row r="220" spans="1:36" ht="24.75" customHeight="1">
      <c r="A220" s="116"/>
      <c r="B220" s="117" t="s">
        <v>1469</v>
      </c>
      <c r="C220" s="117"/>
      <c r="D220" s="117"/>
      <c r="E220" s="117" t="s">
        <v>1272</v>
      </c>
      <c r="F220" s="118" t="s">
        <v>2385</v>
      </c>
      <c r="G220" s="118"/>
      <c r="H220" s="117" t="s">
        <v>424</v>
      </c>
      <c r="I220" s="117" t="s">
        <v>1283</v>
      </c>
      <c r="J220" s="117" t="s">
        <v>308</v>
      </c>
      <c r="K220" s="123" t="s">
        <v>2332</v>
      </c>
      <c r="L220" s="117" t="s">
        <v>308</v>
      </c>
      <c r="M220" s="123" t="s">
        <v>2333</v>
      </c>
      <c r="N220" s="117" t="s">
        <v>2253</v>
      </c>
      <c r="O220" s="118" t="s">
        <v>2386</v>
      </c>
      <c r="P220" s="118" t="s">
        <v>2387</v>
      </c>
      <c r="Q220" s="117"/>
      <c r="R220" s="117"/>
      <c r="S220" s="117"/>
      <c r="T220" s="117"/>
      <c r="U220" s="117"/>
      <c r="V220" s="123"/>
      <c r="W220" s="117"/>
      <c r="X220" s="128" t="s">
        <v>2388</v>
      </c>
      <c r="Y220" s="118"/>
      <c r="Z220" s="118"/>
      <c r="AA220" s="118"/>
      <c r="AB220" s="117"/>
      <c r="AC220" s="117"/>
      <c r="AD220" s="117"/>
      <c r="AE220" s="117"/>
      <c r="AF220" s="117"/>
      <c r="AG220" s="117"/>
      <c r="AH220" s="117"/>
      <c r="AI220" s="117"/>
      <c r="AJ220" s="117"/>
    </row>
    <row r="221" spans="1:36" ht="24.75" customHeight="1">
      <c r="A221" s="116"/>
      <c r="B221" s="117" t="s">
        <v>1469</v>
      </c>
      <c r="C221" s="117"/>
      <c r="D221" s="117"/>
      <c r="E221" s="117" t="s">
        <v>1272</v>
      </c>
      <c r="F221" s="118" t="s">
        <v>2389</v>
      </c>
      <c r="G221" s="118" t="s">
        <v>2390</v>
      </c>
      <c r="H221" s="117" t="s">
        <v>298</v>
      </c>
      <c r="I221" s="117"/>
      <c r="J221" s="117" t="s">
        <v>1318</v>
      </c>
      <c r="K221" s="123" t="s">
        <v>1274</v>
      </c>
      <c r="L221" s="117" t="s">
        <v>294</v>
      </c>
      <c r="M221" s="123" t="s">
        <v>1514</v>
      </c>
      <c r="N221" s="117" t="s">
        <v>1294</v>
      </c>
      <c r="O221" s="118" t="s">
        <v>2391</v>
      </c>
      <c r="P221" s="118" t="s">
        <v>2217</v>
      </c>
      <c r="Q221" s="117"/>
      <c r="R221" s="117"/>
      <c r="S221" s="117"/>
      <c r="T221" s="117"/>
      <c r="U221" s="117"/>
      <c r="V221" s="123" t="s">
        <v>2392</v>
      </c>
      <c r="W221" s="117"/>
      <c r="X221" s="128" t="s">
        <v>2393</v>
      </c>
      <c r="Y221" s="118"/>
      <c r="Z221" s="118"/>
      <c r="AA221" s="118" t="s">
        <v>2394</v>
      </c>
      <c r="AB221" s="117"/>
      <c r="AC221" s="117"/>
      <c r="AD221" s="117"/>
      <c r="AE221" s="117"/>
      <c r="AF221" s="117"/>
      <c r="AG221" s="117"/>
      <c r="AH221" s="117"/>
      <c r="AI221" s="117"/>
      <c r="AJ221" s="117"/>
    </row>
    <row r="222" spans="1:36" ht="24.75" customHeight="1">
      <c r="A222" s="116"/>
      <c r="B222" s="117" t="s">
        <v>1469</v>
      </c>
      <c r="C222" s="117"/>
      <c r="D222" s="117"/>
      <c r="E222" s="117" t="s">
        <v>1272</v>
      </c>
      <c r="F222" s="118" t="s">
        <v>2395</v>
      </c>
      <c r="G222" s="118" t="s">
        <v>2396</v>
      </c>
      <c r="H222" s="117" t="s">
        <v>298</v>
      </c>
      <c r="I222" s="117"/>
      <c r="J222" s="117" t="s">
        <v>1318</v>
      </c>
      <c r="K222" s="123" t="s">
        <v>1274</v>
      </c>
      <c r="L222" s="117" t="s">
        <v>294</v>
      </c>
      <c r="M222" s="123" t="s">
        <v>2397</v>
      </c>
      <c r="N222" s="117" t="s">
        <v>1276</v>
      </c>
      <c r="O222" s="118"/>
      <c r="P222" s="118"/>
      <c r="Q222" s="117"/>
      <c r="R222" s="117"/>
      <c r="S222" s="117"/>
      <c r="T222" s="117"/>
      <c r="U222" s="117"/>
      <c r="V222" s="123"/>
      <c r="W222" s="117"/>
      <c r="X222" s="118"/>
      <c r="Y222" s="118"/>
      <c r="Z222" s="118"/>
      <c r="AA222" s="118"/>
      <c r="AB222" s="117"/>
      <c r="AC222" s="117"/>
      <c r="AD222" s="117"/>
      <c r="AE222" s="117"/>
      <c r="AF222" s="117"/>
      <c r="AG222" s="117"/>
      <c r="AH222" s="117"/>
      <c r="AI222" s="117"/>
      <c r="AJ222" s="117"/>
    </row>
    <row r="223" spans="1:36" ht="24.75" customHeight="1">
      <c r="A223" s="116"/>
      <c r="B223" s="117" t="s">
        <v>1469</v>
      </c>
      <c r="C223" s="117"/>
      <c r="D223" s="117"/>
      <c r="E223" s="117" t="s">
        <v>1272</v>
      </c>
      <c r="F223" s="118" t="s">
        <v>2398</v>
      </c>
      <c r="G223" s="118" t="s">
        <v>2399</v>
      </c>
      <c r="H223" s="117" t="s">
        <v>298</v>
      </c>
      <c r="I223" s="117"/>
      <c r="J223" s="117" t="s">
        <v>1318</v>
      </c>
      <c r="K223" s="123" t="s">
        <v>1274</v>
      </c>
      <c r="L223" s="117" t="s">
        <v>294</v>
      </c>
      <c r="M223" s="123" t="s">
        <v>2400</v>
      </c>
      <c r="N223" s="117" t="s">
        <v>1276</v>
      </c>
      <c r="O223" s="118"/>
      <c r="P223" s="118"/>
      <c r="Q223" s="117"/>
      <c r="R223" s="117"/>
      <c r="S223" s="117"/>
      <c r="T223" s="117"/>
      <c r="U223" s="117"/>
      <c r="V223" s="123"/>
      <c r="W223" s="117"/>
      <c r="X223" s="118"/>
      <c r="Y223" s="118"/>
      <c r="Z223" s="118"/>
      <c r="AA223" s="118"/>
      <c r="AB223" s="117"/>
      <c r="AC223" s="117"/>
      <c r="AD223" s="117"/>
      <c r="AE223" s="117"/>
      <c r="AF223" s="117"/>
      <c r="AG223" s="117"/>
      <c r="AH223" s="117"/>
      <c r="AI223" s="117"/>
      <c r="AJ223" s="117"/>
    </row>
    <row r="224" spans="1:36" ht="24.75" customHeight="1">
      <c r="A224" s="116"/>
      <c r="B224" s="117" t="s">
        <v>1469</v>
      </c>
      <c r="C224" s="117"/>
      <c r="D224" s="117"/>
      <c r="E224" s="117" t="s">
        <v>1272</v>
      </c>
      <c r="F224" s="118" t="s">
        <v>2401</v>
      </c>
      <c r="G224" s="118" t="s">
        <v>2402</v>
      </c>
      <c r="H224" s="117" t="s">
        <v>298</v>
      </c>
      <c r="I224" s="143" t="s">
        <v>1283</v>
      </c>
      <c r="J224" s="117" t="s">
        <v>282</v>
      </c>
      <c r="K224" s="123" t="s">
        <v>2177</v>
      </c>
      <c r="L224" s="117" t="s">
        <v>282</v>
      </c>
      <c r="M224" s="123" t="s">
        <v>282</v>
      </c>
      <c r="N224" s="117" t="s">
        <v>1294</v>
      </c>
      <c r="O224" s="118"/>
      <c r="P224" s="118"/>
      <c r="Q224" s="117"/>
      <c r="R224" s="117"/>
      <c r="S224" s="117"/>
      <c r="T224" s="117"/>
      <c r="U224" s="117"/>
      <c r="V224" s="123"/>
      <c r="W224" s="117"/>
      <c r="X224" s="118" t="s">
        <v>2403</v>
      </c>
      <c r="Y224" s="118"/>
      <c r="Z224" s="118"/>
      <c r="AA224" s="118"/>
      <c r="AB224" s="117"/>
      <c r="AC224" s="117"/>
      <c r="AD224" s="117"/>
      <c r="AE224" s="117"/>
      <c r="AF224" s="117"/>
      <c r="AG224" s="117"/>
      <c r="AH224" s="117"/>
      <c r="AI224" s="117"/>
      <c r="AJ224" s="117"/>
    </row>
    <row r="225" spans="1:36" ht="24.75" customHeight="1">
      <c r="A225" s="116"/>
      <c r="B225" s="117" t="s">
        <v>1469</v>
      </c>
      <c r="C225" s="117"/>
      <c r="D225" s="117"/>
      <c r="E225" s="117" t="s">
        <v>1272</v>
      </c>
      <c r="F225" s="118" t="s">
        <v>2404</v>
      </c>
      <c r="G225" s="118" t="s">
        <v>2405</v>
      </c>
      <c r="H225" s="117" t="s">
        <v>298</v>
      </c>
      <c r="I225" s="117"/>
      <c r="J225" s="117" t="s">
        <v>1318</v>
      </c>
      <c r="K225" s="123" t="s">
        <v>1274</v>
      </c>
      <c r="L225" s="117" t="s">
        <v>294</v>
      </c>
      <c r="M225" s="123" t="s">
        <v>1505</v>
      </c>
      <c r="N225" s="117" t="s">
        <v>1294</v>
      </c>
      <c r="O225" s="118"/>
      <c r="P225" s="118"/>
      <c r="Q225" s="117"/>
      <c r="R225" s="117"/>
      <c r="S225" s="117"/>
      <c r="T225" s="117"/>
      <c r="U225" s="117"/>
      <c r="V225" s="123"/>
      <c r="W225" s="117"/>
      <c r="X225" s="128" t="s">
        <v>2406</v>
      </c>
      <c r="Y225" s="118"/>
      <c r="Z225" s="118"/>
      <c r="AA225" s="118"/>
      <c r="AB225" s="117"/>
      <c r="AC225" s="117"/>
      <c r="AD225" s="117"/>
      <c r="AE225" s="117"/>
      <c r="AF225" s="117"/>
      <c r="AG225" s="117"/>
      <c r="AH225" s="117"/>
      <c r="AI225" s="117"/>
      <c r="AJ225" s="117"/>
    </row>
    <row r="226" spans="1:36" ht="24.75" customHeight="1">
      <c r="A226" s="116"/>
      <c r="B226" s="117" t="s">
        <v>1469</v>
      </c>
      <c r="C226" s="117"/>
      <c r="D226" s="117"/>
      <c r="E226" s="117" t="s">
        <v>1272</v>
      </c>
      <c r="F226" s="118" t="s">
        <v>350</v>
      </c>
      <c r="G226" s="145" t="s">
        <v>2407</v>
      </c>
      <c r="H226" s="117" t="s">
        <v>298</v>
      </c>
      <c r="I226" s="117"/>
      <c r="J226" s="117" t="s">
        <v>269</v>
      </c>
      <c r="K226" s="123" t="s">
        <v>1274</v>
      </c>
      <c r="L226" s="117" t="s">
        <v>269</v>
      </c>
      <c r="M226" s="123" t="s">
        <v>1360</v>
      </c>
      <c r="N226" s="117" t="s">
        <v>1294</v>
      </c>
      <c r="O226" s="118" t="s">
        <v>2408</v>
      </c>
      <c r="P226" s="118"/>
      <c r="Q226" s="117"/>
      <c r="R226" s="117"/>
      <c r="S226" s="117"/>
      <c r="T226" s="117"/>
      <c r="U226" s="117"/>
      <c r="V226" s="123"/>
      <c r="W226" s="117"/>
      <c r="X226" s="144" t="s">
        <v>2409</v>
      </c>
      <c r="Y226" s="118"/>
      <c r="Z226" s="118"/>
      <c r="AA226" s="144" t="s">
        <v>2410</v>
      </c>
      <c r="AB226" s="117"/>
      <c r="AC226" s="117"/>
      <c r="AD226" s="117"/>
      <c r="AE226" s="117"/>
      <c r="AF226" s="117"/>
      <c r="AG226" s="117"/>
      <c r="AH226" s="117"/>
      <c r="AI226" s="117"/>
      <c r="AJ226" s="117"/>
    </row>
    <row r="227" spans="1:36" ht="24.75" customHeight="1">
      <c r="A227" s="116"/>
      <c r="B227" s="117" t="s">
        <v>1469</v>
      </c>
      <c r="C227" s="117"/>
      <c r="D227" s="117"/>
      <c r="E227" s="117" t="s">
        <v>238</v>
      </c>
      <c r="F227" s="118" t="s">
        <v>2411</v>
      </c>
      <c r="G227" s="118" t="s">
        <v>2412</v>
      </c>
      <c r="H227" s="117" t="s">
        <v>298</v>
      </c>
      <c r="I227" s="143" t="s">
        <v>1283</v>
      </c>
      <c r="J227" s="117" t="s">
        <v>1976</v>
      </c>
      <c r="K227" s="123" t="s">
        <v>2177</v>
      </c>
      <c r="L227" s="117" t="s">
        <v>1976</v>
      </c>
      <c r="M227" s="123" t="s">
        <v>1977</v>
      </c>
      <c r="N227" s="117" t="s">
        <v>1294</v>
      </c>
      <c r="O227" s="118" t="s">
        <v>2413</v>
      </c>
      <c r="P227" s="118" t="s">
        <v>2414</v>
      </c>
      <c r="Q227" s="117"/>
      <c r="R227" s="117"/>
      <c r="S227" s="117"/>
      <c r="T227" s="117"/>
      <c r="U227" s="117"/>
      <c r="V227" s="123" t="s">
        <v>2415</v>
      </c>
      <c r="W227" s="117"/>
      <c r="X227" s="128" t="s">
        <v>2416</v>
      </c>
      <c r="Y227" s="118"/>
      <c r="Z227" s="118"/>
      <c r="AA227" s="118"/>
      <c r="AB227" s="117"/>
      <c r="AC227" s="117"/>
      <c r="AD227" s="117"/>
      <c r="AE227" s="117"/>
      <c r="AF227" s="117"/>
      <c r="AG227" s="117"/>
      <c r="AH227" s="117"/>
      <c r="AI227" s="117"/>
      <c r="AJ227" s="117"/>
    </row>
    <row r="228" spans="1:36" ht="24.75" customHeight="1">
      <c r="A228" s="116"/>
      <c r="B228" s="117" t="s">
        <v>1469</v>
      </c>
      <c r="C228" s="117"/>
      <c r="D228" s="117"/>
      <c r="E228" s="117" t="s">
        <v>1272</v>
      </c>
      <c r="F228" s="118" t="s">
        <v>2417</v>
      </c>
      <c r="G228" s="118" t="s">
        <v>2418</v>
      </c>
      <c r="H228" s="117" t="s">
        <v>424</v>
      </c>
      <c r="I228" s="117" t="s">
        <v>1283</v>
      </c>
      <c r="J228" s="117" t="s">
        <v>313</v>
      </c>
      <c r="K228" s="123" t="s">
        <v>2177</v>
      </c>
      <c r="L228" s="117" t="s">
        <v>313</v>
      </c>
      <c r="M228" s="123" t="s">
        <v>2178</v>
      </c>
      <c r="N228" s="117" t="s">
        <v>1294</v>
      </c>
      <c r="O228" s="118" t="s">
        <v>2419</v>
      </c>
      <c r="P228" s="118" t="s">
        <v>2420</v>
      </c>
      <c r="Q228" s="117"/>
      <c r="R228" s="117"/>
      <c r="S228" s="117"/>
      <c r="T228" s="117"/>
      <c r="U228" s="117"/>
      <c r="V228" s="123" t="s">
        <v>2421</v>
      </c>
      <c r="W228" s="117"/>
      <c r="X228" s="128" t="s">
        <v>2422</v>
      </c>
      <c r="Y228" s="118"/>
      <c r="Z228" s="118"/>
      <c r="AA228" s="118"/>
      <c r="AB228" s="117"/>
      <c r="AC228" s="117"/>
      <c r="AD228" s="117"/>
      <c r="AE228" s="117"/>
      <c r="AF228" s="117"/>
      <c r="AG228" s="117"/>
      <c r="AH228" s="117"/>
      <c r="AI228" s="117"/>
      <c r="AJ228" s="117"/>
    </row>
    <row r="229" spans="1:36" ht="24.75" customHeight="1">
      <c r="A229" s="116"/>
      <c r="B229" s="117" t="s">
        <v>1469</v>
      </c>
      <c r="C229" s="117"/>
      <c r="D229" s="117"/>
      <c r="E229" s="117"/>
      <c r="F229" s="118" t="s">
        <v>2423</v>
      </c>
      <c r="G229" s="118" t="s">
        <v>2424</v>
      </c>
      <c r="H229" s="117" t="s">
        <v>298</v>
      </c>
      <c r="I229" s="117"/>
      <c r="J229" s="117" t="s">
        <v>1318</v>
      </c>
      <c r="K229" s="123" t="s">
        <v>1274</v>
      </c>
      <c r="L229" s="117" t="s">
        <v>294</v>
      </c>
      <c r="M229" s="123" t="s">
        <v>1679</v>
      </c>
      <c r="N229" s="117" t="s">
        <v>1276</v>
      </c>
      <c r="O229" s="118" t="s">
        <v>2425</v>
      </c>
      <c r="P229" s="118" t="s">
        <v>1574</v>
      </c>
      <c r="Q229" s="117"/>
      <c r="R229" s="117"/>
      <c r="S229" s="117"/>
      <c r="T229" s="117"/>
      <c r="U229" s="117"/>
      <c r="V229" s="123" t="s">
        <v>2426</v>
      </c>
      <c r="W229" s="117"/>
      <c r="X229" s="128" t="s">
        <v>2427</v>
      </c>
      <c r="Y229" s="118"/>
      <c r="Z229" s="118"/>
      <c r="AA229" s="118" t="s">
        <v>2428</v>
      </c>
      <c r="AB229" s="117"/>
      <c r="AC229" s="117"/>
      <c r="AD229" s="117"/>
      <c r="AE229" s="117"/>
      <c r="AF229" s="117"/>
      <c r="AG229" s="117"/>
      <c r="AH229" s="117"/>
      <c r="AI229" s="117"/>
      <c r="AJ229" s="117"/>
    </row>
    <row r="230" spans="1:36" ht="24.75" customHeight="1">
      <c r="A230" s="116"/>
      <c r="B230" s="117" t="s">
        <v>1469</v>
      </c>
      <c r="C230" s="117"/>
      <c r="D230" s="117"/>
      <c r="E230" s="117" t="s">
        <v>1272</v>
      </c>
      <c r="F230" s="118" t="s">
        <v>2429</v>
      </c>
      <c r="G230" s="118" t="s">
        <v>2430</v>
      </c>
      <c r="H230" s="117" t="s">
        <v>424</v>
      </c>
      <c r="I230" s="117" t="s">
        <v>1283</v>
      </c>
      <c r="J230" s="117" t="s">
        <v>2431</v>
      </c>
      <c r="K230" s="123" t="s">
        <v>2177</v>
      </c>
      <c r="L230" s="117" t="s">
        <v>2200</v>
      </c>
      <c r="M230" s="123" t="s">
        <v>2432</v>
      </c>
      <c r="N230" s="117" t="s">
        <v>1294</v>
      </c>
      <c r="O230" s="118" t="s">
        <v>2433</v>
      </c>
      <c r="P230" s="118" t="s">
        <v>2434</v>
      </c>
      <c r="Q230" s="117"/>
      <c r="R230" s="117"/>
      <c r="S230" s="117"/>
      <c r="T230" s="117"/>
      <c r="U230" s="117"/>
      <c r="V230" s="123" t="s">
        <v>2435</v>
      </c>
      <c r="W230" s="117"/>
      <c r="X230" s="128" t="s">
        <v>2436</v>
      </c>
      <c r="Y230" s="118"/>
      <c r="Z230" s="128" t="s">
        <v>2437</v>
      </c>
      <c r="AA230" s="118" t="s">
        <v>2438</v>
      </c>
      <c r="AB230" s="117"/>
      <c r="AC230" s="117"/>
      <c r="AD230" s="117"/>
      <c r="AE230" s="117"/>
      <c r="AF230" s="117"/>
      <c r="AG230" s="117"/>
      <c r="AH230" s="117"/>
      <c r="AI230" s="117"/>
      <c r="AJ230" s="117"/>
    </row>
    <row r="231" spans="1:36" ht="24.75" customHeight="1">
      <c r="A231" s="116"/>
      <c r="B231" s="117" t="s">
        <v>1469</v>
      </c>
      <c r="C231" s="117"/>
      <c r="D231" s="117"/>
      <c r="E231" s="117" t="s">
        <v>1272</v>
      </c>
      <c r="F231" s="118" t="s">
        <v>2439</v>
      </c>
      <c r="G231" s="118" t="s">
        <v>2439</v>
      </c>
      <c r="H231" s="117" t="s">
        <v>298</v>
      </c>
      <c r="I231" s="117"/>
      <c r="J231" s="117" t="s">
        <v>269</v>
      </c>
      <c r="K231" s="123" t="s">
        <v>1274</v>
      </c>
      <c r="L231" s="117" t="s">
        <v>269</v>
      </c>
      <c r="M231" s="123" t="s">
        <v>1360</v>
      </c>
      <c r="N231" s="117" t="s">
        <v>1294</v>
      </c>
      <c r="O231" s="118"/>
      <c r="P231" s="118"/>
      <c r="Q231" s="117"/>
      <c r="R231" s="117"/>
      <c r="S231" s="117"/>
      <c r="T231" s="117"/>
      <c r="U231" s="117"/>
      <c r="V231" s="123"/>
      <c r="W231" s="117"/>
      <c r="X231" s="118"/>
      <c r="Y231" s="118"/>
      <c r="Z231" s="126" t="s">
        <v>2440</v>
      </c>
      <c r="AA231" s="118" t="s">
        <v>2441</v>
      </c>
      <c r="AB231" s="117"/>
      <c r="AC231" s="117"/>
      <c r="AD231" s="117"/>
      <c r="AE231" s="117"/>
      <c r="AF231" s="117"/>
      <c r="AG231" s="117"/>
      <c r="AH231" s="117"/>
      <c r="AI231" s="117"/>
      <c r="AJ231" s="117"/>
    </row>
    <row r="232" spans="1:36" ht="24.75" customHeight="1">
      <c r="A232" s="116"/>
      <c r="B232" s="117" t="s">
        <v>1469</v>
      </c>
      <c r="C232" s="117"/>
      <c r="D232" s="117"/>
      <c r="E232" s="117" t="s">
        <v>1272</v>
      </c>
      <c r="F232" s="118" t="s">
        <v>2442</v>
      </c>
      <c r="G232" s="118" t="s">
        <v>2442</v>
      </c>
      <c r="H232" s="117" t="s">
        <v>424</v>
      </c>
      <c r="I232" s="117" t="s">
        <v>1283</v>
      </c>
      <c r="J232" s="117" t="s">
        <v>300</v>
      </c>
      <c r="K232" s="123" t="s">
        <v>1725</v>
      </c>
      <c r="L232" s="117" t="s">
        <v>300</v>
      </c>
      <c r="M232" s="123" t="s">
        <v>1416</v>
      </c>
      <c r="N232" s="117" t="s">
        <v>1294</v>
      </c>
      <c r="O232" s="118"/>
      <c r="P232" s="118"/>
      <c r="Q232" s="117"/>
      <c r="R232" s="117"/>
      <c r="S232" s="117"/>
      <c r="T232" s="117"/>
      <c r="U232" s="117"/>
      <c r="V232" s="123" t="s">
        <v>2443</v>
      </c>
      <c r="W232" s="117"/>
      <c r="X232" s="118" t="s">
        <v>2444</v>
      </c>
      <c r="Y232" s="118"/>
      <c r="Z232" s="118" t="s">
        <v>2445</v>
      </c>
      <c r="AA232" s="118" t="s">
        <v>2446</v>
      </c>
      <c r="AB232" s="117"/>
      <c r="AC232" s="117"/>
      <c r="AD232" s="117"/>
      <c r="AE232" s="117"/>
      <c r="AF232" s="117"/>
      <c r="AG232" s="117"/>
      <c r="AH232" s="117"/>
      <c r="AI232" s="117"/>
      <c r="AJ232" s="117"/>
    </row>
    <row r="233" spans="1:36" ht="24.75" customHeight="1">
      <c r="A233" s="116"/>
      <c r="B233" s="117" t="s">
        <v>1469</v>
      </c>
      <c r="C233" s="117"/>
      <c r="D233" s="117"/>
      <c r="E233" s="117" t="s">
        <v>1272</v>
      </c>
      <c r="F233" s="118" t="s">
        <v>2447</v>
      </c>
      <c r="G233" s="118" t="s">
        <v>2447</v>
      </c>
      <c r="H233" s="117" t="s">
        <v>424</v>
      </c>
      <c r="I233" s="117" t="s">
        <v>1283</v>
      </c>
      <c r="J233" s="117" t="s">
        <v>300</v>
      </c>
      <c r="K233" s="123" t="s">
        <v>1725</v>
      </c>
      <c r="L233" s="117" t="s">
        <v>300</v>
      </c>
      <c r="M233" s="123" t="s">
        <v>1416</v>
      </c>
      <c r="N233" s="117" t="s">
        <v>1294</v>
      </c>
      <c r="O233" s="118"/>
      <c r="P233" s="118"/>
      <c r="Q233" s="117"/>
      <c r="R233" s="117"/>
      <c r="S233" s="117"/>
      <c r="T233" s="117"/>
      <c r="U233" s="117"/>
      <c r="V233" s="123" t="s">
        <v>2448</v>
      </c>
      <c r="W233" s="117"/>
      <c r="X233" s="118" t="s">
        <v>2449</v>
      </c>
      <c r="Y233" s="118"/>
      <c r="Z233" s="118" t="s">
        <v>2450</v>
      </c>
      <c r="AA233" s="118" t="s">
        <v>2451</v>
      </c>
      <c r="AB233" s="117"/>
      <c r="AC233" s="117"/>
      <c r="AD233" s="117"/>
      <c r="AE233" s="117"/>
      <c r="AF233" s="117"/>
      <c r="AG233" s="117"/>
      <c r="AH233" s="117"/>
      <c r="AI233" s="117"/>
      <c r="AJ233" s="117"/>
    </row>
    <row r="234" spans="1:36" ht="24.75" customHeight="1">
      <c r="A234" s="116"/>
      <c r="B234" s="117" t="s">
        <v>1469</v>
      </c>
      <c r="C234" s="117"/>
      <c r="D234" s="117"/>
      <c r="E234" s="117" t="s">
        <v>1272</v>
      </c>
      <c r="F234" s="118" t="s">
        <v>2452</v>
      </c>
      <c r="G234" s="118" t="s">
        <v>2453</v>
      </c>
      <c r="H234" s="117" t="s">
        <v>424</v>
      </c>
      <c r="I234" s="117" t="s">
        <v>1283</v>
      </c>
      <c r="J234" s="117" t="s">
        <v>300</v>
      </c>
      <c r="K234" s="123" t="s">
        <v>1725</v>
      </c>
      <c r="L234" s="117" t="s">
        <v>300</v>
      </c>
      <c r="M234" s="123" t="s">
        <v>1416</v>
      </c>
      <c r="N234" s="117" t="s">
        <v>1294</v>
      </c>
      <c r="O234" s="118"/>
      <c r="P234" s="118"/>
      <c r="Q234" s="117"/>
      <c r="R234" s="117"/>
      <c r="S234" s="117"/>
      <c r="T234" s="117"/>
      <c r="U234" s="117"/>
      <c r="V234" s="123" t="s">
        <v>2454</v>
      </c>
      <c r="W234" s="117"/>
      <c r="X234" s="118" t="s">
        <v>2455</v>
      </c>
      <c r="Y234" s="118"/>
      <c r="Z234" s="118" t="s">
        <v>2456</v>
      </c>
      <c r="AA234" s="118" t="s">
        <v>2457</v>
      </c>
      <c r="AB234" s="117"/>
      <c r="AC234" s="117"/>
      <c r="AD234" s="117"/>
      <c r="AE234" s="117"/>
      <c r="AF234" s="117"/>
      <c r="AG234" s="117"/>
      <c r="AH234" s="117"/>
      <c r="AI234" s="117"/>
      <c r="AJ234" s="117"/>
    </row>
    <row r="235" spans="1:36" ht="24.75" customHeight="1">
      <c r="A235" s="116"/>
      <c r="B235" s="117" t="s">
        <v>1469</v>
      </c>
      <c r="C235" s="117"/>
      <c r="D235" s="117"/>
      <c r="E235" s="117" t="s">
        <v>1272</v>
      </c>
      <c r="F235" s="118" t="s">
        <v>2458</v>
      </c>
      <c r="G235" s="118" t="s">
        <v>2459</v>
      </c>
      <c r="H235" s="117" t="s">
        <v>424</v>
      </c>
      <c r="I235" s="117" t="s">
        <v>1283</v>
      </c>
      <c r="J235" s="117" t="s">
        <v>300</v>
      </c>
      <c r="K235" s="123" t="s">
        <v>1725</v>
      </c>
      <c r="L235" s="117" t="s">
        <v>300</v>
      </c>
      <c r="M235" s="123" t="s">
        <v>1416</v>
      </c>
      <c r="N235" s="117" t="s">
        <v>1294</v>
      </c>
      <c r="O235" s="118"/>
      <c r="P235" s="118"/>
      <c r="Q235" s="117"/>
      <c r="R235" s="117"/>
      <c r="S235" s="117"/>
      <c r="T235" s="117"/>
      <c r="U235" s="117"/>
      <c r="V235" s="123" t="s">
        <v>2460</v>
      </c>
      <c r="W235" s="117"/>
      <c r="X235" s="118" t="s">
        <v>2461</v>
      </c>
      <c r="Y235" s="118"/>
      <c r="Z235" s="118" t="s">
        <v>2462</v>
      </c>
      <c r="AA235" s="118" t="s">
        <v>2463</v>
      </c>
      <c r="AB235" s="117"/>
      <c r="AC235" s="117"/>
      <c r="AD235" s="117"/>
      <c r="AE235" s="117"/>
      <c r="AF235" s="117"/>
      <c r="AG235" s="117"/>
      <c r="AH235" s="117"/>
      <c r="AI235" s="117"/>
      <c r="AJ235" s="117"/>
    </row>
    <row r="236" spans="1:36" ht="24.75" customHeight="1">
      <c r="A236" s="116"/>
      <c r="B236" s="117" t="s">
        <v>1469</v>
      </c>
      <c r="C236" s="117"/>
      <c r="D236" s="117"/>
      <c r="E236" s="117" t="s">
        <v>1272</v>
      </c>
      <c r="F236" s="118" t="s">
        <v>2464</v>
      </c>
      <c r="G236" s="118" t="s">
        <v>2465</v>
      </c>
      <c r="H236" s="117" t="s">
        <v>424</v>
      </c>
      <c r="I236" s="117" t="s">
        <v>1283</v>
      </c>
      <c r="J236" s="117" t="s">
        <v>300</v>
      </c>
      <c r="K236" s="123" t="s">
        <v>1725</v>
      </c>
      <c r="L236" s="117" t="s">
        <v>300</v>
      </c>
      <c r="M236" s="123" t="s">
        <v>1416</v>
      </c>
      <c r="N236" s="117" t="s">
        <v>1294</v>
      </c>
      <c r="O236" s="118"/>
      <c r="P236" s="118"/>
      <c r="Q236" s="117"/>
      <c r="R236" s="117"/>
      <c r="S236" s="117"/>
      <c r="T236" s="117"/>
      <c r="U236" s="117"/>
      <c r="V236" s="123" t="s">
        <v>2466</v>
      </c>
      <c r="W236" s="117"/>
      <c r="X236" s="118" t="s">
        <v>2467</v>
      </c>
      <c r="Y236" s="118" t="s">
        <v>2468</v>
      </c>
      <c r="Z236" s="118" t="s">
        <v>2469</v>
      </c>
      <c r="AA236" s="118" t="s">
        <v>2470</v>
      </c>
      <c r="AB236" s="117"/>
      <c r="AC236" s="117"/>
      <c r="AD236" s="117"/>
      <c r="AE236" s="117"/>
      <c r="AF236" s="117"/>
      <c r="AG236" s="117"/>
      <c r="AH236" s="117"/>
      <c r="AI236" s="117"/>
      <c r="AJ236" s="117"/>
    </row>
    <row r="237" spans="1:36" ht="24.75" customHeight="1">
      <c r="A237" s="116"/>
      <c r="B237" s="117" t="s">
        <v>1469</v>
      </c>
      <c r="C237" s="117"/>
      <c r="D237" s="117"/>
      <c r="E237" s="117" t="s">
        <v>1272</v>
      </c>
      <c r="F237" s="118" t="s">
        <v>2471</v>
      </c>
      <c r="G237" s="118" t="s">
        <v>2472</v>
      </c>
      <c r="H237" s="117" t="s">
        <v>424</v>
      </c>
      <c r="I237" s="117" t="s">
        <v>1283</v>
      </c>
      <c r="J237" s="117" t="s">
        <v>300</v>
      </c>
      <c r="K237" s="123" t="s">
        <v>1725</v>
      </c>
      <c r="L237" s="117" t="s">
        <v>300</v>
      </c>
      <c r="M237" s="123" t="s">
        <v>1416</v>
      </c>
      <c r="N237" s="117" t="s">
        <v>1276</v>
      </c>
      <c r="O237" s="118"/>
      <c r="P237" s="118"/>
      <c r="Q237" s="117"/>
      <c r="R237" s="117"/>
      <c r="S237" s="117"/>
      <c r="T237" s="117"/>
      <c r="U237" s="117"/>
      <c r="V237" s="123" t="s">
        <v>2473</v>
      </c>
      <c r="W237" s="117"/>
      <c r="X237" s="118" t="s">
        <v>2474</v>
      </c>
      <c r="Y237" s="118" t="s">
        <v>2475</v>
      </c>
      <c r="Z237" s="118" t="s">
        <v>2476</v>
      </c>
      <c r="AA237" s="118" t="s">
        <v>2477</v>
      </c>
      <c r="AB237" s="117"/>
      <c r="AC237" s="117"/>
      <c r="AD237" s="117"/>
      <c r="AE237" s="117"/>
      <c r="AF237" s="117"/>
      <c r="AG237" s="117"/>
      <c r="AH237" s="117"/>
      <c r="AI237" s="117"/>
      <c r="AJ237" s="117"/>
    </row>
    <row r="238" spans="1:36" ht="24.75" customHeight="1">
      <c r="A238" s="116"/>
      <c r="B238" s="117" t="s">
        <v>1469</v>
      </c>
      <c r="C238" s="117"/>
      <c r="D238" s="117"/>
      <c r="E238" s="117" t="s">
        <v>1272</v>
      </c>
      <c r="F238" s="118" t="s">
        <v>2478</v>
      </c>
      <c r="G238" s="118" t="s">
        <v>2479</v>
      </c>
      <c r="H238" s="117" t="s">
        <v>424</v>
      </c>
      <c r="I238" s="117" t="s">
        <v>1283</v>
      </c>
      <c r="J238" s="117" t="s">
        <v>300</v>
      </c>
      <c r="K238" s="123" t="s">
        <v>1725</v>
      </c>
      <c r="L238" s="117" t="s">
        <v>300</v>
      </c>
      <c r="M238" s="123" t="s">
        <v>1416</v>
      </c>
      <c r="N238" s="117" t="s">
        <v>1294</v>
      </c>
      <c r="O238" s="118"/>
      <c r="P238" s="118"/>
      <c r="Q238" s="117"/>
      <c r="R238" s="117"/>
      <c r="S238" s="117"/>
      <c r="T238" s="117"/>
      <c r="U238" s="117"/>
      <c r="V238" s="123" t="s">
        <v>2480</v>
      </c>
      <c r="W238" s="117"/>
      <c r="X238" s="118" t="s">
        <v>2481</v>
      </c>
      <c r="Y238" s="118" t="s">
        <v>2482</v>
      </c>
      <c r="Z238" s="118" t="s">
        <v>2483</v>
      </c>
      <c r="AA238" s="118" t="s">
        <v>2484</v>
      </c>
      <c r="AB238" s="117"/>
      <c r="AC238" s="117"/>
      <c r="AD238" s="117"/>
      <c r="AE238" s="117"/>
      <c r="AF238" s="117"/>
      <c r="AG238" s="117"/>
      <c r="AH238" s="117"/>
      <c r="AI238" s="117"/>
      <c r="AJ238" s="117"/>
    </row>
    <row r="239" spans="1:36" s="16" customFormat="1" ht="24.75" customHeight="1">
      <c r="A239" s="130" t="s">
        <v>2485</v>
      </c>
      <c r="B239" s="131" t="s">
        <v>1469</v>
      </c>
      <c r="C239" s="131"/>
      <c r="D239" s="131"/>
      <c r="E239" s="117" t="s">
        <v>1272</v>
      </c>
      <c r="F239" s="157" t="s">
        <v>2486</v>
      </c>
      <c r="G239" s="157" t="s">
        <v>2487</v>
      </c>
      <c r="H239" s="131" t="s">
        <v>424</v>
      </c>
      <c r="I239" s="117" t="s">
        <v>1283</v>
      </c>
      <c r="J239" s="131" t="s">
        <v>300</v>
      </c>
      <c r="K239" s="165" t="s">
        <v>1725</v>
      </c>
      <c r="L239" s="131" t="s">
        <v>300</v>
      </c>
      <c r="M239" s="165" t="s">
        <v>1416</v>
      </c>
      <c r="N239" s="131" t="s">
        <v>1294</v>
      </c>
      <c r="O239" s="157"/>
      <c r="P239" s="157"/>
      <c r="Q239" s="131"/>
      <c r="R239" s="131"/>
      <c r="S239" s="131"/>
      <c r="T239" s="131"/>
      <c r="U239" s="131"/>
      <c r="V239" s="165" t="s">
        <v>2488</v>
      </c>
      <c r="W239" s="131"/>
      <c r="X239" s="157" t="s">
        <v>2489</v>
      </c>
      <c r="Y239" s="157" t="s">
        <v>2490</v>
      </c>
      <c r="Z239" s="157" t="s">
        <v>2491</v>
      </c>
      <c r="AA239" s="157" t="s">
        <v>2492</v>
      </c>
      <c r="AB239" s="131"/>
      <c r="AC239" s="131"/>
      <c r="AD239" s="131"/>
      <c r="AE239" s="131"/>
      <c r="AF239" s="131"/>
      <c r="AG239" s="131"/>
      <c r="AH239" s="131"/>
      <c r="AI239" s="131"/>
      <c r="AJ239" s="131"/>
    </row>
    <row r="240" spans="1:36" ht="24.75" customHeight="1">
      <c r="A240" s="116"/>
      <c r="B240" s="117" t="s">
        <v>1469</v>
      </c>
      <c r="C240" s="117"/>
      <c r="D240" s="117"/>
      <c r="E240" s="117" t="s">
        <v>1272</v>
      </c>
      <c r="F240" s="118" t="s">
        <v>2493</v>
      </c>
      <c r="G240" s="118" t="s">
        <v>2494</v>
      </c>
      <c r="H240" s="117" t="s">
        <v>424</v>
      </c>
      <c r="I240" s="117" t="s">
        <v>1283</v>
      </c>
      <c r="J240" s="117" t="s">
        <v>300</v>
      </c>
      <c r="K240" s="123" t="s">
        <v>1725</v>
      </c>
      <c r="L240" s="117" t="s">
        <v>300</v>
      </c>
      <c r="M240" s="123" t="s">
        <v>1416</v>
      </c>
      <c r="N240" s="117" t="s">
        <v>1294</v>
      </c>
      <c r="O240" s="118"/>
      <c r="P240" s="118"/>
      <c r="Q240" s="117"/>
      <c r="R240" s="117"/>
      <c r="S240" s="117"/>
      <c r="T240" s="117"/>
      <c r="U240" s="117"/>
      <c r="V240" s="123" t="s">
        <v>2495</v>
      </c>
      <c r="W240" s="117"/>
      <c r="X240" s="118" t="s">
        <v>2496</v>
      </c>
      <c r="Y240" s="118" t="s">
        <v>2497</v>
      </c>
      <c r="Z240" s="118" t="s">
        <v>2498</v>
      </c>
      <c r="AA240" s="118" t="s">
        <v>2499</v>
      </c>
      <c r="AB240" s="117"/>
      <c r="AC240" s="117"/>
      <c r="AD240" s="117"/>
      <c r="AE240" s="117"/>
      <c r="AF240" s="117"/>
      <c r="AG240" s="117"/>
      <c r="AH240" s="117"/>
      <c r="AI240" s="117"/>
      <c r="AJ240" s="117"/>
    </row>
    <row r="241" spans="1:36" ht="24.75" customHeight="1">
      <c r="A241" s="116"/>
      <c r="B241" s="117" t="s">
        <v>1469</v>
      </c>
      <c r="C241" s="117"/>
      <c r="D241" s="117"/>
      <c r="E241" s="117" t="s">
        <v>1272</v>
      </c>
      <c r="F241" s="118" t="s">
        <v>2500</v>
      </c>
      <c r="G241" s="118" t="s">
        <v>2501</v>
      </c>
      <c r="H241" s="117" t="s">
        <v>424</v>
      </c>
      <c r="I241" s="117" t="s">
        <v>1283</v>
      </c>
      <c r="J241" s="117" t="s">
        <v>300</v>
      </c>
      <c r="K241" s="123" t="s">
        <v>1725</v>
      </c>
      <c r="L241" s="117" t="s">
        <v>300</v>
      </c>
      <c r="M241" s="123" t="s">
        <v>1416</v>
      </c>
      <c r="N241" s="117" t="s">
        <v>2502</v>
      </c>
      <c r="O241" s="118"/>
      <c r="P241" s="118"/>
      <c r="Q241" s="117"/>
      <c r="R241" s="117"/>
      <c r="S241" s="117"/>
      <c r="T241" s="117"/>
      <c r="U241" s="117"/>
      <c r="V241" s="123" t="s">
        <v>2503</v>
      </c>
      <c r="W241" s="117"/>
      <c r="X241" s="118" t="s">
        <v>2504</v>
      </c>
      <c r="Y241" s="118" t="s">
        <v>2505</v>
      </c>
      <c r="Z241" s="118" t="s">
        <v>2506</v>
      </c>
      <c r="AA241" s="118" t="s">
        <v>2507</v>
      </c>
      <c r="AB241" s="117"/>
      <c r="AC241" s="117"/>
      <c r="AD241" s="117"/>
      <c r="AE241" s="117"/>
      <c r="AF241" s="117"/>
      <c r="AG241" s="117"/>
      <c r="AH241" s="117"/>
      <c r="AI241" s="117"/>
      <c r="AJ241" s="117"/>
    </row>
    <row r="242" spans="1:36" ht="24.75" customHeight="1">
      <c r="A242" s="116"/>
      <c r="B242" s="117" t="s">
        <v>1469</v>
      </c>
      <c r="C242" s="117"/>
      <c r="D242" s="117"/>
      <c r="E242" s="117" t="s">
        <v>1272</v>
      </c>
      <c r="F242" s="157" t="s">
        <v>2508</v>
      </c>
      <c r="G242" s="118" t="s">
        <v>2509</v>
      </c>
      <c r="H242" s="117" t="s">
        <v>424</v>
      </c>
      <c r="I242" s="117" t="s">
        <v>1283</v>
      </c>
      <c r="J242" s="117" t="s">
        <v>300</v>
      </c>
      <c r="K242" s="123" t="s">
        <v>1725</v>
      </c>
      <c r="L242" s="117" t="s">
        <v>300</v>
      </c>
      <c r="M242" s="123" t="s">
        <v>1416</v>
      </c>
      <c r="N242" s="117" t="s">
        <v>1294</v>
      </c>
      <c r="O242" s="118" t="s">
        <v>2510</v>
      </c>
      <c r="P242" s="118"/>
      <c r="Q242" s="117"/>
      <c r="R242" s="117"/>
      <c r="S242" s="117"/>
      <c r="T242" s="117"/>
      <c r="U242" s="117"/>
      <c r="V242" s="123" t="s">
        <v>2511</v>
      </c>
      <c r="W242" s="117"/>
      <c r="X242" s="118" t="s">
        <v>2512</v>
      </c>
      <c r="Y242" s="118"/>
      <c r="Z242" s="118" t="s">
        <v>2513</v>
      </c>
      <c r="AA242" s="118" t="s">
        <v>2514</v>
      </c>
      <c r="AB242" s="117"/>
      <c r="AC242" s="117"/>
      <c r="AD242" s="117"/>
      <c r="AE242" s="117"/>
      <c r="AF242" s="117"/>
      <c r="AG242" s="117"/>
      <c r="AH242" s="117"/>
      <c r="AI242" s="117"/>
      <c r="AJ242" s="117"/>
    </row>
    <row r="243" spans="1:36" ht="24.75" customHeight="1">
      <c r="A243" s="116"/>
      <c r="B243" s="117" t="s">
        <v>1469</v>
      </c>
      <c r="C243" s="117"/>
      <c r="D243" s="117"/>
      <c r="E243" s="117" t="s">
        <v>1272</v>
      </c>
      <c r="F243" s="157" t="s">
        <v>2515</v>
      </c>
      <c r="G243" s="118" t="s">
        <v>2516</v>
      </c>
      <c r="H243" s="117" t="s">
        <v>424</v>
      </c>
      <c r="I243" s="117" t="s">
        <v>1283</v>
      </c>
      <c r="J243" s="117" t="s">
        <v>300</v>
      </c>
      <c r="K243" s="123" t="s">
        <v>1725</v>
      </c>
      <c r="L243" s="117" t="s">
        <v>300</v>
      </c>
      <c r="M243" s="123" t="s">
        <v>1416</v>
      </c>
      <c r="N243" s="117" t="s">
        <v>1294</v>
      </c>
      <c r="O243" s="118" t="s">
        <v>2517</v>
      </c>
      <c r="P243" s="118"/>
      <c r="Q243" s="117"/>
      <c r="R243" s="117"/>
      <c r="S243" s="117"/>
      <c r="T243" s="117"/>
      <c r="U243" s="117"/>
      <c r="V243" s="123" t="s">
        <v>2518</v>
      </c>
      <c r="W243" s="117"/>
      <c r="X243" s="118" t="s">
        <v>2519</v>
      </c>
      <c r="Y243" s="118" t="s">
        <v>2520</v>
      </c>
      <c r="Z243" s="118" t="s">
        <v>2521</v>
      </c>
      <c r="AA243" s="118" t="s">
        <v>2522</v>
      </c>
      <c r="AB243" s="117"/>
      <c r="AC243" s="117"/>
      <c r="AD243" s="117"/>
      <c r="AE243" s="117"/>
      <c r="AF243" s="117"/>
      <c r="AG243" s="117"/>
      <c r="AH243" s="117"/>
      <c r="AI243" s="117"/>
      <c r="AJ243" s="117"/>
    </row>
    <row r="244" spans="1:36" ht="24.75" customHeight="1">
      <c r="A244" s="116"/>
      <c r="B244" s="117" t="s">
        <v>1469</v>
      </c>
      <c r="C244" s="117"/>
      <c r="D244" s="117"/>
      <c r="E244" s="117"/>
      <c r="F244" s="118" t="s">
        <v>2523</v>
      </c>
      <c r="G244" s="118" t="s">
        <v>2523</v>
      </c>
      <c r="H244" s="117" t="s">
        <v>302</v>
      </c>
      <c r="I244" s="117" t="s">
        <v>1283</v>
      </c>
      <c r="J244" s="117" t="s">
        <v>306</v>
      </c>
      <c r="K244" s="123" t="s">
        <v>1725</v>
      </c>
      <c r="L244" s="117" t="s">
        <v>306</v>
      </c>
      <c r="M244" s="123" t="s">
        <v>2524</v>
      </c>
      <c r="N244" s="117" t="s">
        <v>1294</v>
      </c>
      <c r="O244" s="118" t="s">
        <v>2525</v>
      </c>
      <c r="P244" s="118" t="s">
        <v>2526</v>
      </c>
      <c r="Q244" s="117"/>
      <c r="R244" s="117"/>
      <c r="S244" s="117"/>
      <c r="T244" s="117"/>
      <c r="U244" s="117"/>
      <c r="V244" s="123" t="s">
        <v>2527</v>
      </c>
      <c r="W244" s="117"/>
      <c r="X244" s="118" t="s">
        <v>2528</v>
      </c>
      <c r="Y244" s="118" t="s">
        <v>2529</v>
      </c>
      <c r="Z244" s="118" t="s">
        <v>2530</v>
      </c>
      <c r="AA244" s="118" t="s">
        <v>2531</v>
      </c>
      <c r="AB244" s="117"/>
      <c r="AC244" s="117"/>
      <c r="AD244" s="117"/>
      <c r="AE244" s="117"/>
      <c r="AF244" s="117"/>
      <c r="AG244" s="117"/>
      <c r="AH244" s="117"/>
      <c r="AI244" s="117"/>
      <c r="AJ244" s="117"/>
    </row>
    <row r="245" spans="1:36" ht="24.75" customHeight="1">
      <c r="A245" s="116"/>
      <c r="B245" s="117" t="s">
        <v>1469</v>
      </c>
      <c r="C245" s="117"/>
      <c r="D245" s="117"/>
      <c r="E245" s="117"/>
      <c r="F245" s="118" t="s">
        <v>2532</v>
      </c>
      <c r="G245" s="118" t="s">
        <v>2532</v>
      </c>
      <c r="H245" s="117" t="s">
        <v>302</v>
      </c>
      <c r="I245" s="117" t="s">
        <v>1283</v>
      </c>
      <c r="J245" s="117" t="s">
        <v>306</v>
      </c>
      <c r="K245" s="123" t="s">
        <v>1725</v>
      </c>
      <c r="L245" s="117" t="s">
        <v>306</v>
      </c>
      <c r="M245" s="123" t="s">
        <v>2533</v>
      </c>
      <c r="N245" s="117" t="s">
        <v>1294</v>
      </c>
      <c r="O245" s="118" t="s">
        <v>2534</v>
      </c>
      <c r="P245" s="118" t="s">
        <v>2535</v>
      </c>
      <c r="Q245" s="117"/>
      <c r="R245" s="117"/>
      <c r="S245" s="117"/>
      <c r="T245" s="117"/>
      <c r="U245" s="117"/>
      <c r="V245" s="123" t="s">
        <v>2536</v>
      </c>
      <c r="W245" s="117"/>
      <c r="X245" s="118" t="s">
        <v>2537</v>
      </c>
      <c r="Y245" s="118"/>
      <c r="Z245" s="118" t="s">
        <v>2538</v>
      </c>
      <c r="AA245" s="118" t="s">
        <v>2539</v>
      </c>
      <c r="AB245" s="117"/>
      <c r="AC245" s="117"/>
      <c r="AD245" s="117"/>
      <c r="AE245" s="117"/>
      <c r="AF245" s="117"/>
      <c r="AG245" s="117"/>
      <c r="AH245" s="117"/>
      <c r="AI245" s="117"/>
      <c r="AJ245" s="117"/>
    </row>
    <row r="246" spans="1:36" ht="24.75" customHeight="1">
      <c r="A246" s="116"/>
      <c r="B246" s="117" t="s">
        <v>1469</v>
      </c>
      <c r="C246" s="117"/>
      <c r="D246" s="117"/>
      <c r="E246" s="117"/>
      <c r="F246" s="118" t="s">
        <v>2540</v>
      </c>
      <c r="G246" s="118" t="s">
        <v>2540</v>
      </c>
      <c r="H246" s="117" t="s">
        <v>302</v>
      </c>
      <c r="I246" s="117" t="s">
        <v>1283</v>
      </c>
      <c r="J246" s="117" t="s">
        <v>306</v>
      </c>
      <c r="K246" s="123" t="s">
        <v>1725</v>
      </c>
      <c r="L246" s="117" t="s">
        <v>306</v>
      </c>
      <c r="M246" s="123" t="s">
        <v>1831</v>
      </c>
      <c r="N246" s="117" t="s">
        <v>1294</v>
      </c>
      <c r="O246" s="118" t="s">
        <v>2541</v>
      </c>
      <c r="P246" s="118" t="s">
        <v>2542</v>
      </c>
      <c r="Q246" s="117"/>
      <c r="R246" s="117"/>
      <c r="S246" s="117"/>
      <c r="T246" s="117"/>
      <c r="U246" s="117"/>
      <c r="V246" s="123" t="s">
        <v>2543</v>
      </c>
      <c r="W246" s="117"/>
      <c r="X246" s="118" t="s">
        <v>2544</v>
      </c>
      <c r="Y246" s="118" t="s">
        <v>2545</v>
      </c>
      <c r="Z246" s="118" t="s">
        <v>2546</v>
      </c>
      <c r="AA246" s="118" t="s">
        <v>2547</v>
      </c>
      <c r="AB246" s="117"/>
      <c r="AC246" s="117"/>
      <c r="AD246" s="117"/>
      <c r="AE246" s="117"/>
      <c r="AF246" s="117"/>
      <c r="AG246" s="117"/>
      <c r="AH246" s="117"/>
      <c r="AI246" s="117"/>
      <c r="AJ246" s="117"/>
    </row>
    <row r="247" spans="1:36" ht="24.75" customHeight="1">
      <c r="A247" s="116"/>
      <c r="B247" s="117" t="s">
        <v>1469</v>
      </c>
      <c r="C247" s="117"/>
      <c r="D247" s="117"/>
      <c r="E247" s="117"/>
      <c r="F247" s="118" t="s">
        <v>2548</v>
      </c>
      <c r="G247" s="118" t="s">
        <v>2548</v>
      </c>
      <c r="H247" s="117" t="s">
        <v>302</v>
      </c>
      <c r="I247" s="117" t="s">
        <v>1283</v>
      </c>
      <c r="J247" s="117" t="s">
        <v>306</v>
      </c>
      <c r="K247" s="123" t="s">
        <v>1725</v>
      </c>
      <c r="L247" s="117" t="s">
        <v>306</v>
      </c>
      <c r="M247" s="123" t="s">
        <v>1831</v>
      </c>
      <c r="N247" s="117" t="s">
        <v>1294</v>
      </c>
      <c r="O247" s="118" t="s">
        <v>2549</v>
      </c>
      <c r="P247" s="118" t="s">
        <v>2550</v>
      </c>
      <c r="Q247" s="117"/>
      <c r="R247" s="117"/>
      <c r="S247" s="117"/>
      <c r="T247" s="117"/>
      <c r="U247" s="117"/>
      <c r="V247" s="123" t="s">
        <v>2551</v>
      </c>
      <c r="W247" s="117"/>
      <c r="X247" s="118" t="s">
        <v>2552</v>
      </c>
      <c r="Y247" s="118"/>
      <c r="Z247" s="118" t="s">
        <v>2553</v>
      </c>
      <c r="AA247" s="118" t="s">
        <v>2554</v>
      </c>
      <c r="AB247" s="117"/>
      <c r="AC247" s="117"/>
      <c r="AD247" s="117"/>
      <c r="AE247" s="117"/>
      <c r="AF247" s="117"/>
      <c r="AG247" s="117"/>
      <c r="AH247" s="117"/>
      <c r="AI247" s="117"/>
      <c r="AJ247" s="117"/>
    </row>
    <row r="248" spans="1:36" ht="24.75" customHeight="1">
      <c r="A248" s="116"/>
      <c r="B248" s="117" t="s">
        <v>1469</v>
      </c>
      <c r="C248" s="117"/>
      <c r="D248" s="117"/>
      <c r="E248" s="117"/>
      <c r="F248" s="118" t="s">
        <v>2555</v>
      </c>
      <c r="G248" s="118" t="s">
        <v>2555</v>
      </c>
      <c r="H248" s="117" t="s">
        <v>302</v>
      </c>
      <c r="I248" s="117" t="s">
        <v>1283</v>
      </c>
      <c r="J248" s="117" t="s">
        <v>306</v>
      </c>
      <c r="K248" s="123" t="s">
        <v>1725</v>
      </c>
      <c r="L248" s="117" t="s">
        <v>306</v>
      </c>
      <c r="M248" s="123" t="s">
        <v>1854</v>
      </c>
      <c r="N248" s="117" t="s">
        <v>1294</v>
      </c>
      <c r="O248" s="118" t="s">
        <v>2556</v>
      </c>
      <c r="P248" s="118" t="s">
        <v>2557</v>
      </c>
      <c r="Q248" s="117"/>
      <c r="R248" s="117"/>
      <c r="S248" s="117"/>
      <c r="T248" s="117"/>
      <c r="U248" s="117"/>
      <c r="V248" s="123" t="s">
        <v>2558</v>
      </c>
      <c r="W248" s="117"/>
      <c r="X248" s="118" t="s">
        <v>2559</v>
      </c>
      <c r="Y248" s="118"/>
      <c r="Z248" s="118" t="s">
        <v>2560</v>
      </c>
      <c r="AA248" s="118" t="s">
        <v>2561</v>
      </c>
      <c r="AB248" s="117"/>
      <c r="AC248" s="117"/>
      <c r="AD248" s="117"/>
      <c r="AE248" s="117"/>
      <c r="AF248" s="117"/>
      <c r="AG248" s="117"/>
      <c r="AH248" s="117"/>
      <c r="AI248" s="117"/>
      <c r="AJ248" s="117"/>
    </row>
    <row r="249" spans="1:36" ht="24.75" customHeight="1">
      <c r="A249" s="116"/>
      <c r="B249" s="117" t="s">
        <v>1469</v>
      </c>
      <c r="C249" s="117"/>
      <c r="D249" s="117"/>
      <c r="E249" s="117"/>
      <c r="F249" s="118" t="s">
        <v>2562</v>
      </c>
      <c r="G249" s="118" t="s">
        <v>2563</v>
      </c>
      <c r="H249" s="117" t="s">
        <v>302</v>
      </c>
      <c r="I249" s="117" t="s">
        <v>1283</v>
      </c>
      <c r="J249" s="117" t="s">
        <v>306</v>
      </c>
      <c r="K249" s="123" t="s">
        <v>1725</v>
      </c>
      <c r="L249" s="117" t="s">
        <v>306</v>
      </c>
      <c r="M249" s="123" t="s">
        <v>2564</v>
      </c>
      <c r="N249" s="117" t="s">
        <v>1294</v>
      </c>
      <c r="O249" s="118" t="s">
        <v>2565</v>
      </c>
      <c r="P249" s="118" t="s">
        <v>2566</v>
      </c>
      <c r="Q249" s="117"/>
      <c r="R249" s="117"/>
      <c r="S249" s="117"/>
      <c r="T249" s="117"/>
      <c r="U249" s="117"/>
      <c r="V249" s="123" t="s">
        <v>2567</v>
      </c>
      <c r="W249" s="117"/>
      <c r="X249" s="118" t="s">
        <v>2568</v>
      </c>
      <c r="Y249" s="118"/>
      <c r="Z249" s="118" t="s">
        <v>2569</v>
      </c>
      <c r="AA249" s="118" t="s">
        <v>2570</v>
      </c>
      <c r="AB249" s="117"/>
      <c r="AC249" s="117"/>
      <c r="AD249" s="117"/>
      <c r="AE249" s="117"/>
      <c r="AF249" s="117"/>
      <c r="AG249" s="117"/>
      <c r="AH249" s="117"/>
      <c r="AI249" s="117"/>
      <c r="AJ249" s="117"/>
    </row>
    <row r="250" spans="1:36" ht="24.75" customHeight="1">
      <c r="A250" s="116"/>
      <c r="B250" s="117" t="s">
        <v>1469</v>
      </c>
      <c r="C250" s="117"/>
      <c r="D250" s="117"/>
      <c r="E250" s="117" t="s">
        <v>1272</v>
      </c>
      <c r="F250" s="118" t="s">
        <v>2571</v>
      </c>
      <c r="G250" s="118" t="s">
        <v>2572</v>
      </c>
      <c r="H250" s="117" t="s">
        <v>298</v>
      </c>
      <c r="I250" s="117"/>
      <c r="J250" s="117" t="s">
        <v>269</v>
      </c>
      <c r="K250" s="123" t="s">
        <v>1274</v>
      </c>
      <c r="L250" s="117" t="s">
        <v>269</v>
      </c>
      <c r="M250" s="123" t="s">
        <v>1360</v>
      </c>
      <c r="N250" s="117" t="s">
        <v>1294</v>
      </c>
      <c r="O250" s="118" t="s">
        <v>2573</v>
      </c>
      <c r="P250" s="118"/>
      <c r="Q250" s="117"/>
      <c r="R250" s="117"/>
      <c r="S250" s="117"/>
      <c r="T250" s="117"/>
      <c r="U250" s="117"/>
      <c r="V250" s="123" t="s">
        <v>2574</v>
      </c>
      <c r="W250" s="117"/>
      <c r="X250" s="128" t="s">
        <v>2575</v>
      </c>
      <c r="Y250" s="118"/>
      <c r="Z250" s="118"/>
      <c r="AA250" s="181" t="s">
        <v>2576</v>
      </c>
      <c r="AB250" s="117"/>
      <c r="AC250" s="117"/>
      <c r="AD250" s="117"/>
      <c r="AE250" s="117"/>
      <c r="AF250" s="117"/>
      <c r="AG250" s="117"/>
      <c r="AH250" s="117"/>
      <c r="AI250" s="117"/>
      <c r="AJ250" s="117"/>
    </row>
    <row r="251" spans="1:36" ht="24.75" customHeight="1">
      <c r="A251" s="116"/>
      <c r="B251" s="117" t="s">
        <v>1469</v>
      </c>
      <c r="C251" s="117"/>
      <c r="D251" s="117"/>
      <c r="E251" s="117" t="s">
        <v>1272</v>
      </c>
      <c r="F251" s="118" t="s">
        <v>2577</v>
      </c>
      <c r="G251" s="118" t="s">
        <v>2578</v>
      </c>
      <c r="H251" s="117" t="s">
        <v>298</v>
      </c>
      <c r="I251" s="117"/>
      <c r="J251" s="117" t="s">
        <v>269</v>
      </c>
      <c r="K251" s="123" t="s">
        <v>1274</v>
      </c>
      <c r="L251" s="117" t="s">
        <v>269</v>
      </c>
      <c r="M251" s="123" t="s">
        <v>1360</v>
      </c>
      <c r="N251" s="117" t="s">
        <v>1294</v>
      </c>
      <c r="O251" s="118" t="s">
        <v>2579</v>
      </c>
      <c r="P251" s="118"/>
      <c r="Q251" s="117"/>
      <c r="R251" s="117"/>
      <c r="S251" s="117"/>
      <c r="T251" s="117"/>
      <c r="U251" s="117"/>
      <c r="V251" s="123"/>
      <c r="W251" s="117"/>
      <c r="X251" s="118" t="s">
        <v>2580</v>
      </c>
      <c r="Y251" s="118"/>
      <c r="Z251" s="128" t="s">
        <v>2581</v>
      </c>
      <c r="AA251" s="118" t="s">
        <v>2582</v>
      </c>
      <c r="AB251" s="117"/>
      <c r="AC251" s="117"/>
      <c r="AD251" s="117"/>
      <c r="AE251" s="117"/>
      <c r="AF251" s="117"/>
      <c r="AG251" s="117"/>
      <c r="AH251" s="117"/>
      <c r="AI251" s="117"/>
      <c r="AJ251" s="117"/>
    </row>
    <row r="252" spans="1:36" ht="24.75" customHeight="1">
      <c r="A252" s="116"/>
      <c r="B252" s="117" t="s">
        <v>1469</v>
      </c>
      <c r="C252" s="117"/>
      <c r="D252" s="117"/>
      <c r="E252" s="117" t="s">
        <v>1272</v>
      </c>
      <c r="F252" s="118" t="s">
        <v>2583</v>
      </c>
      <c r="G252" s="118" t="s">
        <v>2584</v>
      </c>
      <c r="H252" s="117" t="s">
        <v>298</v>
      </c>
      <c r="I252" s="117"/>
      <c r="J252" s="117" t="s">
        <v>269</v>
      </c>
      <c r="K252" s="123" t="s">
        <v>1274</v>
      </c>
      <c r="L252" s="117" t="s">
        <v>269</v>
      </c>
      <c r="M252" s="123" t="s">
        <v>1360</v>
      </c>
      <c r="N252" s="117" t="s">
        <v>1294</v>
      </c>
      <c r="O252" s="118" t="s">
        <v>2585</v>
      </c>
      <c r="P252" s="118" t="s">
        <v>2586</v>
      </c>
      <c r="Q252" s="117"/>
      <c r="R252" s="117"/>
      <c r="S252" s="117"/>
      <c r="T252" s="117"/>
      <c r="U252" s="117"/>
      <c r="V252" s="123" t="s">
        <v>2587</v>
      </c>
      <c r="W252" s="117"/>
      <c r="X252" s="128" t="s">
        <v>2588</v>
      </c>
      <c r="Y252" s="118"/>
      <c r="Z252" s="118"/>
      <c r="AA252" s="118" t="s">
        <v>2589</v>
      </c>
      <c r="AB252" s="117"/>
      <c r="AC252" s="117"/>
      <c r="AD252" s="117"/>
      <c r="AE252" s="117"/>
      <c r="AF252" s="117"/>
      <c r="AG252" s="117"/>
      <c r="AH252" s="117"/>
      <c r="AI252" s="117"/>
      <c r="AJ252" s="117"/>
    </row>
    <row r="253" spans="1:36" ht="24.75" customHeight="1">
      <c r="A253" s="116"/>
      <c r="B253" s="117" t="s">
        <v>1469</v>
      </c>
      <c r="C253" s="117"/>
      <c r="D253" s="117"/>
      <c r="E253" s="117" t="s">
        <v>1272</v>
      </c>
      <c r="F253" s="118" t="s">
        <v>338</v>
      </c>
      <c r="G253" s="118" t="s">
        <v>338</v>
      </c>
      <c r="H253" s="117" t="s">
        <v>298</v>
      </c>
      <c r="I253" s="117"/>
      <c r="J253" s="117" t="s">
        <v>269</v>
      </c>
      <c r="K253" s="123" t="s">
        <v>1274</v>
      </c>
      <c r="L253" s="117" t="s">
        <v>269</v>
      </c>
      <c r="M253" s="123" t="s">
        <v>1360</v>
      </c>
      <c r="N253" s="117" t="s">
        <v>1294</v>
      </c>
      <c r="O253" s="118"/>
      <c r="P253" s="118"/>
      <c r="Q253" s="117"/>
      <c r="R253" s="117"/>
      <c r="S253" s="117"/>
      <c r="T253" s="117"/>
      <c r="U253" s="117"/>
      <c r="V253" s="123"/>
      <c r="W253" s="117"/>
      <c r="X253" s="118"/>
      <c r="Y253" s="118"/>
      <c r="Z253" s="118"/>
      <c r="AA253" s="118"/>
      <c r="AB253" s="117"/>
      <c r="AC253" s="117"/>
      <c r="AD253" s="117"/>
      <c r="AE253" s="117"/>
      <c r="AF253" s="117"/>
      <c r="AG253" s="117"/>
      <c r="AH253" s="117"/>
      <c r="AI253" s="117"/>
      <c r="AJ253" s="117"/>
    </row>
    <row r="254" spans="1:36" ht="24.75" customHeight="1">
      <c r="A254" s="116"/>
      <c r="B254" s="117" t="s">
        <v>1469</v>
      </c>
      <c r="C254" s="117"/>
      <c r="D254" s="117"/>
      <c r="E254" s="117" t="s">
        <v>1272</v>
      </c>
      <c r="F254" s="118" t="s">
        <v>2590</v>
      </c>
      <c r="G254" s="118"/>
      <c r="H254" s="117" t="s">
        <v>298</v>
      </c>
      <c r="I254" s="117"/>
      <c r="J254" s="117" t="s">
        <v>269</v>
      </c>
      <c r="K254" s="123" t="s">
        <v>1274</v>
      </c>
      <c r="L254" s="152" t="s">
        <v>2591</v>
      </c>
      <c r="M254" s="123" t="s">
        <v>1360</v>
      </c>
      <c r="N254" s="117" t="s">
        <v>1294</v>
      </c>
      <c r="O254" s="118"/>
      <c r="P254" s="118"/>
      <c r="Q254" s="117"/>
      <c r="R254" s="117"/>
      <c r="S254" s="117"/>
      <c r="T254" s="117"/>
      <c r="U254" s="117"/>
      <c r="V254" s="123"/>
      <c r="W254" s="117"/>
      <c r="X254" s="118"/>
      <c r="Y254" s="118"/>
      <c r="Z254" s="118"/>
      <c r="AA254" s="118"/>
      <c r="AB254" s="117"/>
      <c r="AC254" s="117"/>
      <c r="AD254" s="117"/>
      <c r="AE254" s="117"/>
      <c r="AF254" s="117"/>
      <c r="AG254" s="117"/>
      <c r="AH254" s="117"/>
      <c r="AI254" s="117"/>
      <c r="AJ254" s="117"/>
    </row>
    <row r="255" spans="1:36" ht="24.75" customHeight="1">
      <c r="A255" s="116"/>
      <c r="B255" s="117" t="s">
        <v>1469</v>
      </c>
      <c r="C255" s="117"/>
      <c r="D255" s="117"/>
      <c r="E255" s="117" t="s">
        <v>1272</v>
      </c>
      <c r="F255" s="118" t="s">
        <v>2592</v>
      </c>
      <c r="G255" s="118" t="s">
        <v>2593</v>
      </c>
      <c r="H255" s="117" t="s">
        <v>298</v>
      </c>
      <c r="I255" s="117"/>
      <c r="J255" s="117" t="s">
        <v>269</v>
      </c>
      <c r="K255" s="123" t="s">
        <v>1274</v>
      </c>
      <c r="L255" s="117" t="s">
        <v>269</v>
      </c>
      <c r="M255" s="123" t="s">
        <v>1360</v>
      </c>
      <c r="N255" s="117" t="s">
        <v>1294</v>
      </c>
      <c r="O255" s="118" t="s">
        <v>2594</v>
      </c>
      <c r="P255" s="118" t="s">
        <v>1697</v>
      </c>
      <c r="Q255" s="117"/>
      <c r="R255" s="117"/>
      <c r="S255" s="117"/>
      <c r="T255" s="117"/>
      <c r="U255" s="117"/>
      <c r="V255" s="123" t="s">
        <v>2595</v>
      </c>
      <c r="W255" s="117"/>
      <c r="X255" s="128" t="s">
        <v>2596</v>
      </c>
      <c r="Y255" s="118"/>
      <c r="Z255" s="118"/>
      <c r="AA255" s="118" t="s">
        <v>2597</v>
      </c>
      <c r="AB255" s="117"/>
      <c r="AC255" s="117"/>
      <c r="AD255" s="117"/>
      <c r="AE255" s="117"/>
      <c r="AF255" s="117"/>
      <c r="AG255" s="117"/>
      <c r="AH255" s="117"/>
      <c r="AI255" s="117"/>
      <c r="AJ255" s="117"/>
    </row>
    <row r="256" spans="1:36" ht="24.75" customHeight="1">
      <c r="A256" s="116"/>
      <c r="B256" s="117" t="s">
        <v>1469</v>
      </c>
      <c r="C256" s="117"/>
      <c r="D256" s="117"/>
      <c r="E256" s="117" t="s">
        <v>1272</v>
      </c>
      <c r="F256" s="118" t="s">
        <v>2598</v>
      </c>
      <c r="G256" s="118" t="s">
        <v>2591</v>
      </c>
      <c r="H256" s="117" t="s">
        <v>302</v>
      </c>
      <c r="I256" s="117" t="s">
        <v>1283</v>
      </c>
      <c r="J256" s="117"/>
      <c r="K256" s="123"/>
      <c r="L256" s="117" t="s">
        <v>275</v>
      </c>
      <c r="M256" s="123"/>
      <c r="N256" s="117" t="s">
        <v>2599</v>
      </c>
      <c r="O256" s="118" t="s">
        <v>2600</v>
      </c>
      <c r="P256" s="118" t="s">
        <v>2601</v>
      </c>
      <c r="Q256" s="117"/>
      <c r="R256" s="117"/>
      <c r="S256" s="117"/>
      <c r="T256" s="117"/>
      <c r="U256" s="117"/>
      <c r="V256" s="123"/>
      <c r="W256" s="117"/>
      <c r="X256" s="128" t="s">
        <v>2602</v>
      </c>
      <c r="Y256" s="118"/>
      <c r="Z256" s="128" t="s">
        <v>2603</v>
      </c>
      <c r="AA256" s="118"/>
      <c r="AB256" s="117"/>
      <c r="AC256" s="117"/>
      <c r="AD256" s="117"/>
      <c r="AE256" s="117"/>
      <c r="AF256" s="117"/>
      <c r="AG256" s="117"/>
      <c r="AH256" s="117"/>
      <c r="AI256" s="117"/>
      <c r="AJ256" s="117"/>
    </row>
    <row r="257" spans="1:36" ht="24.75" customHeight="1">
      <c r="A257" s="116"/>
      <c r="B257" s="146" t="s">
        <v>1469</v>
      </c>
      <c r="C257" s="146"/>
      <c r="D257" s="146"/>
      <c r="E257" s="146" t="s">
        <v>1272</v>
      </c>
      <c r="F257" s="160" t="s">
        <v>2604</v>
      </c>
      <c r="G257" s="160"/>
      <c r="H257" s="146" t="s">
        <v>298</v>
      </c>
      <c r="I257" s="117"/>
      <c r="J257" s="146" t="s">
        <v>269</v>
      </c>
      <c r="K257" s="166" t="s">
        <v>1274</v>
      </c>
      <c r="L257" s="146" t="s">
        <v>269</v>
      </c>
      <c r="M257" s="166" t="s">
        <v>1889</v>
      </c>
      <c r="N257" s="146" t="s">
        <v>1294</v>
      </c>
      <c r="O257" s="160"/>
      <c r="P257" s="160"/>
      <c r="Q257" s="117"/>
      <c r="R257" s="117"/>
      <c r="S257" s="117"/>
      <c r="T257" s="117"/>
      <c r="U257" s="117"/>
      <c r="V257" s="166"/>
      <c r="W257" s="146"/>
      <c r="X257" s="160"/>
      <c r="Y257" s="160"/>
      <c r="Z257" s="178" t="s">
        <v>2605</v>
      </c>
      <c r="AA257" s="118"/>
      <c r="AB257" s="117"/>
      <c r="AC257" s="117"/>
      <c r="AD257" s="117"/>
      <c r="AE257" s="117"/>
      <c r="AF257" s="117"/>
      <c r="AG257" s="117"/>
      <c r="AH257" s="117"/>
      <c r="AI257" s="117"/>
      <c r="AJ257" s="117"/>
    </row>
    <row r="258" spans="1:36" ht="24.75" customHeight="1">
      <c r="A258" s="116"/>
      <c r="B258" s="146" t="s">
        <v>1469</v>
      </c>
      <c r="C258" s="146"/>
      <c r="D258" s="146"/>
      <c r="E258" s="146" t="s">
        <v>1272</v>
      </c>
      <c r="F258" s="160" t="s">
        <v>2606</v>
      </c>
      <c r="G258" s="160"/>
      <c r="H258" s="146" t="s">
        <v>298</v>
      </c>
      <c r="I258" s="117"/>
      <c r="J258" s="146" t="s">
        <v>269</v>
      </c>
      <c r="K258" s="166" t="s">
        <v>1274</v>
      </c>
      <c r="L258" s="146" t="s">
        <v>269</v>
      </c>
      <c r="M258" s="166" t="s">
        <v>1889</v>
      </c>
      <c r="N258" s="146" t="s">
        <v>2607</v>
      </c>
      <c r="O258" s="160"/>
      <c r="P258" s="160"/>
      <c r="Q258" s="117"/>
      <c r="R258" s="117"/>
      <c r="S258" s="117"/>
      <c r="T258" s="117"/>
      <c r="U258" s="117"/>
      <c r="V258" s="166"/>
      <c r="W258" s="146"/>
      <c r="X258" s="160"/>
      <c r="Y258" s="160"/>
      <c r="Z258" s="179" t="s">
        <v>2608</v>
      </c>
      <c r="AA258" s="118"/>
      <c r="AB258" s="117"/>
      <c r="AC258" s="117"/>
      <c r="AD258" s="117"/>
      <c r="AE258" s="117"/>
      <c r="AF258" s="117"/>
      <c r="AG258" s="117"/>
      <c r="AH258" s="117"/>
      <c r="AI258" s="117"/>
      <c r="AJ258" s="117"/>
    </row>
    <row r="259" spans="1:36" ht="24.75" customHeight="1">
      <c r="A259" s="116"/>
      <c r="B259" s="146" t="s">
        <v>1469</v>
      </c>
      <c r="C259" s="146"/>
      <c r="D259" s="146"/>
      <c r="E259" s="146" t="s">
        <v>1272</v>
      </c>
      <c r="F259" s="160" t="s">
        <v>2609</v>
      </c>
      <c r="G259" s="160"/>
      <c r="H259" s="146" t="s">
        <v>298</v>
      </c>
      <c r="I259" s="117"/>
      <c r="J259" s="146" t="s">
        <v>269</v>
      </c>
      <c r="K259" s="166" t="s">
        <v>1274</v>
      </c>
      <c r="L259" s="146" t="s">
        <v>269</v>
      </c>
      <c r="M259" s="166" t="s">
        <v>1889</v>
      </c>
      <c r="N259" s="146" t="s">
        <v>2607</v>
      </c>
      <c r="O259" s="160"/>
      <c r="P259" s="160"/>
      <c r="Q259" s="117"/>
      <c r="R259" s="117"/>
      <c r="S259" s="117"/>
      <c r="T259" s="117"/>
      <c r="U259" s="117"/>
      <c r="V259" s="166"/>
      <c r="W259" s="146"/>
      <c r="X259" s="160"/>
      <c r="Y259" s="160"/>
      <c r="Z259" s="179" t="s">
        <v>2610</v>
      </c>
      <c r="AA259" s="118"/>
      <c r="AB259" s="117"/>
      <c r="AC259" s="117"/>
      <c r="AD259" s="117"/>
      <c r="AE259" s="117"/>
      <c r="AF259" s="117"/>
      <c r="AG259" s="117"/>
      <c r="AH259" s="117"/>
      <c r="AI259" s="117"/>
      <c r="AJ259" s="117"/>
    </row>
    <row r="260" spans="1:36" ht="24.75" customHeight="1">
      <c r="A260" s="116"/>
      <c r="B260" s="146" t="s">
        <v>1469</v>
      </c>
      <c r="C260" s="146"/>
      <c r="D260" s="146"/>
      <c r="E260" s="146" t="s">
        <v>1272</v>
      </c>
      <c r="F260" s="160" t="s">
        <v>2611</v>
      </c>
      <c r="G260" s="160"/>
      <c r="H260" s="146" t="s">
        <v>298</v>
      </c>
      <c r="I260" s="117"/>
      <c r="J260" s="146" t="s">
        <v>269</v>
      </c>
      <c r="K260" s="166" t="s">
        <v>1274</v>
      </c>
      <c r="L260" s="146" t="s">
        <v>269</v>
      </c>
      <c r="M260" s="166" t="s">
        <v>1889</v>
      </c>
      <c r="N260" s="146" t="s">
        <v>1294</v>
      </c>
      <c r="O260" s="160"/>
      <c r="P260" s="160"/>
      <c r="Q260" s="117"/>
      <c r="R260" s="117"/>
      <c r="S260" s="117"/>
      <c r="T260" s="117"/>
      <c r="U260" s="117"/>
      <c r="V260" s="166"/>
      <c r="W260" s="146"/>
      <c r="X260" s="160"/>
      <c r="Y260" s="160"/>
      <c r="Z260" s="179" t="s">
        <v>2612</v>
      </c>
      <c r="AA260" s="118"/>
      <c r="AB260" s="117"/>
      <c r="AC260" s="117"/>
      <c r="AD260" s="117"/>
      <c r="AE260" s="117"/>
      <c r="AF260" s="117"/>
      <c r="AG260" s="117"/>
      <c r="AH260" s="117"/>
      <c r="AI260" s="117"/>
      <c r="AJ260" s="117"/>
    </row>
    <row r="261" spans="1:36" ht="24.75" customHeight="1">
      <c r="A261" s="116"/>
      <c r="B261" s="146" t="s">
        <v>1469</v>
      </c>
      <c r="C261" s="146"/>
      <c r="D261" s="146"/>
      <c r="E261" s="146" t="s">
        <v>1272</v>
      </c>
      <c r="F261" s="160" t="s">
        <v>2613</v>
      </c>
      <c r="G261" s="160"/>
      <c r="H261" s="146" t="s">
        <v>298</v>
      </c>
      <c r="I261" s="117"/>
      <c r="J261" s="146" t="s">
        <v>269</v>
      </c>
      <c r="K261" s="166" t="s">
        <v>1274</v>
      </c>
      <c r="L261" s="146" t="s">
        <v>269</v>
      </c>
      <c r="M261" s="166" t="s">
        <v>1284</v>
      </c>
      <c r="N261" s="146" t="s">
        <v>2607</v>
      </c>
      <c r="O261" s="160"/>
      <c r="P261" s="160"/>
      <c r="Q261" s="117"/>
      <c r="R261" s="117"/>
      <c r="S261" s="117"/>
      <c r="T261" s="117"/>
      <c r="U261" s="117"/>
      <c r="V261" s="166"/>
      <c r="W261" s="146"/>
      <c r="X261" s="160"/>
      <c r="Y261" s="160"/>
      <c r="Z261" s="179" t="s">
        <v>2614</v>
      </c>
      <c r="AA261" s="118"/>
      <c r="AB261" s="117"/>
      <c r="AC261" s="117"/>
      <c r="AD261" s="117"/>
      <c r="AE261" s="117"/>
      <c r="AF261" s="117"/>
      <c r="AG261" s="117"/>
      <c r="AH261" s="117"/>
      <c r="AI261" s="117"/>
      <c r="AJ261" s="117"/>
    </row>
    <row r="262" spans="1:36" ht="24.75" customHeight="1">
      <c r="A262" s="116"/>
      <c r="B262" s="146" t="s">
        <v>1469</v>
      </c>
      <c r="C262" s="146"/>
      <c r="D262" s="146"/>
      <c r="E262" s="146" t="s">
        <v>1272</v>
      </c>
      <c r="F262" s="160" t="s">
        <v>2615</v>
      </c>
      <c r="G262" s="160"/>
      <c r="H262" s="146" t="s">
        <v>298</v>
      </c>
      <c r="I262" s="117"/>
      <c r="J262" s="146" t="s">
        <v>269</v>
      </c>
      <c r="K262" s="166" t="s">
        <v>1274</v>
      </c>
      <c r="L262" s="146" t="s">
        <v>269</v>
      </c>
      <c r="M262" s="166" t="s">
        <v>1284</v>
      </c>
      <c r="N262" s="146" t="s">
        <v>2607</v>
      </c>
      <c r="O262" s="160"/>
      <c r="P262" s="160"/>
      <c r="Q262" s="117"/>
      <c r="R262" s="117"/>
      <c r="S262" s="117"/>
      <c r="T262" s="117"/>
      <c r="U262" s="117"/>
      <c r="V262" s="166"/>
      <c r="W262" s="146"/>
      <c r="X262" s="160"/>
      <c r="Y262" s="160"/>
      <c r="Z262" s="179" t="s">
        <v>2616</v>
      </c>
      <c r="AA262" s="118"/>
      <c r="AB262" s="117"/>
      <c r="AC262" s="117"/>
      <c r="AD262" s="117"/>
      <c r="AE262" s="117"/>
      <c r="AF262" s="117"/>
      <c r="AG262" s="117"/>
      <c r="AH262" s="117"/>
      <c r="AI262" s="117"/>
      <c r="AJ262" s="117"/>
    </row>
    <row r="263" spans="1:36" ht="24.75" customHeight="1">
      <c r="A263" s="116"/>
      <c r="B263" s="146" t="s">
        <v>1469</v>
      </c>
      <c r="C263" s="146"/>
      <c r="D263" s="146"/>
      <c r="E263" s="146" t="s">
        <v>1272</v>
      </c>
      <c r="F263" s="160" t="s">
        <v>2617</v>
      </c>
      <c r="G263" s="160"/>
      <c r="H263" s="146" t="s">
        <v>298</v>
      </c>
      <c r="I263" s="117"/>
      <c r="J263" s="146" t="s">
        <v>269</v>
      </c>
      <c r="K263" s="166" t="s">
        <v>1274</v>
      </c>
      <c r="L263" s="146" t="s">
        <v>269</v>
      </c>
      <c r="M263" s="166" t="s">
        <v>1284</v>
      </c>
      <c r="N263" s="146" t="s">
        <v>1294</v>
      </c>
      <c r="O263" s="160"/>
      <c r="P263" s="160"/>
      <c r="Q263" s="117"/>
      <c r="R263" s="117"/>
      <c r="S263" s="117"/>
      <c r="T263" s="117"/>
      <c r="U263" s="117"/>
      <c r="V263" s="166"/>
      <c r="W263" s="146"/>
      <c r="X263" s="160"/>
      <c r="Y263" s="160"/>
      <c r="Z263" s="179" t="s">
        <v>2618</v>
      </c>
      <c r="AA263" s="118"/>
      <c r="AB263" s="117"/>
      <c r="AC263" s="117"/>
      <c r="AD263" s="117"/>
      <c r="AE263" s="117"/>
      <c r="AF263" s="117"/>
      <c r="AG263" s="117"/>
      <c r="AH263" s="117"/>
      <c r="AI263" s="117"/>
      <c r="AJ263" s="117"/>
    </row>
    <row r="264" spans="1:36" ht="24.75" customHeight="1">
      <c r="A264" s="116"/>
      <c r="B264" s="146" t="s">
        <v>1469</v>
      </c>
      <c r="C264" s="146"/>
      <c r="D264" s="146"/>
      <c r="E264" s="146" t="s">
        <v>1272</v>
      </c>
      <c r="F264" s="160" t="s">
        <v>2619</v>
      </c>
      <c r="G264" s="160"/>
      <c r="H264" s="146" t="s">
        <v>298</v>
      </c>
      <c r="I264" s="117"/>
      <c r="J264" s="146" t="s">
        <v>269</v>
      </c>
      <c r="K264" s="166" t="s">
        <v>1274</v>
      </c>
      <c r="L264" s="146" t="s">
        <v>269</v>
      </c>
      <c r="M264" s="166" t="s">
        <v>2620</v>
      </c>
      <c r="N264" s="146" t="s">
        <v>1294</v>
      </c>
      <c r="O264" s="160"/>
      <c r="P264" s="160"/>
      <c r="Q264" s="117"/>
      <c r="R264" s="117"/>
      <c r="S264" s="117"/>
      <c r="T264" s="117"/>
      <c r="U264" s="117"/>
      <c r="V264" s="166"/>
      <c r="W264" s="146"/>
      <c r="X264" s="160"/>
      <c r="Y264" s="160"/>
      <c r="Z264" s="179" t="s">
        <v>2621</v>
      </c>
      <c r="AA264" s="118"/>
      <c r="AB264" s="117"/>
      <c r="AC264" s="117"/>
      <c r="AD264" s="117"/>
      <c r="AE264" s="117"/>
      <c r="AF264" s="117"/>
      <c r="AG264" s="117"/>
      <c r="AH264" s="117"/>
      <c r="AI264" s="117"/>
      <c r="AJ264" s="117"/>
    </row>
    <row r="265" spans="1:36" ht="24.75" customHeight="1">
      <c r="A265" s="116"/>
      <c r="B265" s="146" t="s">
        <v>1469</v>
      </c>
      <c r="C265" s="146"/>
      <c r="D265" s="146"/>
      <c r="E265" s="146" t="s">
        <v>1272</v>
      </c>
      <c r="F265" s="160" t="s">
        <v>2622</v>
      </c>
      <c r="G265" s="160"/>
      <c r="H265" s="146" t="s">
        <v>298</v>
      </c>
      <c r="I265" s="117"/>
      <c r="J265" s="146" t="s">
        <v>269</v>
      </c>
      <c r="K265" s="166" t="s">
        <v>1274</v>
      </c>
      <c r="L265" s="146" t="s">
        <v>269</v>
      </c>
      <c r="M265" s="166" t="s">
        <v>2620</v>
      </c>
      <c r="N265" s="146" t="s">
        <v>2607</v>
      </c>
      <c r="O265" s="160"/>
      <c r="P265" s="160"/>
      <c r="Q265" s="117"/>
      <c r="R265" s="117"/>
      <c r="S265" s="117"/>
      <c r="T265" s="117"/>
      <c r="U265" s="117"/>
      <c r="V265" s="166"/>
      <c r="W265" s="146"/>
      <c r="X265" s="160"/>
      <c r="Y265" s="160"/>
      <c r="Z265" s="179" t="s">
        <v>2623</v>
      </c>
      <c r="AA265" s="118"/>
      <c r="AB265" s="117"/>
      <c r="AC265" s="117"/>
      <c r="AD265" s="117"/>
      <c r="AE265" s="117"/>
      <c r="AF265" s="117"/>
      <c r="AG265" s="117"/>
      <c r="AH265" s="117"/>
      <c r="AI265" s="117"/>
      <c r="AJ265" s="117"/>
    </row>
    <row r="266" spans="1:36" ht="24.75" customHeight="1">
      <c r="A266" s="116"/>
      <c r="B266" s="146" t="s">
        <v>1469</v>
      </c>
      <c r="C266" s="146"/>
      <c r="D266" s="146"/>
      <c r="E266" s="146" t="s">
        <v>1272</v>
      </c>
      <c r="F266" s="160" t="s">
        <v>2624</v>
      </c>
      <c r="G266" s="160"/>
      <c r="H266" s="146" t="s">
        <v>298</v>
      </c>
      <c r="I266" s="117"/>
      <c r="J266" s="146" t="s">
        <v>269</v>
      </c>
      <c r="K266" s="166" t="s">
        <v>1274</v>
      </c>
      <c r="L266" s="146" t="s">
        <v>269</v>
      </c>
      <c r="M266" s="166" t="s">
        <v>2620</v>
      </c>
      <c r="N266" s="146" t="s">
        <v>1294</v>
      </c>
      <c r="O266" s="160"/>
      <c r="P266" s="160"/>
      <c r="Q266" s="117"/>
      <c r="R266" s="117"/>
      <c r="S266" s="117"/>
      <c r="T266" s="117"/>
      <c r="U266" s="117"/>
      <c r="V266" s="166"/>
      <c r="W266" s="146"/>
      <c r="X266" s="160"/>
      <c r="Y266" s="160"/>
      <c r="Z266" s="179" t="s">
        <v>2625</v>
      </c>
      <c r="AA266" s="118"/>
      <c r="AB266" s="117"/>
      <c r="AC266" s="117"/>
      <c r="AD266" s="117"/>
      <c r="AE266" s="117"/>
      <c r="AF266" s="117"/>
      <c r="AG266" s="117"/>
      <c r="AH266" s="117"/>
      <c r="AI266" s="117"/>
      <c r="AJ266" s="117"/>
    </row>
    <row r="267" spans="1:36" ht="24.75" customHeight="1">
      <c r="A267" s="116"/>
      <c r="B267" s="146" t="s">
        <v>1469</v>
      </c>
      <c r="C267" s="146"/>
      <c r="D267" s="146"/>
      <c r="E267" s="146" t="s">
        <v>1272</v>
      </c>
      <c r="F267" s="160" t="s">
        <v>2626</v>
      </c>
      <c r="G267" s="160"/>
      <c r="H267" s="146" t="s">
        <v>298</v>
      </c>
      <c r="I267" s="117"/>
      <c r="J267" s="146" t="s">
        <v>269</v>
      </c>
      <c r="K267" s="166" t="s">
        <v>1274</v>
      </c>
      <c r="L267" s="146" t="s">
        <v>269</v>
      </c>
      <c r="M267" s="166" t="s">
        <v>2627</v>
      </c>
      <c r="N267" s="146" t="s">
        <v>2607</v>
      </c>
      <c r="O267" s="160"/>
      <c r="P267" s="160"/>
      <c r="Q267" s="117"/>
      <c r="R267" s="117"/>
      <c r="S267" s="117"/>
      <c r="T267" s="117"/>
      <c r="U267" s="117"/>
      <c r="V267" s="166"/>
      <c r="W267" s="146"/>
      <c r="X267" s="160"/>
      <c r="Y267" s="160"/>
      <c r="Z267" s="160"/>
      <c r="AA267" s="118"/>
      <c r="AB267" s="117"/>
      <c r="AC267" s="117"/>
      <c r="AD267" s="117"/>
      <c r="AE267" s="117"/>
      <c r="AF267" s="117"/>
      <c r="AG267" s="117"/>
      <c r="AH267" s="117"/>
      <c r="AI267" s="117"/>
      <c r="AJ267" s="117"/>
    </row>
    <row r="268" spans="1:36" ht="24.75" customHeight="1">
      <c r="A268" s="116"/>
      <c r="B268" s="131" t="s">
        <v>1629</v>
      </c>
      <c r="C268" s="131"/>
      <c r="D268" s="131"/>
      <c r="E268" s="131" t="s">
        <v>1272</v>
      </c>
      <c r="F268" s="118" t="s">
        <v>2628</v>
      </c>
      <c r="G268" s="118"/>
      <c r="H268" s="117" t="s">
        <v>424</v>
      </c>
      <c r="I268" s="117" t="s">
        <v>1283</v>
      </c>
      <c r="J268" s="117"/>
      <c r="K268" s="123"/>
      <c r="L268" s="117"/>
      <c r="M268" s="123"/>
      <c r="N268" s="117" t="s">
        <v>2629</v>
      </c>
      <c r="O268" s="118" t="s">
        <v>2630</v>
      </c>
      <c r="P268" s="118"/>
      <c r="Q268" s="117"/>
      <c r="R268" s="117"/>
      <c r="S268" s="117"/>
      <c r="T268" s="117"/>
      <c r="U268" s="117"/>
      <c r="V268" s="123" t="s">
        <v>2631</v>
      </c>
      <c r="W268" s="117"/>
      <c r="X268" s="128" t="s">
        <v>2632</v>
      </c>
      <c r="Y268" s="118"/>
      <c r="Z268" s="128" t="s">
        <v>2633</v>
      </c>
      <c r="AA268" s="118"/>
      <c r="AB268" s="117"/>
      <c r="AC268" s="117"/>
      <c r="AD268" s="117"/>
      <c r="AE268" s="117"/>
      <c r="AF268" s="117"/>
      <c r="AG268" s="117"/>
      <c r="AH268" s="117"/>
      <c r="AI268" s="117"/>
      <c r="AJ268" s="117"/>
    </row>
    <row r="269" spans="1:36" ht="24.75" customHeight="1">
      <c r="A269" s="116"/>
      <c r="B269" s="131" t="s">
        <v>277</v>
      </c>
      <c r="C269" s="131"/>
      <c r="D269" s="131"/>
      <c r="E269" s="131" t="s">
        <v>1403</v>
      </c>
      <c r="F269" s="118" t="s">
        <v>2634</v>
      </c>
      <c r="G269" s="118" t="s">
        <v>2634</v>
      </c>
      <c r="H269" s="117" t="s">
        <v>424</v>
      </c>
      <c r="I269" s="117" t="s">
        <v>302</v>
      </c>
      <c r="J269" s="117" t="s">
        <v>326</v>
      </c>
      <c r="K269" s="123" t="s">
        <v>1725</v>
      </c>
      <c r="L269" s="117" t="s">
        <v>326</v>
      </c>
      <c r="M269" s="123" t="s">
        <v>1779</v>
      </c>
      <c r="N269" s="117" t="s">
        <v>2629</v>
      </c>
      <c r="O269" s="118" t="s">
        <v>2635</v>
      </c>
      <c r="P269" s="118" t="s">
        <v>1951</v>
      </c>
      <c r="Q269" s="117"/>
      <c r="R269" s="117"/>
      <c r="S269" s="117"/>
      <c r="T269" s="117"/>
      <c r="U269" s="117"/>
      <c r="V269" s="123" t="s">
        <v>2636</v>
      </c>
      <c r="W269" s="117" t="s">
        <v>1801</v>
      </c>
      <c r="X269" s="173" t="s">
        <v>2637</v>
      </c>
      <c r="Y269" s="118"/>
      <c r="Z269" s="128" t="s">
        <v>2638</v>
      </c>
      <c r="AA269" s="118" t="s">
        <v>2639</v>
      </c>
      <c r="AB269" s="117"/>
      <c r="AC269" s="117"/>
      <c r="AD269" s="117"/>
      <c r="AE269" s="117"/>
      <c r="AF269" s="117"/>
      <c r="AG269" s="117"/>
      <c r="AH269" s="117"/>
      <c r="AI269" s="117"/>
      <c r="AJ269" s="117"/>
    </row>
    <row r="270" spans="1:36" ht="24.75" customHeight="1">
      <c r="A270" s="116"/>
      <c r="B270" s="131" t="s">
        <v>1270</v>
      </c>
      <c r="C270" s="131" t="s">
        <v>1343</v>
      </c>
      <c r="D270" s="131">
        <v>30</v>
      </c>
      <c r="E270" s="131" t="s">
        <v>1272</v>
      </c>
      <c r="F270" s="118" t="s">
        <v>2640</v>
      </c>
      <c r="G270" s="118" t="s">
        <v>2640</v>
      </c>
      <c r="H270" s="117" t="s">
        <v>424</v>
      </c>
      <c r="I270" s="117" t="s">
        <v>1283</v>
      </c>
      <c r="J270" s="117" t="s">
        <v>300</v>
      </c>
      <c r="K270" s="123" t="s">
        <v>1725</v>
      </c>
      <c r="L270" s="117" t="s">
        <v>300</v>
      </c>
      <c r="M270" s="123" t="s">
        <v>1416</v>
      </c>
      <c r="N270" s="117" t="s">
        <v>2641</v>
      </c>
      <c r="O270" s="118" t="s">
        <v>2642</v>
      </c>
      <c r="P270" s="118" t="s">
        <v>2643</v>
      </c>
      <c r="Q270" s="117"/>
      <c r="R270" s="117"/>
      <c r="S270" s="117"/>
      <c r="T270" s="117"/>
      <c r="U270" s="117"/>
      <c r="V270" s="127">
        <v>6285656290095</v>
      </c>
      <c r="W270" s="117" t="s">
        <v>2644</v>
      </c>
      <c r="X270" s="128" t="s">
        <v>2645</v>
      </c>
      <c r="Y270" s="118"/>
      <c r="Z270" s="128" t="s">
        <v>2646</v>
      </c>
      <c r="AA270" s="118" t="s">
        <v>2647</v>
      </c>
      <c r="AB270" s="117"/>
      <c r="AC270" s="117"/>
      <c r="AD270" s="117"/>
      <c r="AE270" s="117"/>
      <c r="AF270" s="117"/>
      <c r="AG270" s="117"/>
      <c r="AH270" s="117"/>
      <c r="AI270" s="117"/>
      <c r="AJ270" s="117"/>
    </row>
    <row r="271" spans="1:36" ht="24.75" customHeight="1">
      <c r="A271" s="116"/>
      <c r="B271" s="117" t="s">
        <v>1677</v>
      </c>
      <c r="C271" s="117"/>
      <c r="D271" s="117"/>
      <c r="E271" s="117" t="s">
        <v>1272</v>
      </c>
      <c r="F271" s="118" t="s">
        <v>339</v>
      </c>
      <c r="G271" s="118" t="s">
        <v>2648</v>
      </c>
      <c r="H271" s="117" t="s">
        <v>424</v>
      </c>
      <c r="I271" s="117" t="s">
        <v>302</v>
      </c>
      <c r="J271" s="117" t="s">
        <v>326</v>
      </c>
      <c r="K271" s="123" t="s">
        <v>1725</v>
      </c>
      <c r="L271" s="117" t="s">
        <v>326</v>
      </c>
      <c r="M271" s="123" t="s">
        <v>2649</v>
      </c>
      <c r="N271" s="117" t="s">
        <v>2650</v>
      </c>
      <c r="O271" s="118" t="s">
        <v>2651</v>
      </c>
      <c r="P271" s="118" t="s">
        <v>2652</v>
      </c>
      <c r="Q271" s="117"/>
      <c r="R271" s="117"/>
      <c r="S271" s="117"/>
      <c r="T271" s="117"/>
      <c r="U271" s="117"/>
      <c r="V271" s="123">
        <v>84906668790</v>
      </c>
      <c r="W271" s="117" t="s">
        <v>1801</v>
      </c>
      <c r="X271" s="128" t="s">
        <v>2653</v>
      </c>
      <c r="Y271" s="128" t="s">
        <v>2654</v>
      </c>
      <c r="Z271" s="128" t="s">
        <v>2655</v>
      </c>
      <c r="AA271" s="118" t="s">
        <v>2656</v>
      </c>
      <c r="AB271" s="117" t="s">
        <v>1797</v>
      </c>
      <c r="AC271" s="117" t="s">
        <v>1797</v>
      </c>
      <c r="AD271" s="117" t="s">
        <v>1334</v>
      </c>
      <c r="AE271" s="117" t="s">
        <v>1797</v>
      </c>
      <c r="AF271" s="117" t="s">
        <v>1796</v>
      </c>
      <c r="AG271" s="117" t="s">
        <v>1594</v>
      </c>
      <c r="AH271" s="117" t="s">
        <v>1797</v>
      </c>
      <c r="AI271" s="117"/>
      <c r="AJ271" s="117" t="s">
        <v>2657</v>
      </c>
    </row>
    <row r="272" spans="1:36" ht="24.75" customHeight="1">
      <c r="A272" s="147"/>
      <c r="B272" s="117" t="s">
        <v>1469</v>
      </c>
      <c r="C272" s="117"/>
      <c r="D272" s="117"/>
      <c r="E272" s="117" t="s">
        <v>1272</v>
      </c>
      <c r="F272" s="118" t="s">
        <v>2658</v>
      </c>
      <c r="G272" s="118" t="s">
        <v>2659</v>
      </c>
      <c r="H272" s="117" t="s">
        <v>424</v>
      </c>
      <c r="I272" s="117" t="s">
        <v>1283</v>
      </c>
      <c r="J272" s="117" t="s">
        <v>306</v>
      </c>
      <c r="K272" s="123" t="s">
        <v>1725</v>
      </c>
      <c r="L272" s="117" t="s">
        <v>306</v>
      </c>
      <c r="M272" s="123" t="s">
        <v>1831</v>
      </c>
      <c r="N272" s="117" t="s">
        <v>2660</v>
      </c>
      <c r="O272" s="118" t="s">
        <v>2661</v>
      </c>
      <c r="P272" s="118" t="s">
        <v>2662</v>
      </c>
      <c r="Q272" s="117"/>
      <c r="R272" s="117"/>
      <c r="S272" s="117"/>
      <c r="T272" s="117"/>
      <c r="U272" s="117"/>
      <c r="V272" s="127" t="s">
        <v>2663</v>
      </c>
      <c r="W272" s="148"/>
      <c r="X272" s="173" t="s">
        <v>2664</v>
      </c>
      <c r="Y272" s="118"/>
      <c r="Z272" s="128" t="s">
        <v>2665</v>
      </c>
      <c r="AA272" s="118" t="s">
        <v>2666</v>
      </c>
      <c r="AB272" s="117"/>
      <c r="AC272" s="117"/>
      <c r="AD272" s="117"/>
      <c r="AE272" s="117"/>
      <c r="AF272" s="117"/>
      <c r="AG272" s="117"/>
      <c r="AH272" s="117"/>
      <c r="AI272" s="117"/>
      <c r="AJ272" s="117"/>
    </row>
    <row r="273" spans="1:36" ht="24.75" customHeight="1">
      <c r="A273" s="147"/>
      <c r="B273" s="117" t="s">
        <v>1469</v>
      </c>
      <c r="C273" s="117"/>
      <c r="D273" s="117"/>
      <c r="E273" s="117" t="s">
        <v>1272</v>
      </c>
      <c r="F273" s="118" t="s">
        <v>2667</v>
      </c>
      <c r="G273" s="118" t="s">
        <v>2667</v>
      </c>
      <c r="H273" s="117" t="s">
        <v>424</v>
      </c>
      <c r="I273" s="117" t="s">
        <v>1283</v>
      </c>
      <c r="J273" s="117" t="s">
        <v>1961</v>
      </c>
      <c r="K273" s="123" t="s">
        <v>1725</v>
      </c>
      <c r="L273" s="117" t="s">
        <v>1961</v>
      </c>
      <c r="M273" s="123" t="s">
        <v>1962</v>
      </c>
      <c r="N273" s="117" t="s">
        <v>2668</v>
      </c>
      <c r="O273" s="118" t="s">
        <v>2669</v>
      </c>
      <c r="P273" s="118" t="s">
        <v>2670</v>
      </c>
      <c r="Q273" s="117"/>
      <c r="R273" s="117"/>
      <c r="S273" s="117"/>
      <c r="T273" s="117"/>
      <c r="U273" s="117"/>
      <c r="V273" s="123" t="s">
        <v>2671</v>
      </c>
      <c r="W273" s="117"/>
      <c r="X273" s="128" t="s">
        <v>2672</v>
      </c>
      <c r="Y273" s="118"/>
      <c r="Z273" s="128" t="s">
        <v>2673</v>
      </c>
      <c r="AA273" s="118" t="s">
        <v>2674</v>
      </c>
      <c r="AB273" s="117"/>
      <c r="AC273" s="117"/>
      <c r="AD273" s="117"/>
      <c r="AE273" s="117"/>
      <c r="AF273" s="117"/>
      <c r="AG273" s="117"/>
      <c r="AH273" s="117"/>
      <c r="AI273" s="117"/>
      <c r="AJ273" s="117"/>
    </row>
    <row r="274" spans="1:36" ht="24.75" customHeight="1">
      <c r="A274" s="149"/>
      <c r="B274" s="117" t="s">
        <v>1469</v>
      </c>
      <c r="C274" s="117"/>
      <c r="D274" s="117"/>
      <c r="E274" s="117" t="s">
        <v>1272</v>
      </c>
      <c r="F274" s="118" t="s">
        <v>315</v>
      </c>
      <c r="G274" s="118" t="s">
        <v>315</v>
      </c>
      <c r="H274" s="117" t="s">
        <v>424</v>
      </c>
      <c r="I274" s="117" t="s">
        <v>1283</v>
      </c>
      <c r="J274" s="117" t="s">
        <v>151</v>
      </c>
      <c r="K274" s="123" t="s">
        <v>1725</v>
      </c>
      <c r="L274" s="117" t="s">
        <v>152</v>
      </c>
      <c r="M274" s="123" t="s">
        <v>152</v>
      </c>
      <c r="N274" s="117" t="s">
        <v>2675</v>
      </c>
      <c r="O274" s="118" t="s">
        <v>2676</v>
      </c>
      <c r="P274" s="118" t="s">
        <v>2677</v>
      </c>
      <c r="Q274" s="117"/>
      <c r="R274" s="117"/>
      <c r="S274" s="117"/>
      <c r="T274" s="117"/>
      <c r="U274" s="117"/>
      <c r="V274" s="123" t="s">
        <v>2678</v>
      </c>
      <c r="W274" s="117"/>
      <c r="X274" s="128" t="s">
        <v>2679</v>
      </c>
      <c r="Y274" s="118"/>
      <c r="Z274" s="128" t="s">
        <v>2680</v>
      </c>
      <c r="AA274" s="118" t="s">
        <v>2681</v>
      </c>
      <c r="AB274" s="117"/>
      <c r="AC274" s="117"/>
      <c r="AD274" s="117"/>
      <c r="AE274" s="117"/>
      <c r="AF274" s="117"/>
      <c r="AG274" s="117"/>
      <c r="AH274" s="117"/>
      <c r="AI274" s="117"/>
      <c r="AJ274" s="117"/>
    </row>
    <row r="275" spans="1:36" ht="24.75" customHeight="1">
      <c r="A275" s="147"/>
      <c r="B275" s="117" t="s">
        <v>1469</v>
      </c>
      <c r="C275" s="117"/>
      <c r="D275" s="117"/>
      <c r="E275" s="117" t="s">
        <v>1272</v>
      </c>
      <c r="F275" s="118" t="s">
        <v>2682</v>
      </c>
      <c r="G275" s="118" t="s">
        <v>2682</v>
      </c>
      <c r="H275" s="117" t="s">
        <v>424</v>
      </c>
      <c r="I275" s="117" t="s">
        <v>1283</v>
      </c>
      <c r="J275" s="117" t="s">
        <v>308</v>
      </c>
      <c r="K275" s="123" t="s">
        <v>2683</v>
      </c>
      <c r="L275" s="117" t="s">
        <v>308</v>
      </c>
      <c r="M275" s="123" t="s">
        <v>2333</v>
      </c>
      <c r="N275" s="117" t="s">
        <v>2684</v>
      </c>
      <c r="O275" s="118" t="s">
        <v>2685</v>
      </c>
      <c r="P275" s="118" t="s">
        <v>2686</v>
      </c>
      <c r="Q275" s="117"/>
      <c r="R275" s="117"/>
      <c r="S275" s="117"/>
      <c r="T275" s="117"/>
      <c r="U275" s="117"/>
      <c r="V275" s="123" t="s">
        <v>2687</v>
      </c>
      <c r="W275" s="117"/>
      <c r="X275" s="173" t="s">
        <v>2688</v>
      </c>
      <c r="Y275" s="118"/>
      <c r="Z275" s="128" t="s">
        <v>2689</v>
      </c>
      <c r="AA275" s="118" t="s">
        <v>2690</v>
      </c>
      <c r="AB275" s="117"/>
      <c r="AC275" s="117"/>
      <c r="AD275" s="117"/>
      <c r="AE275" s="117"/>
      <c r="AF275" s="117"/>
      <c r="AG275" s="117"/>
      <c r="AH275" s="117"/>
      <c r="AI275" s="117"/>
      <c r="AJ275" s="117"/>
    </row>
    <row r="276" spans="1:36" ht="24.75" customHeight="1">
      <c r="A276" s="149"/>
      <c r="B276" s="117" t="s">
        <v>1469</v>
      </c>
      <c r="C276" s="117"/>
      <c r="D276" s="117"/>
      <c r="E276" s="117" t="s">
        <v>1272</v>
      </c>
      <c r="F276" s="118" t="s">
        <v>2691</v>
      </c>
      <c r="G276" s="118" t="s">
        <v>2691</v>
      </c>
      <c r="H276" s="117" t="s">
        <v>424</v>
      </c>
      <c r="I276" s="117" t="s">
        <v>1283</v>
      </c>
      <c r="J276" s="117" t="s">
        <v>2692</v>
      </c>
      <c r="K276" s="123"/>
      <c r="L276" s="117" t="s">
        <v>2693</v>
      </c>
      <c r="M276" s="123" t="s">
        <v>2694</v>
      </c>
      <c r="N276" s="117" t="s">
        <v>2695</v>
      </c>
      <c r="O276" s="118" t="s">
        <v>2696</v>
      </c>
      <c r="P276" s="118" t="s">
        <v>2697</v>
      </c>
      <c r="Q276" s="117"/>
      <c r="R276" s="117"/>
      <c r="S276" s="117"/>
      <c r="T276" s="117"/>
      <c r="U276" s="117"/>
      <c r="V276" s="123" t="s">
        <v>2698</v>
      </c>
      <c r="W276" s="117"/>
      <c r="X276" s="173" t="s">
        <v>2699</v>
      </c>
      <c r="Y276" s="173" t="s">
        <v>2700</v>
      </c>
      <c r="Z276" s="128" t="s">
        <v>2701</v>
      </c>
      <c r="AA276" s="118" t="s">
        <v>2702</v>
      </c>
      <c r="AB276" s="117"/>
      <c r="AC276" s="117"/>
      <c r="AD276" s="117"/>
      <c r="AE276" s="117"/>
      <c r="AF276" s="117"/>
      <c r="AG276" s="117"/>
      <c r="AH276" s="117"/>
      <c r="AI276" s="117"/>
      <c r="AJ276" s="117"/>
    </row>
    <row r="277" spans="1:36" ht="24.75" customHeight="1">
      <c r="A277" s="116"/>
      <c r="B277" s="117" t="s">
        <v>1469</v>
      </c>
      <c r="C277" s="117"/>
      <c r="D277" s="117"/>
      <c r="E277" s="117"/>
      <c r="F277" s="161" t="s">
        <v>2703</v>
      </c>
      <c r="G277" s="161" t="s">
        <v>2703</v>
      </c>
      <c r="H277" s="117" t="s">
        <v>302</v>
      </c>
      <c r="I277" s="117"/>
      <c r="J277" s="117" t="s">
        <v>261</v>
      </c>
      <c r="K277" s="123" t="s">
        <v>1274</v>
      </c>
      <c r="L277" s="117" t="s">
        <v>261</v>
      </c>
      <c r="M277" s="123" t="s">
        <v>1344</v>
      </c>
      <c r="N277" s="117"/>
      <c r="O277" s="118"/>
      <c r="P277" s="118"/>
      <c r="Q277" s="117"/>
      <c r="R277" s="117"/>
      <c r="S277" s="117"/>
      <c r="T277" s="117"/>
      <c r="U277" s="117"/>
      <c r="V277" s="123"/>
      <c r="W277" s="117"/>
      <c r="X277" s="173"/>
      <c r="Y277" s="173"/>
      <c r="Z277" s="128"/>
      <c r="AA277" s="118"/>
      <c r="AB277" s="117"/>
      <c r="AC277" s="117"/>
      <c r="AD277" s="117"/>
      <c r="AE277" s="117"/>
      <c r="AF277" s="117"/>
      <c r="AG277" s="117"/>
      <c r="AH277" s="117"/>
      <c r="AI277" s="117"/>
      <c r="AJ277" s="117"/>
    </row>
    <row r="278" spans="1:36" ht="24.75" customHeight="1">
      <c r="A278" s="116"/>
      <c r="B278" s="117" t="s">
        <v>1469</v>
      </c>
      <c r="C278" s="117"/>
      <c r="D278" s="117"/>
      <c r="E278" s="117"/>
      <c r="F278" s="161" t="s">
        <v>2704</v>
      </c>
      <c r="G278" s="161" t="s">
        <v>2704</v>
      </c>
      <c r="H278" s="117" t="s">
        <v>302</v>
      </c>
      <c r="I278" s="117"/>
      <c r="J278" s="117" t="s">
        <v>261</v>
      </c>
      <c r="K278" s="123" t="s">
        <v>1274</v>
      </c>
      <c r="L278" s="117" t="s">
        <v>261</v>
      </c>
      <c r="M278" s="123" t="s">
        <v>1344</v>
      </c>
      <c r="N278" s="117"/>
      <c r="O278" s="118"/>
      <c r="P278" s="118"/>
      <c r="Q278" s="117"/>
      <c r="R278" s="117"/>
      <c r="S278" s="117"/>
      <c r="T278" s="117"/>
      <c r="U278" s="117"/>
      <c r="V278" s="123"/>
      <c r="W278" s="117"/>
      <c r="X278" s="173"/>
      <c r="Y278" s="173"/>
      <c r="Z278" s="128"/>
      <c r="AA278" s="118"/>
      <c r="AB278" s="117"/>
      <c r="AC278" s="117"/>
      <c r="AD278" s="117"/>
      <c r="AE278" s="117"/>
      <c r="AF278" s="117"/>
      <c r="AG278" s="117"/>
      <c r="AH278" s="117"/>
      <c r="AI278" s="117"/>
      <c r="AJ278" s="117"/>
    </row>
    <row r="279" spans="1:36" ht="24.75" customHeight="1">
      <c r="A279" s="116"/>
      <c r="B279" s="117" t="s">
        <v>1469</v>
      </c>
      <c r="C279" s="117"/>
      <c r="D279" s="117"/>
      <c r="E279" s="117"/>
      <c r="F279" s="161" t="s">
        <v>2705</v>
      </c>
      <c r="G279" s="161" t="s">
        <v>2705</v>
      </c>
      <c r="H279" s="117" t="s">
        <v>302</v>
      </c>
      <c r="I279" s="117"/>
      <c r="J279" s="117" t="s">
        <v>261</v>
      </c>
      <c r="K279" s="123" t="s">
        <v>1274</v>
      </c>
      <c r="L279" s="117" t="s">
        <v>261</v>
      </c>
      <c r="M279" s="123" t="s">
        <v>1344</v>
      </c>
      <c r="N279" s="117"/>
      <c r="O279" s="118"/>
      <c r="P279" s="118"/>
      <c r="Q279" s="117"/>
      <c r="R279" s="117"/>
      <c r="S279" s="117"/>
      <c r="T279" s="117"/>
      <c r="U279" s="117"/>
      <c r="V279" s="123"/>
      <c r="W279" s="117"/>
      <c r="X279" s="173"/>
      <c r="Y279" s="173"/>
      <c r="Z279" s="128"/>
      <c r="AA279" s="118"/>
      <c r="AB279" s="117"/>
      <c r="AC279" s="117"/>
      <c r="AD279" s="117"/>
      <c r="AE279" s="117"/>
      <c r="AF279" s="117"/>
      <c r="AG279" s="117"/>
      <c r="AH279" s="117"/>
      <c r="AI279" s="117"/>
      <c r="AJ279" s="117"/>
    </row>
    <row r="280" spans="1:36" ht="24.75" customHeight="1">
      <c r="A280" s="116"/>
      <c r="B280" s="117" t="s">
        <v>1469</v>
      </c>
      <c r="C280" s="117"/>
      <c r="D280" s="117"/>
      <c r="E280" s="117"/>
      <c r="F280" s="161" t="s">
        <v>2706</v>
      </c>
      <c r="G280" s="161" t="s">
        <v>2706</v>
      </c>
      <c r="H280" s="117" t="s">
        <v>302</v>
      </c>
      <c r="I280" s="117"/>
      <c r="J280" s="117" t="s">
        <v>261</v>
      </c>
      <c r="K280" s="123" t="s">
        <v>1274</v>
      </c>
      <c r="L280" s="117" t="s">
        <v>261</v>
      </c>
      <c r="M280" s="123" t="s">
        <v>1344</v>
      </c>
      <c r="N280" s="117"/>
      <c r="O280" s="118"/>
      <c r="P280" s="118"/>
      <c r="Q280" s="117"/>
      <c r="R280" s="117"/>
      <c r="S280" s="117"/>
      <c r="T280" s="117"/>
      <c r="U280" s="117"/>
      <c r="V280" s="123"/>
      <c r="W280" s="117"/>
      <c r="X280" s="173"/>
      <c r="Y280" s="173"/>
      <c r="Z280" s="128"/>
      <c r="AA280" s="118"/>
      <c r="AB280" s="117"/>
      <c r="AC280" s="117"/>
      <c r="AD280" s="117"/>
      <c r="AE280" s="117"/>
      <c r="AF280" s="117"/>
      <c r="AG280" s="117"/>
      <c r="AH280" s="117"/>
      <c r="AI280" s="117"/>
      <c r="AJ280" s="117"/>
    </row>
    <row r="281" spans="1:36" ht="24.75" customHeight="1">
      <c r="A281" s="116"/>
      <c r="B281" s="143" t="s">
        <v>1469</v>
      </c>
      <c r="C281" s="117"/>
      <c r="D281" s="117"/>
      <c r="E281" s="117" t="s">
        <v>2707</v>
      </c>
      <c r="F281" s="118" t="s">
        <v>2708</v>
      </c>
      <c r="G281" s="118" t="s">
        <v>2708</v>
      </c>
      <c r="H281" s="117" t="s">
        <v>298</v>
      </c>
      <c r="I281" s="117"/>
      <c r="J281" s="117" t="s">
        <v>269</v>
      </c>
      <c r="K281" s="123" t="s">
        <v>1274</v>
      </c>
      <c r="L281" s="117" t="s">
        <v>269</v>
      </c>
      <c r="M281" s="123" t="s">
        <v>2709</v>
      </c>
      <c r="N281" s="117" t="s">
        <v>2707</v>
      </c>
      <c r="O281" s="118" t="s">
        <v>2710</v>
      </c>
      <c r="P281" s="118" t="s">
        <v>2711</v>
      </c>
      <c r="Q281" s="117"/>
      <c r="R281" s="117"/>
      <c r="S281" s="117"/>
      <c r="T281" s="117"/>
      <c r="U281" s="117"/>
      <c r="V281" s="123" t="s">
        <v>2712</v>
      </c>
      <c r="W281" s="117"/>
      <c r="X281" s="128" t="s">
        <v>2713</v>
      </c>
      <c r="Y281" s="118"/>
      <c r="Z281" s="128" t="s">
        <v>2714</v>
      </c>
      <c r="AA281" s="118" t="s">
        <v>2715</v>
      </c>
      <c r="AB281" s="117"/>
      <c r="AC281" s="117"/>
      <c r="AD281" s="117"/>
      <c r="AE281" s="117"/>
      <c r="AF281" s="117"/>
      <c r="AG281" s="117"/>
      <c r="AH281" s="117"/>
      <c r="AI281" s="117"/>
      <c r="AJ281" s="117"/>
    </row>
    <row r="282" spans="1:36" ht="24.75" customHeight="1">
      <c r="A282" s="116"/>
      <c r="B282" s="143" t="s">
        <v>1469</v>
      </c>
      <c r="C282" s="117"/>
      <c r="D282" s="117"/>
      <c r="E282" s="117" t="s">
        <v>1272</v>
      </c>
      <c r="F282" s="118" t="s">
        <v>988</v>
      </c>
      <c r="G282" s="118" t="s">
        <v>2716</v>
      </c>
      <c r="H282" s="117" t="s">
        <v>298</v>
      </c>
      <c r="I282" s="117"/>
      <c r="J282" s="117" t="s">
        <v>269</v>
      </c>
      <c r="K282" s="123" t="s">
        <v>1274</v>
      </c>
      <c r="L282" s="117" t="s">
        <v>269</v>
      </c>
      <c r="M282" s="123" t="s">
        <v>2717</v>
      </c>
      <c r="N282" s="117"/>
      <c r="O282" s="118" t="s">
        <v>2718</v>
      </c>
      <c r="P282" s="118"/>
      <c r="Q282" s="117"/>
      <c r="R282" s="117"/>
      <c r="S282" s="117"/>
      <c r="T282" s="117"/>
      <c r="U282" s="117"/>
      <c r="V282" s="123" t="s">
        <v>2719</v>
      </c>
      <c r="W282" s="117"/>
      <c r="X282" s="128" t="s">
        <v>2720</v>
      </c>
      <c r="Y282" s="118"/>
      <c r="Z282" s="118"/>
      <c r="AA282" s="118" t="s">
        <v>2721</v>
      </c>
      <c r="AB282" s="117"/>
      <c r="AC282" s="117"/>
      <c r="AD282" s="117"/>
      <c r="AE282" s="117"/>
      <c r="AF282" s="117"/>
      <c r="AG282" s="117"/>
      <c r="AH282" s="117"/>
      <c r="AI282" s="117"/>
      <c r="AJ282" s="117"/>
    </row>
    <row r="283" spans="1:36" ht="24.75" customHeight="1">
      <c r="A283" s="116"/>
      <c r="B283" s="143" t="s">
        <v>1469</v>
      </c>
      <c r="C283" s="117"/>
      <c r="D283" s="117"/>
      <c r="E283" s="117" t="s">
        <v>1272</v>
      </c>
      <c r="F283" s="118" t="s">
        <v>331</v>
      </c>
      <c r="G283" s="118" t="s">
        <v>2722</v>
      </c>
      <c r="H283" s="117" t="s">
        <v>298</v>
      </c>
      <c r="I283" s="117"/>
      <c r="J283" s="117" t="s">
        <v>1318</v>
      </c>
      <c r="K283" s="123" t="s">
        <v>1274</v>
      </c>
      <c r="L283" s="117" t="s">
        <v>269</v>
      </c>
      <c r="M283" s="123" t="s">
        <v>1293</v>
      </c>
      <c r="N283" s="117" t="s">
        <v>1294</v>
      </c>
      <c r="O283" s="118" t="s">
        <v>2723</v>
      </c>
      <c r="P283" s="118" t="s">
        <v>2724</v>
      </c>
      <c r="Q283" s="117"/>
      <c r="R283" s="117"/>
      <c r="S283" s="117"/>
      <c r="T283" s="117"/>
      <c r="U283" s="117"/>
      <c r="V283" s="123" t="s">
        <v>2725</v>
      </c>
      <c r="W283" s="117"/>
      <c r="X283" s="128" t="s">
        <v>2726</v>
      </c>
      <c r="Y283" s="118"/>
      <c r="Z283" s="128" t="s">
        <v>2727</v>
      </c>
      <c r="AA283" s="118" t="s">
        <v>2728</v>
      </c>
      <c r="AB283" s="117"/>
      <c r="AC283" s="117"/>
      <c r="AD283" s="117"/>
      <c r="AE283" s="117"/>
      <c r="AF283" s="117"/>
      <c r="AG283" s="117"/>
      <c r="AH283" s="117"/>
      <c r="AI283" s="117"/>
      <c r="AJ283" s="117"/>
    </row>
    <row r="284" spans="1:36" ht="24.75" customHeight="1">
      <c r="A284" s="116"/>
      <c r="B284" s="143" t="s">
        <v>1469</v>
      </c>
      <c r="C284" s="117"/>
      <c r="D284" s="117"/>
      <c r="E284" s="117" t="s">
        <v>1272</v>
      </c>
      <c r="F284" s="118" t="s">
        <v>994</v>
      </c>
      <c r="G284" s="118" t="s">
        <v>2729</v>
      </c>
      <c r="H284" s="117" t="s">
        <v>298</v>
      </c>
      <c r="I284" s="117"/>
      <c r="J284" s="117" t="s">
        <v>269</v>
      </c>
      <c r="K284" s="123" t="s">
        <v>1274</v>
      </c>
      <c r="L284" s="117" t="s">
        <v>269</v>
      </c>
      <c r="M284" s="123" t="s">
        <v>2730</v>
      </c>
      <c r="N284" s="117" t="s">
        <v>2731</v>
      </c>
      <c r="O284" s="118" t="s">
        <v>2732</v>
      </c>
      <c r="P284" s="118" t="s">
        <v>2733</v>
      </c>
      <c r="Q284" s="117"/>
      <c r="R284" s="117"/>
      <c r="S284" s="117"/>
      <c r="T284" s="117"/>
      <c r="U284" s="117"/>
      <c r="V284" s="123" t="s">
        <v>2734</v>
      </c>
      <c r="W284" s="117"/>
      <c r="X284" s="128" t="s">
        <v>2735</v>
      </c>
      <c r="Y284" s="118"/>
      <c r="Z284" s="128" t="s">
        <v>2736</v>
      </c>
      <c r="AA284" s="118" t="s">
        <v>2737</v>
      </c>
      <c r="AB284" s="117"/>
      <c r="AC284" s="117"/>
      <c r="AD284" s="117"/>
      <c r="AE284" s="117"/>
      <c r="AF284" s="117"/>
      <c r="AG284" s="117"/>
      <c r="AH284" s="117"/>
      <c r="AI284" s="117"/>
      <c r="AJ284" s="117"/>
    </row>
    <row r="285" spans="1:36" ht="24.75" customHeight="1">
      <c r="A285" s="116"/>
      <c r="B285" s="143" t="s">
        <v>1469</v>
      </c>
      <c r="C285" s="117"/>
      <c r="D285" s="117"/>
      <c r="E285" s="117" t="s">
        <v>1272</v>
      </c>
      <c r="F285" s="118" t="s">
        <v>996</v>
      </c>
      <c r="G285" s="118" t="s">
        <v>2738</v>
      </c>
      <c r="H285" s="117" t="s">
        <v>298</v>
      </c>
      <c r="I285" s="117"/>
      <c r="J285" s="117" t="s">
        <v>269</v>
      </c>
      <c r="K285" s="123" t="s">
        <v>1274</v>
      </c>
      <c r="L285" s="117" t="s">
        <v>269</v>
      </c>
      <c r="M285" s="123" t="s">
        <v>2739</v>
      </c>
      <c r="N285" s="117" t="s">
        <v>2740</v>
      </c>
      <c r="O285" s="118" t="s">
        <v>2741</v>
      </c>
      <c r="P285" s="118" t="s">
        <v>2742</v>
      </c>
      <c r="Q285" s="117"/>
      <c r="R285" s="117"/>
      <c r="S285" s="117"/>
      <c r="T285" s="117"/>
      <c r="U285" s="117"/>
      <c r="V285" s="123" t="s">
        <v>2743</v>
      </c>
      <c r="W285" s="117"/>
      <c r="X285" s="128" t="s">
        <v>2744</v>
      </c>
      <c r="Y285" s="118"/>
      <c r="Z285" s="118"/>
      <c r="AA285" s="118" t="s">
        <v>2745</v>
      </c>
      <c r="AB285" s="117"/>
      <c r="AC285" s="117"/>
      <c r="AD285" s="117"/>
      <c r="AE285" s="117"/>
      <c r="AF285" s="117"/>
      <c r="AG285" s="117"/>
      <c r="AH285" s="117"/>
      <c r="AI285" s="117"/>
      <c r="AJ285" s="117"/>
    </row>
    <row r="286" spans="1:36" ht="24.75" customHeight="1">
      <c r="A286" s="116"/>
      <c r="B286" s="143" t="s">
        <v>1469</v>
      </c>
      <c r="C286" s="117"/>
      <c r="D286" s="117"/>
      <c r="E286" s="117" t="s">
        <v>1272</v>
      </c>
      <c r="F286" s="118" t="s">
        <v>998</v>
      </c>
      <c r="G286" s="118" t="s">
        <v>2746</v>
      </c>
      <c r="H286" s="117" t="s">
        <v>298</v>
      </c>
      <c r="I286" s="117"/>
      <c r="J286" s="117" t="s">
        <v>269</v>
      </c>
      <c r="K286" s="123" t="s">
        <v>1274</v>
      </c>
      <c r="L286" s="117" t="s">
        <v>269</v>
      </c>
      <c r="M286" s="123" t="s">
        <v>2747</v>
      </c>
      <c r="N286" s="117" t="s">
        <v>2748</v>
      </c>
      <c r="O286" s="118" t="s">
        <v>2749</v>
      </c>
      <c r="P286" s="118" t="s">
        <v>1548</v>
      </c>
      <c r="Q286" s="117"/>
      <c r="R286" s="117"/>
      <c r="S286" s="117"/>
      <c r="T286" s="117"/>
      <c r="U286" s="117"/>
      <c r="V286" s="123" t="s">
        <v>2750</v>
      </c>
      <c r="W286" s="117"/>
      <c r="X286" s="128" t="s">
        <v>2751</v>
      </c>
      <c r="Y286" s="118"/>
      <c r="Z286" s="118"/>
      <c r="AA286" s="118" t="s">
        <v>2752</v>
      </c>
      <c r="AB286" s="117"/>
      <c r="AC286" s="117"/>
      <c r="AD286" s="117"/>
      <c r="AE286" s="117"/>
      <c r="AF286" s="117"/>
      <c r="AG286" s="117"/>
      <c r="AH286" s="117"/>
      <c r="AI286" s="117"/>
      <c r="AJ286" s="117"/>
    </row>
    <row r="287" spans="1:36" ht="24.75" customHeight="1">
      <c r="A287" s="116"/>
      <c r="B287" s="143" t="s">
        <v>1469</v>
      </c>
      <c r="C287" s="117"/>
      <c r="D287" s="117"/>
      <c r="E287" s="117" t="s">
        <v>1272</v>
      </c>
      <c r="F287" s="118" t="s">
        <v>1001</v>
      </c>
      <c r="G287" s="118" t="s">
        <v>2753</v>
      </c>
      <c r="H287" s="117" t="s">
        <v>298</v>
      </c>
      <c r="I287" s="117"/>
      <c r="J287" s="117" t="s">
        <v>269</v>
      </c>
      <c r="K287" s="123" t="s">
        <v>1274</v>
      </c>
      <c r="L287" s="117" t="s">
        <v>269</v>
      </c>
      <c r="M287" s="123" t="s">
        <v>1360</v>
      </c>
      <c r="N287" s="117"/>
      <c r="O287" s="118" t="s">
        <v>2754</v>
      </c>
      <c r="P287" s="118" t="s">
        <v>2755</v>
      </c>
      <c r="Q287" s="117"/>
      <c r="R287" s="117"/>
      <c r="S287" s="117"/>
      <c r="T287" s="117"/>
      <c r="U287" s="117"/>
      <c r="V287" s="123" t="s">
        <v>2756</v>
      </c>
      <c r="W287" s="117"/>
      <c r="X287" s="128" t="s">
        <v>2757</v>
      </c>
      <c r="Y287" s="118"/>
      <c r="Z287" s="128" t="s">
        <v>2758</v>
      </c>
      <c r="AA287" s="118" t="s">
        <v>2759</v>
      </c>
      <c r="AB287" s="117"/>
      <c r="AC287" s="117"/>
      <c r="AD287" s="117"/>
      <c r="AE287" s="117"/>
      <c r="AF287" s="117"/>
      <c r="AG287" s="117"/>
      <c r="AH287" s="117"/>
      <c r="AI287" s="117"/>
      <c r="AJ287" s="117"/>
    </row>
    <row r="288" spans="1:36" ht="24.75" customHeight="1">
      <c r="A288" s="116"/>
      <c r="B288" s="143" t="s">
        <v>1469</v>
      </c>
      <c r="C288" s="117"/>
      <c r="D288" s="117"/>
      <c r="E288" s="117" t="s">
        <v>1272</v>
      </c>
      <c r="F288" s="118" t="s">
        <v>1003</v>
      </c>
      <c r="G288" s="118" t="s">
        <v>2760</v>
      </c>
      <c r="H288" s="117" t="s">
        <v>298</v>
      </c>
      <c r="I288" s="117"/>
      <c r="J288" s="117" t="s">
        <v>269</v>
      </c>
      <c r="K288" s="123" t="s">
        <v>1274</v>
      </c>
      <c r="L288" s="117" t="s">
        <v>269</v>
      </c>
      <c r="M288" s="123" t="s">
        <v>1293</v>
      </c>
      <c r="N288" s="117" t="s">
        <v>2141</v>
      </c>
      <c r="O288" s="118" t="s">
        <v>2761</v>
      </c>
      <c r="P288" s="118" t="s">
        <v>1548</v>
      </c>
      <c r="Q288" s="117"/>
      <c r="R288" s="117"/>
      <c r="S288" s="117"/>
      <c r="T288" s="117"/>
      <c r="U288" s="117"/>
      <c r="V288" s="123" t="s">
        <v>2762</v>
      </c>
      <c r="W288" s="117"/>
      <c r="X288" s="128" t="s">
        <v>2763</v>
      </c>
      <c r="Y288" s="118"/>
      <c r="Z288" s="118" t="s">
        <v>2764</v>
      </c>
      <c r="AA288" s="118" t="s">
        <v>2765</v>
      </c>
      <c r="AB288" s="117"/>
      <c r="AC288" s="117"/>
      <c r="AD288" s="117"/>
      <c r="AE288" s="117"/>
      <c r="AF288" s="117"/>
      <c r="AG288" s="117"/>
      <c r="AH288" s="117"/>
      <c r="AI288" s="117"/>
      <c r="AJ288" s="117"/>
    </row>
    <row r="289" spans="1:36" ht="24.75" customHeight="1">
      <c r="A289" s="116"/>
      <c r="B289" s="143" t="s">
        <v>1469</v>
      </c>
      <c r="C289" s="117"/>
      <c r="D289" s="117"/>
      <c r="E289" s="117" t="s">
        <v>1272</v>
      </c>
      <c r="F289" s="118" t="s">
        <v>1006</v>
      </c>
      <c r="G289" s="118" t="s">
        <v>2766</v>
      </c>
      <c r="H289" s="117" t="s">
        <v>298</v>
      </c>
      <c r="I289" s="117"/>
      <c r="J289" s="117" t="s">
        <v>269</v>
      </c>
      <c r="K289" s="123" t="s">
        <v>1274</v>
      </c>
      <c r="L289" s="117" t="s">
        <v>269</v>
      </c>
      <c r="M289" s="123" t="s">
        <v>2767</v>
      </c>
      <c r="N289" s="117"/>
      <c r="O289" s="118" t="s">
        <v>2768</v>
      </c>
      <c r="P289" s="118" t="s">
        <v>2769</v>
      </c>
      <c r="Q289" s="117"/>
      <c r="R289" s="117"/>
      <c r="S289" s="117"/>
      <c r="T289" s="117"/>
      <c r="U289" s="117"/>
      <c r="V289" s="123" t="s">
        <v>2770</v>
      </c>
      <c r="W289" s="117"/>
      <c r="X289" s="128" t="s">
        <v>2771</v>
      </c>
      <c r="Y289" s="118"/>
      <c r="Z289" s="128" t="s">
        <v>2772</v>
      </c>
      <c r="AA289" s="118" t="s">
        <v>2773</v>
      </c>
      <c r="AB289" s="117"/>
      <c r="AC289" s="117"/>
      <c r="AD289" s="117"/>
      <c r="AE289" s="117"/>
      <c r="AF289" s="117"/>
      <c r="AG289" s="117"/>
      <c r="AH289" s="117"/>
      <c r="AI289" s="117"/>
      <c r="AJ289" s="117"/>
    </row>
    <row r="290" spans="1:36" ht="24.75" customHeight="1">
      <c r="A290" s="116"/>
      <c r="B290" s="143" t="s">
        <v>1469</v>
      </c>
      <c r="C290" s="117"/>
      <c r="D290" s="117"/>
      <c r="E290" s="117" t="s">
        <v>1272</v>
      </c>
      <c r="F290" s="118" t="s">
        <v>341</v>
      </c>
      <c r="G290" s="118" t="s">
        <v>2774</v>
      </c>
      <c r="H290" s="117" t="s">
        <v>298</v>
      </c>
      <c r="I290" s="117"/>
      <c r="J290" s="117" t="s">
        <v>269</v>
      </c>
      <c r="K290" s="123" t="s">
        <v>1274</v>
      </c>
      <c r="L290" s="117" t="s">
        <v>269</v>
      </c>
      <c r="M290" s="123"/>
      <c r="N290" s="117" t="s">
        <v>1294</v>
      </c>
      <c r="O290" s="118" t="s">
        <v>2775</v>
      </c>
      <c r="P290" s="118" t="s">
        <v>1320</v>
      </c>
      <c r="Q290" s="117"/>
      <c r="R290" s="117"/>
      <c r="S290" s="117"/>
      <c r="T290" s="117"/>
      <c r="U290" s="117"/>
      <c r="V290" s="123" t="s">
        <v>2776</v>
      </c>
      <c r="W290" s="117"/>
      <c r="X290" s="118"/>
      <c r="Y290" s="118"/>
      <c r="Z290" s="118"/>
      <c r="AA290" s="118"/>
      <c r="AB290" s="117"/>
      <c r="AC290" s="117"/>
      <c r="AD290" s="117"/>
      <c r="AE290" s="117"/>
      <c r="AF290" s="117"/>
      <c r="AG290" s="117"/>
      <c r="AH290" s="117"/>
      <c r="AI290" s="117"/>
      <c r="AJ290" s="117"/>
    </row>
    <row r="291" spans="1:36" ht="24.75" customHeight="1">
      <c r="A291" s="116"/>
      <c r="B291" s="143" t="s">
        <v>1469</v>
      </c>
      <c r="C291" s="117"/>
      <c r="D291" s="117"/>
      <c r="E291" s="117" t="s">
        <v>1272</v>
      </c>
      <c r="F291" s="118" t="s">
        <v>2777</v>
      </c>
      <c r="G291" s="118" t="s">
        <v>2778</v>
      </c>
      <c r="H291" s="117" t="s">
        <v>298</v>
      </c>
      <c r="I291" s="117"/>
      <c r="J291" s="117" t="s">
        <v>269</v>
      </c>
      <c r="K291" s="123" t="s">
        <v>1274</v>
      </c>
      <c r="L291" s="117" t="s">
        <v>269</v>
      </c>
      <c r="M291" s="123"/>
      <c r="N291" s="117" t="s">
        <v>2607</v>
      </c>
      <c r="O291" s="118" t="s">
        <v>2779</v>
      </c>
      <c r="P291" s="118" t="s">
        <v>2043</v>
      </c>
      <c r="Q291" s="117"/>
      <c r="R291" s="117"/>
      <c r="S291" s="117"/>
      <c r="T291" s="117"/>
      <c r="U291" s="117"/>
      <c r="V291" s="123" t="s">
        <v>2780</v>
      </c>
      <c r="W291" s="117"/>
      <c r="X291" s="128" t="s">
        <v>2781</v>
      </c>
      <c r="Y291" s="118"/>
      <c r="Z291" s="118"/>
      <c r="AA291" s="118"/>
      <c r="AB291" s="117"/>
      <c r="AC291" s="117"/>
      <c r="AD291" s="117"/>
      <c r="AE291" s="117"/>
      <c r="AF291" s="117"/>
      <c r="AG291" s="117"/>
      <c r="AH291" s="117"/>
      <c r="AI291" s="117"/>
      <c r="AJ291" s="117"/>
    </row>
    <row r="292" spans="1:36" ht="24.75" customHeight="1">
      <c r="A292" s="116"/>
      <c r="B292" s="143" t="s">
        <v>1469</v>
      </c>
      <c r="C292" s="117"/>
      <c r="D292" s="117"/>
      <c r="E292" s="117" t="s">
        <v>1272</v>
      </c>
      <c r="F292" s="118" t="s">
        <v>2782</v>
      </c>
      <c r="G292" s="118" t="s">
        <v>2783</v>
      </c>
      <c r="H292" s="117" t="s">
        <v>298</v>
      </c>
      <c r="I292" s="117"/>
      <c r="J292" s="117" t="s">
        <v>269</v>
      </c>
      <c r="K292" s="123" t="s">
        <v>1274</v>
      </c>
      <c r="L292" s="117" t="s">
        <v>269</v>
      </c>
      <c r="M292" s="123" t="s">
        <v>1284</v>
      </c>
      <c r="N292" s="117" t="s">
        <v>2607</v>
      </c>
      <c r="O292" s="118" t="s">
        <v>2784</v>
      </c>
      <c r="P292" s="118" t="s">
        <v>2785</v>
      </c>
      <c r="Q292" s="117"/>
      <c r="R292" s="117"/>
      <c r="S292" s="117"/>
      <c r="T292" s="117"/>
      <c r="U292" s="117"/>
      <c r="V292" s="123" t="s">
        <v>2786</v>
      </c>
      <c r="W292" s="117"/>
      <c r="X292" s="128" t="s">
        <v>2787</v>
      </c>
      <c r="Y292" s="118"/>
      <c r="Z292" s="118" t="s">
        <v>2788</v>
      </c>
      <c r="AA292" s="118" t="s">
        <v>2789</v>
      </c>
      <c r="AB292" s="117"/>
      <c r="AC292" s="117"/>
      <c r="AD292" s="117"/>
      <c r="AE292" s="117"/>
      <c r="AF292" s="117"/>
      <c r="AG292" s="117"/>
      <c r="AH292" s="117"/>
      <c r="AI292" s="117"/>
      <c r="AJ292" s="117"/>
    </row>
    <row r="293" spans="1:36" ht="24.75" customHeight="1">
      <c r="A293" s="116"/>
      <c r="B293" s="143" t="s">
        <v>1469</v>
      </c>
      <c r="C293" s="117"/>
      <c r="D293" s="117"/>
      <c r="E293" s="117" t="s">
        <v>1272</v>
      </c>
      <c r="F293" s="118" t="s">
        <v>2790</v>
      </c>
      <c r="G293" s="118" t="s">
        <v>2791</v>
      </c>
      <c r="H293" s="117" t="s">
        <v>298</v>
      </c>
      <c r="I293" s="117"/>
      <c r="J293" s="117" t="s">
        <v>269</v>
      </c>
      <c r="K293" s="123" t="s">
        <v>1274</v>
      </c>
      <c r="L293" s="117" t="s">
        <v>269</v>
      </c>
      <c r="M293" s="123" t="s">
        <v>2792</v>
      </c>
      <c r="N293" s="117"/>
      <c r="O293" s="118" t="s">
        <v>2793</v>
      </c>
      <c r="P293" s="118" t="s">
        <v>2794</v>
      </c>
      <c r="Q293" s="117"/>
      <c r="R293" s="117"/>
      <c r="S293" s="117"/>
      <c r="T293" s="117"/>
      <c r="U293" s="117"/>
      <c r="V293" s="123" t="s">
        <v>2795</v>
      </c>
      <c r="W293" s="117"/>
      <c r="X293" s="128" t="s">
        <v>2796</v>
      </c>
      <c r="Y293" s="118"/>
      <c r="Z293" s="118"/>
      <c r="AA293" s="118" t="s">
        <v>2797</v>
      </c>
      <c r="AB293" s="117"/>
      <c r="AC293" s="117"/>
      <c r="AD293" s="117"/>
      <c r="AE293" s="117"/>
      <c r="AF293" s="117"/>
      <c r="AG293" s="117"/>
      <c r="AH293" s="117"/>
      <c r="AI293" s="117"/>
      <c r="AJ293" s="117"/>
    </row>
    <row r="294" spans="1:36" ht="24.75" customHeight="1">
      <c r="A294" s="116"/>
      <c r="B294" s="143" t="s">
        <v>1469</v>
      </c>
      <c r="C294" s="117"/>
      <c r="D294" s="117"/>
      <c r="E294" s="117" t="s">
        <v>1272</v>
      </c>
      <c r="F294" s="118" t="s">
        <v>2798</v>
      </c>
      <c r="G294" s="118"/>
      <c r="H294" s="117" t="s">
        <v>298</v>
      </c>
      <c r="I294" s="117"/>
      <c r="J294" s="117" t="s">
        <v>269</v>
      </c>
      <c r="K294" s="123" t="s">
        <v>1274</v>
      </c>
      <c r="L294" s="117" t="s">
        <v>269</v>
      </c>
      <c r="M294" s="123"/>
      <c r="N294" s="117" t="s">
        <v>1294</v>
      </c>
      <c r="O294" s="118"/>
      <c r="P294" s="118"/>
      <c r="Q294" s="117"/>
      <c r="R294" s="117"/>
      <c r="S294" s="117"/>
      <c r="T294" s="117"/>
      <c r="U294" s="117"/>
      <c r="V294" s="123"/>
      <c r="W294" s="117"/>
      <c r="X294" s="128"/>
      <c r="Y294" s="118"/>
      <c r="Z294" s="118"/>
      <c r="AA294" s="118"/>
      <c r="AB294" s="117"/>
      <c r="AC294" s="117"/>
      <c r="AD294" s="117"/>
      <c r="AE294" s="117"/>
      <c r="AF294" s="117"/>
      <c r="AG294" s="117"/>
      <c r="AH294" s="117"/>
      <c r="AI294" s="117"/>
      <c r="AJ294" s="117"/>
    </row>
    <row r="295" spans="1:36" ht="24.75" customHeight="1">
      <c r="A295" s="116"/>
      <c r="B295" s="143" t="s">
        <v>1469</v>
      </c>
      <c r="C295" s="117"/>
      <c r="D295" s="117"/>
      <c r="E295" s="117" t="s">
        <v>1272</v>
      </c>
      <c r="F295" s="118" t="s">
        <v>2799</v>
      </c>
      <c r="G295" s="118" t="s">
        <v>2800</v>
      </c>
      <c r="H295" s="117" t="s">
        <v>298</v>
      </c>
      <c r="I295" s="117"/>
      <c r="J295" s="117" t="s">
        <v>269</v>
      </c>
      <c r="K295" s="123" t="s">
        <v>1274</v>
      </c>
      <c r="L295" s="117" t="s">
        <v>269</v>
      </c>
      <c r="M295" s="123" t="s">
        <v>1293</v>
      </c>
      <c r="N295" s="117" t="s">
        <v>1305</v>
      </c>
      <c r="O295" s="118" t="s">
        <v>2801</v>
      </c>
      <c r="P295" s="118" t="s">
        <v>2802</v>
      </c>
      <c r="Q295" s="117"/>
      <c r="R295" s="117"/>
      <c r="S295" s="117"/>
      <c r="T295" s="117"/>
      <c r="U295" s="117"/>
      <c r="V295" s="123" t="s">
        <v>2803</v>
      </c>
      <c r="W295" s="117"/>
      <c r="X295" s="128" t="s">
        <v>2804</v>
      </c>
      <c r="Y295" s="118"/>
      <c r="Z295" s="118"/>
      <c r="AA295" s="118" t="s">
        <v>2805</v>
      </c>
      <c r="AB295" s="117"/>
      <c r="AC295" s="117"/>
      <c r="AD295" s="117"/>
      <c r="AE295" s="117"/>
      <c r="AF295" s="117"/>
      <c r="AG295" s="117"/>
      <c r="AH295" s="117"/>
      <c r="AI295" s="117"/>
      <c r="AJ295" s="117"/>
    </row>
    <row r="296" spans="1:36" ht="24.75" customHeight="1">
      <c r="A296" s="116"/>
      <c r="B296" s="143" t="s">
        <v>1469</v>
      </c>
      <c r="C296" s="117"/>
      <c r="D296" s="117"/>
      <c r="E296" s="117" t="s">
        <v>1272</v>
      </c>
      <c r="F296" s="118" t="s">
        <v>1099</v>
      </c>
      <c r="G296" s="118" t="s">
        <v>2806</v>
      </c>
      <c r="H296" s="117" t="s">
        <v>298</v>
      </c>
      <c r="I296" s="117"/>
      <c r="J296" s="117" t="s">
        <v>2807</v>
      </c>
      <c r="K296" s="123" t="s">
        <v>1274</v>
      </c>
      <c r="L296" s="117" t="s">
        <v>269</v>
      </c>
      <c r="M296" s="123"/>
      <c r="N296" s="117" t="s">
        <v>1294</v>
      </c>
      <c r="O296" s="118" t="s">
        <v>2808</v>
      </c>
      <c r="P296" s="118" t="s">
        <v>2809</v>
      </c>
      <c r="Q296" s="117"/>
      <c r="R296" s="117"/>
      <c r="S296" s="117"/>
      <c r="T296" s="117"/>
      <c r="U296" s="117"/>
      <c r="V296" s="123" t="s">
        <v>2810</v>
      </c>
      <c r="W296" s="117" t="s">
        <v>2811</v>
      </c>
      <c r="X296" s="128" t="s">
        <v>2812</v>
      </c>
      <c r="Y296" s="118"/>
      <c r="Z296" s="118"/>
      <c r="AA296" s="118"/>
      <c r="AB296" s="117"/>
      <c r="AC296" s="117"/>
      <c r="AD296" s="117"/>
      <c r="AE296" s="117"/>
      <c r="AF296" s="117"/>
      <c r="AG296" s="117"/>
      <c r="AH296" s="117"/>
      <c r="AI296" s="117"/>
      <c r="AJ296" s="117"/>
    </row>
    <row r="297" spans="1:36" ht="24.75" customHeight="1">
      <c r="A297" s="116"/>
      <c r="B297" s="143" t="s">
        <v>1469</v>
      </c>
      <c r="C297" s="117"/>
      <c r="D297" s="117"/>
      <c r="E297" s="117" t="s">
        <v>1272</v>
      </c>
      <c r="F297" s="118" t="s">
        <v>2813</v>
      </c>
      <c r="G297" s="118" t="s">
        <v>2814</v>
      </c>
      <c r="H297" s="117" t="s">
        <v>298</v>
      </c>
      <c r="I297" s="117"/>
      <c r="J297" s="117" t="s">
        <v>269</v>
      </c>
      <c r="K297" s="123" t="s">
        <v>1274</v>
      </c>
      <c r="L297" s="117" t="s">
        <v>269</v>
      </c>
      <c r="M297" s="123" t="s">
        <v>1360</v>
      </c>
      <c r="N297" s="117"/>
      <c r="O297" s="118" t="s">
        <v>2815</v>
      </c>
      <c r="P297" s="118"/>
      <c r="Q297" s="117"/>
      <c r="R297" s="117"/>
      <c r="S297" s="117"/>
      <c r="T297" s="117"/>
      <c r="U297" s="117"/>
      <c r="V297" s="123" t="s">
        <v>2816</v>
      </c>
      <c r="W297" s="117"/>
      <c r="X297" s="128" t="s">
        <v>2817</v>
      </c>
      <c r="Y297" s="118"/>
      <c r="Z297" s="118"/>
      <c r="AA297" s="118" t="s">
        <v>2818</v>
      </c>
      <c r="AB297" s="117"/>
      <c r="AC297" s="117"/>
      <c r="AD297" s="117"/>
      <c r="AE297" s="117"/>
      <c r="AF297" s="117"/>
      <c r="AG297" s="117"/>
      <c r="AH297" s="117"/>
      <c r="AI297" s="117"/>
      <c r="AJ297" s="117"/>
    </row>
    <row r="298" spans="1:36" ht="24.75" customHeight="1">
      <c r="A298" s="116"/>
      <c r="B298" s="143" t="s">
        <v>1469</v>
      </c>
      <c r="C298" s="117"/>
      <c r="D298" s="117"/>
      <c r="E298" s="117" t="s">
        <v>1272</v>
      </c>
      <c r="F298" s="118" t="s">
        <v>2819</v>
      </c>
      <c r="G298" s="118" t="s">
        <v>2820</v>
      </c>
      <c r="H298" s="117" t="s">
        <v>298</v>
      </c>
      <c r="I298" s="117"/>
      <c r="J298" s="117" t="s">
        <v>269</v>
      </c>
      <c r="K298" s="123" t="s">
        <v>1274</v>
      </c>
      <c r="L298" s="117" t="s">
        <v>269</v>
      </c>
      <c r="M298" s="123" t="s">
        <v>2821</v>
      </c>
      <c r="N298" s="117" t="s">
        <v>1305</v>
      </c>
      <c r="O298" s="118" t="s">
        <v>2822</v>
      </c>
      <c r="P298" s="118" t="s">
        <v>2823</v>
      </c>
      <c r="Q298" s="117"/>
      <c r="R298" s="117"/>
      <c r="S298" s="117"/>
      <c r="T298" s="117"/>
      <c r="U298" s="117"/>
      <c r="V298" s="123" t="s">
        <v>2824</v>
      </c>
      <c r="W298" s="117"/>
      <c r="X298" s="128" t="s">
        <v>2825</v>
      </c>
      <c r="Y298" s="118"/>
      <c r="Z298" s="118"/>
      <c r="AA298" s="118" t="s">
        <v>2826</v>
      </c>
      <c r="AB298" s="117"/>
      <c r="AC298" s="117"/>
      <c r="AD298" s="117"/>
      <c r="AE298" s="117"/>
      <c r="AF298" s="117"/>
      <c r="AG298" s="117"/>
      <c r="AH298" s="117"/>
      <c r="AI298" s="117"/>
      <c r="AJ298" s="117"/>
    </row>
    <row r="299" spans="1:36" ht="24.75" customHeight="1">
      <c r="A299" s="116"/>
      <c r="B299" s="143" t="s">
        <v>1469</v>
      </c>
      <c r="C299" s="117"/>
      <c r="D299" s="117"/>
      <c r="E299" s="117" t="s">
        <v>1272</v>
      </c>
      <c r="F299" s="118" t="s">
        <v>2827</v>
      </c>
      <c r="G299" s="118" t="s">
        <v>2828</v>
      </c>
      <c r="H299" s="117" t="s">
        <v>298</v>
      </c>
      <c r="I299" s="117"/>
      <c r="J299" s="117" t="s">
        <v>269</v>
      </c>
      <c r="K299" s="123" t="s">
        <v>1274</v>
      </c>
      <c r="L299" s="117" t="s">
        <v>269</v>
      </c>
      <c r="M299" s="123" t="s">
        <v>1360</v>
      </c>
      <c r="N299" s="117" t="s">
        <v>1294</v>
      </c>
      <c r="O299" s="118" t="s">
        <v>2829</v>
      </c>
      <c r="P299" s="118" t="s">
        <v>2830</v>
      </c>
      <c r="Q299" s="117"/>
      <c r="R299" s="117"/>
      <c r="S299" s="117"/>
      <c r="T299" s="117"/>
      <c r="U299" s="117"/>
      <c r="V299" s="123" t="s">
        <v>2831</v>
      </c>
      <c r="W299" s="117"/>
      <c r="X299" s="128" t="s">
        <v>2832</v>
      </c>
      <c r="Y299" s="118"/>
      <c r="Z299" s="126" t="s">
        <v>2833</v>
      </c>
      <c r="AA299" s="126" t="s">
        <v>2834</v>
      </c>
      <c r="AB299" s="117"/>
      <c r="AC299" s="117"/>
      <c r="AD299" s="117"/>
      <c r="AE299" s="117"/>
      <c r="AF299" s="117"/>
      <c r="AG299" s="117"/>
      <c r="AH299" s="117"/>
      <c r="AI299" s="117"/>
      <c r="AJ299" s="117"/>
    </row>
    <row r="300" spans="1:36" ht="24.75" customHeight="1">
      <c r="A300" s="116"/>
      <c r="B300" s="143" t="s">
        <v>1469</v>
      </c>
      <c r="C300" s="117"/>
      <c r="D300" s="117"/>
      <c r="E300" s="117" t="s">
        <v>1272</v>
      </c>
      <c r="F300" s="118" t="s">
        <v>2835</v>
      </c>
      <c r="G300" s="118" t="s">
        <v>2836</v>
      </c>
      <c r="H300" s="117" t="s">
        <v>298</v>
      </c>
      <c r="I300" s="117"/>
      <c r="J300" s="117" t="s">
        <v>269</v>
      </c>
      <c r="K300" s="123" t="s">
        <v>1274</v>
      </c>
      <c r="L300" s="117" t="s">
        <v>269</v>
      </c>
      <c r="M300" s="123" t="s">
        <v>1351</v>
      </c>
      <c r="N300" s="117" t="s">
        <v>2837</v>
      </c>
      <c r="O300" s="118" t="s">
        <v>2838</v>
      </c>
      <c r="P300" s="118" t="s">
        <v>2839</v>
      </c>
      <c r="Q300" s="117"/>
      <c r="R300" s="117"/>
      <c r="S300" s="117"/>
      <c r="T300" s="117"/>
      <c r="U300" s="117"/>
      <c r="V300" s="123" t="s">
        <v>2840</v>
      </c>
      <c r="W300" s="117"/>
      <c r="X300" s="128" t="s">
        <v>2841</v>
      </c>
      <c r="Y300" s="118"/>
      <c r="Z300" s="126"/>
      <c r="AA300" s="126" t="s">
        <v>2842</v>
      </c>
      <c r="AB300" s="117"/>
      <c r="AC300" s="117"/>
      <c r="AD300" s="117"/>
      <c r="AE300" s="117"/>
      <c r="AF300" s="117"/>
      <c r="AG300" s="117"/>
      <c r="AH300" s="117"/>
      <c r="AI300" s="117"/>
      <c r="AJ300" s="117"/>
    </row>
    <row r="301" spans="1:36" ht="24.75" customHeight="1">
      <c r="A301" s="149"/>
      <c r="B301" s="143" t="s">
        <v>1469</v>
      </c>
      <c r="C301" s="117"/>
      <c r="D301" s="117"/>
      <c r="E301" s="117" t="s">
        <v>1272</v>
      </c>
      <c r="F301" s="118" t="s">
        <v>2843</v>
      </c>
      <c r="G301" s="118" t="s">
        <v>2843</v>
      </c>
      <c r="H301" s="117" t="s">
        <v>424</v>
      </c>
      <c r="I301" s="117" t="s">
        <v>1283</v>
      </c>
      <c r="J301" s="117" t="s">
        <v>2844</v>
      </c>
      <c r="K301" s="123" t="s">
        <v>2845</v>
      </c>
      <c r="L301" s="117" t="s">
        <v>2844</v>
      </c>
      <c r="M301" s="123"/>
      <c r="N301" s="123" t="s">
        <v>2846</v>
      </c>
      <c r="O301" s="118" t="s">
        <v>2847</v>
      </c>
      <c r="P301" s="118" t="s">
        <v>2848</v>
      </c>
      <c r="Q301" s="117"/>
      <c r="R301" s="117"/>
      <c r="S301" s="117"/>
      <c r="T301" s="117"/>
      <c r="U301" s="117"/>
      <c r="V301" s="123" t="s">
        <v>2849</v>
      </c>
      <c r="W301" s="117"/>
      <c r="X301" s="128" t="s">
        <v>2850</v>
      </c>
      <c r="Y301" s="118"/>
      <c r="Z301" s="128" t="s">
        <v>2851</v>
      </c>
      <c r="AA301" s="118"/>
      <c r="AB301" s="117"/>
      <c r="AC301" s="117"/>
      <c r="AD301" s="117"/>
      <c r="AE301" s="117"/>
      <c r="AF301" s="117"/>
      <c r="AG301" s="117"/>
      <c r="AH301" s="117"/>
      <c r="AI301" s="117"/>
      <c r="AJ301" s="117"/>
    </row>
    <row r="302" spans="1:36" ht="24.75" customHeight="1">
      <c r="A302" s="147"/>
      <c r="B302" s="143" t="s">
        <v>1469</v>
      </c>
      <c r="C302" s="117"/>
      <c r="D302" s="117"/>
      <c r="E302" s="117" t="s">
        <v>1272</v>
      </c>
      <c r="F302" s="118" t="s">
        <v>2852</v>
      </c>
      <c r="G302" s="118" t="s">
        <v>2853</v>
      </c>
      <c r="H302" s="117" t="s">
        <v>424</v>
      </c>
      <c r="I302" s="117" t="s">
        <v>1283</v>
      </c>
      <c r="J302" s="117" t="s">
        <v>2854</v>
      </c>
      <c r="K302" s="123" t="s">
        <v>2855</v>
      </c>
      <c r="L302" s="117" t="s">
        <v>2854</v>
      </c>
      <c r="M302" s="123" t="s">
        <v>2856</v>
      </c>
      <c r="N302" s="117" t="s">
        <v>2857</v>
      </c>
      <c r="O302" s="118" t="s">
        <v>2858</v>
      </c>
      <c r="P302" s="118" t="s">
        <v>2859</v>
      </c>
      <c r="Q302" s="117"/>
      <c r="R302" s="117"/>
      <c r="S302" s="117"/>
      <c r="T302" s="117"/>
      <c r="U302" s="117"/>
      <c r="V302" s="123" t="s">
        <v>2860</v>
      </c>
      <c r="W302" s="117"/>
      <c r="X302" s="128" t="s">
        <v>2861</v>
      </c>
      <c r="Y302" s="118"/>
      <c r="Z302" s="128" t="s">
        <v>2862</v>
      </c>
      <c r="AA302" s="118" t="s">
        <v>2863</v>
      </c>
      <c r="AB302" s="117"/>
      <c r="AC302" s="117"/>
      <c r="AD302" s="117"/>
      <c r="AE302" s="117"/>
      <c r="AF302" s="117"/>
      <c r="AG302" s="117"/>
      <c r="AH302" s="117"/>
      <c r="AI302" s="117"/>
      <c r="AJ302" s="117"/>
    </row>
    <row r="303" spans="1:36" ht="24.75" customHeight="1">
      <c r="A303" s="149"/>
      <c r="B303" s="143" t="s">
        <v>1469</v>
      </c>
      <c r="C303" s="117"/>
      <c r="D303" s="117"/>
      <c r="E303" s="117" t="s">
        <v>1272</v>
      </c>
      <c r="F303" s="118" t="s">
        <v>2864</v>
      </c>
      <c r="G303" s="118" t="s">
        <v>2864</v>
      </c>
      <c r="H303" s="117" t="s">
        <v>424</v>
      </c>
      <c r="I303" s="117" t="s">
        <v>1283</v>
      </c>
      <c r="J303" s="117" t="s">
        <v>306</v>
      </c>
      <c r="K303" s="123" t="s">
        <v>1725</v>
      </c>
      <c r="L303" s="117" t="s">
        <v>306</v>
      </c>
      <c r="M303" s="123" t="s">
        <v>2533</v>
      </c>
      <c r="N303" s="117" t="s">
        <v>2865</v>
      </c>
      <c r="O303" s="118" t="s">
        <v>2866</v>
      </c>
      <c r="P303" s="118" t="s">
        <v>2859</v>
      </c>
      <c r="Q303" s="117"/>
      <c r="R303" s="117"/>
      <c r="S303" s="117"/>
      <c r="T303" s="117"/>
      <c r="U303" s="117"/>
      <c r="V303" s="123" t="s">
        <v>2867</v>
      </c>
      <c r="W303" s="117"/>
      <c r="X303" s="128" t="s">
        <v>2868</v>
      </c>
      <c r="Y303" s="118"/>
      <c r="Z303" s="128" t="s">
        <v>2869</v>
      </c>
      <c r="AA303" s="118" t="s">
        <v>2870</v>
      </c>
      <c r="AB303" s="117"/>
      <c r="AC303" s="117"/>
      <c r="AD303" s="117"/>
      <c r="AE303" s="117"/>
      <c r="AF303" s="117"/>
      <c r="AG303" s="117"/>
      <c r="AH303" s="117"/>
      <c r="AI303" s="117"/>
      <c r="AJ303" s="117"/>
    </row>
    <row r="304" spans="1:36" ht="24.75" customHeight="1">
      <c r="A304" s="116"/>
      <c r="B304" s="143" t="s">
        <v>1469</v>
      </c>
      <c r="C304" s="117"/>
      <c r="D304" s="117"/>
      <c r="E304" s="117" t="s">
        <v>1272</v>
      </c>
      <c r="F304" s="118" t="s">
        <v>2871</v>
      </c>
      <c r="G304" s="118" t="s">
        <v>2871</v>
      </c>
      <c r="H304" s="117" t="s">
        <v>424</v>
      </c>
      <c r="I304" s="117" t="s">
        <v>1283</v>
      </c>
      <c r="J304" s="117" t="s">
        <v>2299</v>
      </c>
      <c r="K304" s="123" t="s">
        <v>1762</v>
      </c>
      <c r="L304" s="117" t="s">
        <v>2299</v>
      </c>
      <c r="M304" s="123" t="s">
        <v>2872</v>
      </c>
      <c r="N304" s="117" t="s">
        <v>2873</v>
      </c>
      <c r="O304" s="118" t="s">
        <v>2874</v>
      </c>
      <c r="P304" s="118" t="s">
        <v>1951</v>
      </c>
      <c r="Q304" s="117"/>
      <c r="R304" s="117"/>
      <c r="S304" s="117"/>
      <c r="T304" s="117"/>
      <c r="U304" s="117"/>
      <c r="V304" s="123" t="s">
        <v>2875</v>
      </c>
      <c r="W304" s="117"/>
      <c r="X304" s="128" t="s">
        <v>2876</v>
      </c>
      <c r="Y304" s="118"/>
      <c r="Z304" s="128" t="s">
        <v>2877</v>
      </c>
      <c r="AA304" s="118" t="s">
        <v>2878</v>
      </c>
      <c r="AB304" s="117"/>
      <c r="AC304" s="117"/>
      <c r="AD304" s="117"/>
      <c r="AE304" s="117"/>
      <c r="AF304" s="117"/>
      <c r="AG304" s="117"/>
      <c r="AH304" s="117"/>
      <c r="AI304" s="117"/>
      <c r="AJ304" s="117"/>
    </row>
    <row r="305" spans="1:36" ht="24.75" customHeight="1">
      <c r="A305" s="116"/>
      <c r="B305" s="143" t="s">
        <v>1469</v>
      </c>
      <c r="C305" s="117"/>
      <c r="D305" s="117"/>
      <c r="E305" s="117" t="s">
        <v>1272</v>
      </c>
      <c r="F305" s="118" t="s">
        <v>2879</v>
      </c>
      <c r="G305" s="118" t="s">
        <v>2880</v>
      </c>
      <c r="H305" s="117" t="s">
        <v>298</v>
      </c>
      <c r="I305" s="117"/>
      <c r="J305" s="117" t="s">
        <v>269</v>
      </c>
      <c r="K305" s="123" t="s">
        <v>1274</v>
      </c>
      <c r="L305" s="117" t="s">
        <v>269</v>
      </c>
      <c r="M305" s="123" t="s">
        <v>2739</v>
      </c>
      <c r="N305" s="117" t="s">
        <v>2881</v>
      </c>
      <c r="O305" s="118" t="s">
        <v>2882</v>
      </c>
      <c r="P305" s="118" t="s">
        <v>2883</v>
      </c>
      <c r="Q305" s="117"/>
      <c r="R305" s="117"/>
      <c r="S305" s="117"/>
      <c r="T305" s="117"/>
      <c r="U305" s="117"/>
      <c r="V305" s="123" t="s">
        <v>2884</v>
      </c>
      <c r="W305" s="117"/>
      <c r="X305" s="128" t="s">
        <v>2885</v>
      </c>
      <c r="Y305" s="118"/>
      <c r="Z305" s="118"/>
      <c r="AA305" s="118" t="s">
        <v>2886</v>
      </c>
      <c r="AB305" s="117"/>
      <c r="AC305" s="117"/>
      <c r="AD305" s="117"/>
      <c r="AE305" s="117"/>
      <c r="AF305" s="117"/>
      <c r="AG305" s="117"/>
      <c r="AH305" s="117"/>
      <c r="AI305" s="117"/>
      <c r="AJ305" s="117"/>
    </row>
    <row r="306" spans="1:36" ht="24.75" customHeight="1">
      <c r="A306" s="116"/>
      <c r="B306" s="143" t="s">
        <v>1469</v>
      </c>
      <c r="C306" s="117"/>
      <c r="D306" s="117"/>
      <c r="E306" s="117" t="s">
        <v>1272</v>
      </c>
      <c r="F306" s="118" t="s">
        <v>2887</v>
      </c>
      <c r="G306" s="118" t="s">
        <v>2888</v>
      </c>
      <c r="H306" s="117" t="s">
        <v>298</v>
      </c>
      <c r="I306" s="117"/>
      <c r="J306" s="117" t="s">
        <v>269</v>
      </c>
      <c r="K306" s="123" t="s">
        <v>1274</v>
      </c>
      <c r="L306" s="117" t="s">
        <v>269</v>
      </c>
      <c r="M306" s="123" t="s">
        <v>2889</v>
      </c>
      <c r="N306" s="117"/>
      <c r="O306" s="118" t="s">
        <v>2890</v>
      </c>
      <c r="P306" s="118" t="s">
        <v>2043</v>
      </c>
      <c r="Q306" s="117"/>
      <c r="R306" s="117"/>
      <c r="S306" s="117"/>
      <c r="T306" s="117"/>
      <c r="U306" s="117"/>
      <c r="V306" s="123" t="s">
        <v>2891</v>
      </c>
      <c r="W306" s="117"/>
      <c r="X306" s="128" t="s">
        <v>2892</v>
      </c>
      <c r="Y306" s="118"/>
      <c r="Z306" s="118"/>
      <c r="AA306" s="118" t="s">
        <v>2893</v>
      </c>
      <c r="AB306" s="117"/>
      <c r="AC306" s="117"/>
      <c r="AD306" s="117"/>
      <c r="AE306" s="117"/>
      <c r="AF306" s="117"/>
      <c r="AG306" s="117"/>
      <c r="AH306" s="117"/>
      <c r="AI306" s="117"/>
      <c r="AJ306" s="117"/>
    </row>
    <row r="307" spans="1:36" ht="24.75" customHeight="1">
      <c r="A307" s="116"/>
      <c r="B307" s="143" t="s">
        <v>1469</v>
      </c>
      <c r="C307" s="117"/>
      <c r="D307" s="117"/>
      <c r="E307" s="117" t="s">
        <v>1272</v>
      </c>
      <c r="F307" s="118" t="s">
        <v>2894</v>
      </c>
      <c r="G307" s="118" t="s">
        <v>2895</v>
      </c>
      <c r="H307" s="117" t="s">
        <v>298</v>
      </c>
      <c r="I307" s="117"/>
      <c r="J307" s="117" t="s">
        <v>269</v>
      </c>
      <c r="K307" s="123" t="s">
        <v>1274</v>
      </c>
      <c r="L307" s="117" t="s">
        <v>269</v>
      </c>
      <c r="M307" s="123" t="s">
        <v>1360</v>
      </c>
      <c r="N307" s="117"/>
      <c r="O307" s="118" t="s">
        <v>2896</v>
      </c>
      <c r="P307" s="118" t="s">
        <v>2043</v>
      </c>
      <c r="Q307" s="117"/>
      <c r="R307" s="117"/>
      <c r="S307" s="117"/>
      <c r="T307" s="117"/>
      <c r="U307" s="117"/>
      <c r="V307" s="123" t="s">
        <v>2897</v>
      </c>
      <c r="W307" s="117"/>
      <c r="X307" s="128" t="s">
        <v>2898</v>
      </c>
      <c r="Y307" s="118"/>
      <c r="Z307" s="118"/>
      <c r="AA307" s="118" t="s">
        <v>2899</v>
      </c>
      <c r="AB307" s="117"/>
      <c r="AC307" s="117"/>
      <c r="AD307" s="117"/>
      <c r="AE307" s="117"/>
      <c r="AF307" s="117"/>
      <c r="AG307" s="117"/>
      <c r="AH307" s="117"/>
      <c r="AI307" s="117"/>
      <c r="AJ307" s="117"/>
    </row>
    <row r="308" spans="1:36" ht="24.75" customHeight="1">
      <c r="A308" s="116"/>
      <c r="B308" s="143" t="s">
        <v>1469</v>
      </c>
      <c r="C308" s="117"/>
      <c r="D308" s="117"/>
      <c r="E308" s="117" t="s">
        <v>1272</v>
      </c>
      <c r="F308" s="118" t="s">
        <v>2900</v>
      </c>
      <c r="G308" s="118" t="s">
        <v>2901</v>
      </c>
      <c r="H308" s="117" t="s">
        <v>298</v>
      </c>
      <c r="I308" s="117"/>
      <c r="J308" s="117" t="s">
        <v>269</v>
      </c>
      <c r="K308" s="123" t="s">
        <v>1274</v>
      </c>
      <c r="L308" s="117" t="s">
        <v>269</v>
      </c>
      <c r="M308" s="123" t="s">
        <v>1360</v>
      </c>
      <c r="N308" s="117" t="s">
        <v>2902</v>
      </c>
      <c r="O308" s="118" t="s">
        <v>2903</v>
      </c>
      <c r="P308" s="118" t="s">
        <v>2904</v>
      </c>
      <c r="Q308" s="117"/>
      <c r="R308" s="117"/>
      <c r="S308" s="117"/>
      <c r="T308" s="117"/>
      <c r="U308" s="117"/>
      <c r="V308" s="123" t="s">
        <v>2905</v>
      </c>
      <c r="W308" s="117"/>
      <c r="X308" s="128" t="s">
        <v>2906</v>
      </c>
      <c r="Y308" s="118"/>
      <c r="Z308" s="118"/>
      <c r="AA308" s="118" t="s">
        <v>2907</v>
      </c>
      <c r="AB308" s="117"/>
      <c r="AC308" s="117"/>
      <c r="AD308" s="117"/>
      <c r="AE308" s="117"/>
      <c r="AF308" s="117"/>
      <c r="AG308" s="117"/>
      <c r="AH308" s="117"/>
      <c r="AI308" s="117"/>
      <c r="AJ308" s="117"/>
    </row>
    <row r="309" spans="1:36" ht="24.75" customHeight="1">
      <c r="A309" s="116"/>
      <c r="B309" s="143" t="s">
        <v>1469</v>
      </c>
      <c r="C309" s="117"/>
      <c r="D309" s="117"/>
      <c r="E309" s="117" t="s">
        <v>1272</v>
      </c>
      <c r="F309" s="118" t="s">
        <v>1017</v>
      </c>
      <c r="G309" s="118" t="s">
        <v>2908</v>
      </c>
      <c r="H309" s="117" t="s">
        <v>298</v>
      </c>
      <c r="I309" s="117"/>
      <c r="J309" s="117" t="s">
        <v>269</v>
      </c>
      <c r="K309" s="123" t="s">
        <v>1274</v>
      </c>
      <c r="L309" s="117" t="s">
        <v>269</v>
      </c>
      <c r="M309" s="123" t="s">
        <v>2909</v>
      </c>
      <c r="N309" s="117"/>
      <c r="O309" s="118" t="s">
        <v>2910</v>
      </c>
      <c r="P309" s="118" t="s">
        <v>2911</v>
      </c>
      <c r="Q309" s="117"/>
      <c r="R309" s="117"/>
      <c r="S309" s="117"/>
      <c r="T309" s="117"/>
      <c r="U309" s="117"/>
      <c r="V309" s="123" t="s">
        <v>2912</v>
      </c>
      <c r="W309" s="117"/>
      <c r="X309" s="128" t="s">
        <v>2913</v>
      </c>
      <c r="Y309" s="118"/>
      <c r="Z309" s="118"/>
      <c r="AA309" s="118"/>
      <c r="AB309" s="117"/>
      <c r="AC309" s="117"/>
      <c r="AD309" s="117"/>
      <c r="AE309" s="117"/>
      <c r="AF309" s="117"/>
      <c r="AG309" s="117"/>
      <c r="AH309" s="117"/>
      <c r="AI309" s="117"/>
      <c r="AJ309" s="117"/>
    </row>
    <row r="310" spans="1:36" ht="24.75" customHeight="1">
      <c r="A310" s="116"/>
      <c r="B310" s="143" t="s">
        <v>1469</v>
      </c>
      <c r="C310" s="117"/>
      <c r="D310" s="117"/>
      <c r="E310" s="117" t="s">
        <v>1272</v>
      </c>
      <c r="F310" s="118" t="s">
        <v>2914</v>
      </c>
      <c r="G310" s="118" t="s">
        <v>2915</v>
      </c>
      <c r="H310" s="117" t="s">
        <v>298</v>
      </c>
      <c r="I310" s="117"/>
      <c r="J310" s="117" t="s">
        <v>269</v>
      </c>
      <c r="K310" s="123" t="s">
        <v>1274</v>
      </c>
      <c r="L310" s="117" t="s">
        <v>269</v>
      </c>
      <c r="M310" s="123" t="s">
        <v>1284</v>
      </c>
      <c r="N310" s="117" t="s">
        <v>1294</v>
      </c>
      <c r="O310" s="118" t="s">
        <v>2916</v>
      </c>
      <c r="P310" s="118" t="s">
        <v>2917</v>
      </c>
      <c r="Q310" s="117"/>
      <c r="R310" s="117"/>
      <c r="S310" s="117"/>
      <c r="T310" s="117"/>
      <c r="U310" s="117"/>
      <c r="V310" s="123" t="s">
        <v>2918</v>
      </c>
      <c r="W310" s="117"/>
      <c r="X310" s="118" t="s">
        <v>2919</v>
      </c>
      <c r="Y310" s="118"/>
      <c r="Z310" s="118"/>
      <c r="AA310" s="118" t="s">
        <v>2920</v>
      </c>
      <c r="AB310" s="117"/>
      <c r="AC310" s="117"/>
      <c r="AD310" s="117"/>
      <c r="AE310" s="117"/>
      <c r="AF310" s="117"/>
      <c r="AG310" s="117"/>
      <c r="AH310" s="117"/>
      <c r="AI310" s="117"/>
      <c r="AJ310" s="117"/>
    </row>
    <row r="311" spans="1:36" ht="24.75" customHeight="1">
      <c r="A311" s="116"/>
      <c r="B311" s="143" t="s">
        <v>1469</v>
      </c>
      <c r="C311" s="117"/>
      <c r="D311" s="117"/>
      <c r="E311" s="117" t="s">
        <v>1272</v>
      </c>
      <c r="F311" s="118" t="s">
        <v>2921</v>
      </c>
      <c r="G311" s="118" t="s">
        <v>2922</v>
      </c>
      <c r="H311" s="117" t="s">
        <v>298</v>
      </c>
      <c r="I311" s="117"/>
      <c r="J311" s="117" t="s">
        <v>269</v>
      </c>
      <c r="K311" s="123" t="s">
        <v>1274</v>
      </c>
      <c r="L311" s="117" t="s">
        <v>269</v>
      </c>
      <c r="M311" s="123" t="s">
        <v>2923</v>
      </c>
      <c r="N311" s="117" t="s">
        <v>1294</v>
      </c>
      <c r="O311" s="118" t="s">
        <v>2924</v>
      </c>
      <c r="P311" s="118" t="s">
        <v>2925</v>
      </c>
      <c r="Q311" s="117"/>
      <c r="R311" s="117"/>
      <c r="S311" s="117"/>
      <c r="T311" s="117"/>
      <c r="U311" s="117"/>
      <c r="V311" s="123" t="s">
        <v>2926</v>
      </c>
      <c r="W311" s="117"/>
      <c r="X311" s="118" t="s">
        <v>2927</v>
      </c>
      <c r="Y311" s="118"/>
      <c r="Z311" s="128" t="s">
        <v>2928</v>
      </c>
      <c r="AA311" s="118"/>
      <c r="AB311" s="117"/>
      <c r="AC311" s="117"/>
      <c r="AD311" s="117"/>
      <c r="AE311" s="117"/>
      <c r="AF311" s="117"/>
      <c r="AG311" s="117"/>
      <c r="AH311" s="117"/>
      <c r="AI311" s="117"/>
      <c r="AJ311" s="117"/>
    </row>
    <row r="312" spans="1:36" ht="24.75" customHeight="1">
      <c r="A312" s="116"/>
      <c r="B312" s="143" t="s">
        <v>1469</v>
      </c>
      <c r="C312" s="117"/>
      <c r="D312" s="117"/>
      <c r="E312" s="117" t="s">
        <v>1272</v>
      </c>
      <c r="F312" s="118" t="s">
        <v>2929</v>
      </c>
      <c r="G312" s="118" t="s">
        <v>2930</v>
      </c>
      <c r="H312" s="117" t="s">
        <v>298</v>
      </c>
      <c r="I312" s="117"/>
      <c r="J312" s="117" t="s">
        <v>269</v>
      </c>
      <c r="K312" s="123" t="s">
        <v>1274</v>
      </c>
      <c r="L312" s="117" t="s">
        <v>269</v>
      </c>
      <c r="M312" s="123" t="s">
        <v>1293</v>
      </c>
      <c r="N312" s="117" t="s">
        <v>2607</v>
      </c>
      <c r="O312" s="118" t="s">
        <v>2931</v>
      </c>
      <c r="P312" s="118" t="s">
        <v>2769</v>
      </c>
      <c r="Q312" s="117"/>
      <c r="R312" s="117"/>
      <c r="S312" s="117"/>
      <c r="T312" s="117"/>
      <c r="U312" s="117"/>
      <c r="V312" s="123" t="s">
        <v>2932</v>
      </c>
      <c r="W312" s="117"/>
      <c r="X312" s="128" t="s">
        <v>2933</v>
      </c>
      <c r="Y312" s="118"/>
      <c r="Z312" s="128" t="s">
        <v>2934</v>
      </c>
      <c r="AA312" s="118" t="s">
        <v>2935</v>
      </c>
      <c r="AB312" s="117"/>
      <c r="AC312" s="117"/>
      <c r="AD312" s="117"/>
      <c r="AE312" s="117"/>
      <c r="AF312" s="117"/>
      <c r="AG312" s="117"/>
      <c r="AH312" s="117"/>
      <c r="AI312" s="117"/>
      <c r="AJ312" s="117"/>
    </row>
    <row r="313" spans="1:36" ht="24.75" customHeight="1">
      <c r="A313" s="116"/>
      <c r="B313" s="143" t="s">
        <v>1469</v>
      </c>
      <c r="C313" s="117"/>
      <c r="D313" s="117"/>
      <c r="E313" s="117" t="s">
        <v>2707</v>
      </c>
      <c r="F313" s="118" t="s">
        <v>2936</v>
      </c>
      <c r="G313" s="118" t="s">
        <v>2937</v>
      </c>
      <c r="H313" s="117" t="s">
        <v>298</v>
      </c>
      <c r="I313" s="117"/>
      <c r="J313" s="117" t="s">
        <v>269</v>
      </c>
      <c r="K313" s="123" t="s">
        <v>1274</v>
      </c>
      <c r="L313" s="117" t="s">
        <v>269</v>
      </c>
      <c r="M313" s="123" t="s">
        <v>2938</v>
      </c>
      <c r="N313" s="117" t="s">
        <v>2607</v>
      </c>
      <c r="O313" s="118" t="s">
        <v>2939</v>
      </c>
      <c r="P313" s="118" t="s">
        <v>2940</v>
      </c>
      <c r="Q313" s="117"/>
      <c r="R313" s="117"/>
      <c r="S313" s="117"/>
      <c r="T313" s="117"/>
      <c r="U313" s="117"/>
      <c r="V313" s="123" t="s">
        <v>2941</v>
      </c>
      <c r="W313" s="117"/>
      <c r="X313" s="128" t="s">
        <v>2942</v>
      </c>
      <c r="Y313" s="118"/>
      <c r="Z313" s="118"/>
      <c r="AA313" s="118"/>
      <c r="AB313" s="117"/>
      <c r="AC313" s="117"/>
      <c r="AD313" s="117"/>
      <c r="AE313" s="117"/>
      <c r="AF313" s="117"/>
      <c r="AG313" s="117"/>
      <c r="AH313" s="117"/>
      <c r="AI313" s="117"/>
      <c r="AJ313" s="117"/>
    </row>
    <row r="314" spans="1:36" ht="24.75" customHeight="1">
      <c r="A314" s="116"/>
      <c r="B314" s="143" t="s">
        <v>1469</v>
      </c>
      <c r="C314" s="117"/>
      <c r="D314" s="117"/>
      <c r="E314" s="117" t="s">
        <v>1272</v>
      </c>
      <c r="F314" s="118" t="s">
        <v>2943</v>
      </c>
      <c r="G314" s="118" t="s">
        <v>2944</v>
      </c>
      <c r="H314" s="117" t="s">
        <v>298</v>
      </c>
      <c r="I314" s="117"/>
      <c r="J314" s="117" t="s">
        <v>269</v>
      </c>
      <c r="K314" s="123" t="s">
        <v>1274</v>
      </c>
      <c r="L314" s="117" t="s">
        <v>269</v>
      </c>
      <c r="M314" s="123" t="s">
        <v>1351</v>
      </c>
      <c r="N314" s="117" t="s">
        <v>1294</v>
      </c>
      <c r="O314" s="118" t="s">
        <v>2945</v>
      </c>
      <c r="P314" s="118" t="s">
        <v>2946</v>
      </c>
      <c r="Q314" s="117"/>
      <c r="R314" s="117" t="s">
        <v>270</v>
      </c>
      <c r="S314" s="117"/>
      <c r="T314" s="117"/>
      <c r="U314" s="117"/>
      <c r="V314" s="123" t="s">
        <v>2947</v>
      </c>
      <c r="W314" s="117"/>
      <c r="X314" s="128" t="s">
        <v>2948</v>
      </c>
      <c r="Y314" s="118"/>
      <c r="Z314" s="118"/>
      <c r="AA314" s="118"/>
      <c r="AB314" s="117"/>
      <c r="AC314" s="117"/>
      <c r="AD314" s="117"/>
      <c r="AE314" s="117"/>
      <c r="AF314" s="117"/>
      <c r="AG314" s="117"/>
      <c r="AH314" s="117"/>
      <c r="AI314" s="117"/>
      <c r="AJ314" s="117"/>
    </row>
    <row r="315" spans="1:36" ht="24.75" customHeight="1">
      <c r="A315" s="116"/>
      <c r="B315" s="150"/>
      <c r="C315" s="117"/>
      <c r="D315" s="117"/>
      <c r="E315" s="117" t="s">
        <v>1272</v>
      </c>
      <c r="F315" s="153" t="s">
        <v>2949</v>
      </c>
      <c r="G315" s="118"/>
      <c r="H315" s="117" t="s">
        <v>1283</v>
      </c>
      <c r="I315" s="117"/>
      <c r="J315" s="117"/>
      <c r="K315" s="123" t="s">
        <v>2950</v>
      </c>
      <c r="L315" s="154" t="s">
        <v>1976</v>
      </c>
      <c r="M315" s="123"/>
      <c r="N315" s="154" t="s">
        <v>2248</v>
      </c>
      <c r="O315" s="118"/>
      <c r="P315" s="118"/>
      <c r="Q315" s="117"/>
      <c r="R315" s="117" t="s">
        <v>270</v>
      </c>
      <c r="S315" s="117"/>
      <c r="T315" s="117"/>
      <c r="U315" s="117"/>
      <c r="V315" s="123"/>
      <c r="W315" s="117"/>
      <c r="X315" s="118"/>
      <c r="Y315" s="118"/>
      <c r="Z315" s="118"/>
      <c r="AA315" s="118"/>
      <c r="AB315" s="117"/>
      <c r="AC315" s="117"/>
      <c r="AD315" s="117"/>
      <c r="AE315" s="117"/>
      <c r="AF315" s="117"/>
      <c r="AG315" s="117"/>
      <c r="AH315" s="117"/>
      <c r="AI315" s="117"/>
      <c r="AJ315" s="117"/>
    </row>
    <row r="316" spans="1:36" ht="24.75" customHeight="1">
      <c r="A316" s="116"/>
      <c r="B316" s="143" t="s">
        <v>1469</v>
      </c>
      <c r="C316" s="117"/>
      <c r="D316" s="117"/>
      <c r="E316" s="117"/>
      <c r="F316" s="161" t="s">
        <v>2951</v>
      </c>
      <c r="G316" s="118" t="s">
        <v>2952</v>
      </c>
      <c r="H316" s="117" t="s">
        <v>298</v>
      </c>
      <c r="I316" s="117"/>
      <c r="J316" s="117"/>
      <c r="K316" s="123" t="s">
        <v>1274</v>
      </c>
      <c r="L316" s="155" t="s">
        <v>269</v>
      </c>
      <c r="M316" s="123"/>
      <c r="N316" s="155" t="s">
        <v>2607</v>
      </c>
      <c r="O316" s="118"/>
      <c r="P316" s="118"/>
      <c r="Q316" s="117"/>
      <c r="R316" s="117" t="s">
        <v>270</v>
      </c>
      <c r="S316" s="117"/>
      <c r="T316" s="117"/>
      <c r="U316" s="117"/>
      <c r="V316" s="123"/>
      <c r="W316" s="117"/>
      <c r="X316" s="174" t="s">
        <v>2953</v>
      </c>
      <c r="Y316" s="118"/>
      <c r="Z316" s="118"/>
      <c r="AA316" s="118"/>
      <c r="AB316" s="117"/>
      <c r="AC316" s="117"/>
      <c r="AD316" s="117"/>
      <c r="AE316" s="117"/>
      <c r="AF316" s="117"/>
      <c r="AG316" s="117"/>
      <c r="AH316" s="117"/>
      <c r="AI316" s="117"/>
      <c r="AJ316" s="117"/>
    </row>
    <row r="317" spans="1:36" ht="24.75" customHeight="1">
      <c r="A317" s="116"/>
      <c r="B317" s="150"/>
      <c r="C317" s="117"/>
      <c r="D317" s="117"/>
      <c r="E317" s="117"/>
      <c r="F317" s="161" t="s">
        <v>2954</v>
      </c>
      <c r="G317" s="118"/>
      <c r="H317" s="117" t="s">
        <v>1283</v>
      </c>
      <c r="I317" s="117"/>
      <c r="J317" s="117"/>
      <c r="K317" s="123" t="s">
        <v>2950</v>
      </c>
      <c r="L317" s="155" t="s">
        <v>282</v>
      </c>
      <c r="M317" s="123"/>
      <c r="N317" s="155" t="s">
        <v>2955</v>
      </c>
      <c r="O317" s="118"/>
      <c r="P317" s="118"/>
      <c r="Q317" s="117"/>
      <c r="R317" s="117"/>
      <c r="S317" s="117"/>
      <c r="T317" s="117"/>
      <c r="U317" s="117"/>
      <c r="V317" s="123"/>
      <c r="W317" s="117"/>
      <c r="X317" s="118"/>
      <c r="Y317" s="118"/>
      <c r="Z317" s="118"/>
      <c r="AA317" s="118"/>
      <c r="AB317" s="117"/>
      <c r="AC317" s="117"/>
      <c r="AD317" s="117"/>
      <c r="AE317" s="117"/>
      <c r="AF317" s="117"/>
      <c r="AG317" s="117"/>
      <c r="AH317" s="117"/>
      <c r="AI317" s="117"/>
      <c r="AJ317" s="117"/>
    </row>
    <row r="318" spans="1:36" ht="24.75" customHeight="1">
      <c r="A318" s="116"/>
      <c r="B318" s="143" t="s">
        <v>1469</v>
      </c>
      <c r="C318" s="117"/>
      <c r="D318" s="117"/>
      <c r="E318" s="117" t="s">
        <v>1272</v>
      </c>
      <c r="F318" s="161" t="s">
        <v>2956</v>
      </c>
      <c r="G318" s="118"/>
      <c r="H318" s="117" t="s">
        <v>298</v>
      </c>
      <c r="I318" s="117"/>
      <c r="J318" s="117"/>
      <c r="K318" s="123" t="s">
        <v>1274</v>
      </c>
      <c r="L318" s="155" t="s">
        <v>269</v>
      </c>
      <c r="M318" s="123"/>
      <c r="N318" s="155" t="s">
        <v>2607</v>
      </c>
      <c r="O318" s="118"/>
      <c r="P318" s="118"/>
      <c r="Q318" s="117"/>
      <c r="R318" s="117" t="s">
        <v>270</v>
      </c>
      <c r="S318" s="117"/>
      <c r="T318" s="117"/>
      <c r="U318" s="117"/>
      <c r="V318" s="123"/>
      <c r="W318" s="117"/>
      <c r="X318" s="118"/>
      <c r="Y318" s="118"/>
      <c r="Z318" s="118"/>
      <c r="AA318" s="118"/>
      <c r="AB318" s="117"/>
      <c r="AC318" s="117"/>
      <c r="AD318" s="117"/>
      <c r="AE318" s="117"/>
      <c r="AF318" s="117"/>
      <c r="AG318" s="117"/>
      <c r="AH318" s="117"/>
      <c r="AI318" s="117"/>
      <c r="AJ318" s="117"/>
    </row>
    <row r="319" spans="1:36" ht="24.75" customHeight="1">
      <c r="A319" s="116"/>
      <c r="B319" s="150"/>
      <c r="C319" s="117"/>
      <c r="D319" s="117"/>
      <c r="E319" s="117"/>
      <c r="F319" s="161" t="s">
        <v>2957</v>
      </c>
      <c r="G319" s="118"/>
      <c r="H319" s="117" t="s">
        <v>1283</v>
      </c>
      <c r="I319" s="117"/>
      <c r="J319" s="117"/>
      <c r="K319" s="123" t="s">
        <v>2950</v>
      </c>
      <c r="L319" s="155" t="s">
        <v>282</v>
      </c>
      <c r="M319" s="123"/>
      <c r="N319" s="155" t="s">
        <v>2248</v>
      </c>
      <c r="O319" s="118"/>
      <c r="P319" s="118"/>
      <c r="Q319" s="117"/>
      <c r="R319" s="117" t="s">
        <v>270</v>
      </c>
      <c r="S319" s="117"/>
      <c r="T319" s="117"/>
      <c r="U319" s="117"/>
      <c r="V319" s="123"/>
      <c r="W319" s="117"/>
      <c r="X319" s="118"/>
      <c r="Y319" s="118"/>
      <c r="Z319" s="118"/>
      <c r="AA319" s="118"/>
      <c r="AB319" s="117"/>
      <c r="AC319" s="117"/>
      <c r="AD319" s="117"/>
      <c r="AE319" s="117"/>
      <c r="AF319" s="117"/>
      <c r="AG319" s="117"/>
      <c r="AH319" s="117"/>
      <c r="AI319" s="117"/>
      <c r="AJ319" s="117"/>
    </row>
    <row r="320" spans="1:36" ht="24.75" customHeight="1">
      <c r="A320" s="116"/>
      <c r="B320" s="150"/>
      <c r="C320" s="117"/>
      <c r="D320" s="117"/>
      <c r="E320" s="117"/>
      <c r="F320" s="161" t="s">
        <v>2958</v>
      </c>
      <c r="G320" s="118"/>
      <c r="H320" s="117" t="s">
        <v>1283</v>
      </c>
      <c r="I320" s="117"/>
      <c r="J320" s="117"/>
      <c r="K320" s="123" t="s">
        <v>2950</v>
      </c>
      <c r="L320" s="155" t="s">
        <v>1976</v>
      </c>
      <c r="M320" s="123"/>
      <c r="N320" s="155" t="s">
        <v>2248</v>
      </c>
      <c r="O320" s="118"/>
      <c r="P320" s="118"/>
      <c r="Q320" s="117"/>
      <c r="R320" s="117" t="s">
        <v>270</v>
      </c>
      <c r="S320" s="117"/>
      <c r="T320" s="117"/>
      <c r="U320" s="117"/>
      <c r="V320" s="123"/>
      <c r="W320" s="117"/>
      <c r="X320" s="118"/>
      <c r="Y320" s="118"/>
      <c r="Z320" s="118"/>
      <c r="AA320" s="118"/>
      <c r="AB320" s="117"/>
      <c r="AC320" s="117"/>
      <c r="AD320" s="117"/>
      <c r="AE320" s="117"/>
      <c r="AF320" s="117"/>
      <c r="AG320" s="117"/>
      <c r="AH320" s="117"/>
      <c r="AI320" s="117"/>
      <c r="AJ320" s="117"/>
    </row>
    <row r="321" spans="1:36" ht="24.75" customHeight="1">
      <c r="A321" s="116"/>
      <c r="B321" s="150"/>
      <c r="C321" s="117"/>
      <c r="D321" s="117"/>
      <c r="E321" s="117"/>
      <c r="F321" s="161" t="s">
        <v>2959</v>
      </c>
      <c r="G321" s="118"/>
      <c r="H321" s="117" t="s">
        <v>1283</v>
      </c>
      <c r="I321" s="117"/>
      <c r="J321" s="117"/>
      <c r="K321" s="123" t="s">
        <v>2950</v>
      </c>
      <c r="L321" s="155" t="s">
        <v>1976</v>
      </c>
      <c r="M321" s="123"/>
      <c r="N321" s="155" t="s">
        <v>2248</v>
      </c>
      <c r="O321" s="118"/>
      <c r="P321" s="118"/>
      <c r="Q321" s="117"/>
      <c r="R321" s="117" t="s">
        <v>270</v>
      </c>
      <c r="S321" s="117"/>
      <c r="T321" s="117"/>
      <c r="U321" s="117"/>
      <c r="V321" s="123"/>
      <c r="W321" s="117"/>
      <c r="X321" s="118"/>
      <c r="Y321" s="118"/>
      <c r="Z321" s="118"/>
      <c r="AA321" s="118"/>
      <c r="AB321" s="117"/>
      <c r="AC321" s="117"/>
      <c r="AD321" s="117"/>
      <c r="AE321" s="117"/>
      <c r="AF321" s="117"/>
      <c r="AG321" s="117"/>
      <c r="AH321" s="117"/>
      <c r="AI321" s="117"/>
      <c r="AJ321" s="117"/>
    </row>
    <row r="322" spans="1:36" ht="24.75" customHeight="1">
      <c r="A322" s="116"/>
      <c r="B322" s="150"/>
      <c r="C322" s="117"/>
      <c r="D322" s="117"/>
      <c r="E322" s="117"/>
      <c r="F322" s="161" t="s">
        <v>2960</v>
      </c>
      <c r="G322" s="118"/>
      <c r="H322" s="117" t="s">
        <v>1283</v>
      </c>
      <c r="I322" s="117"/>
      <c r="J322" s="117"/>
      <c r="K322" s="123" t="s">
        <v>2950</v>
      </c>
      <c r="L322" s="155" t="s">
        <v>282</v>
      </c>
      <c r="M322" s="123"/>
      <c r="N322" s="155" t="s">
        <v>1616</v>
      </c>
      <c r="O322" s="118"/>
      <c r="P322" s="118"/>
      <c r="Q322" s="117"/>
      <c r="R322" s="117" t="s">
        <v>270</v>
      </c>
      <c r="S322" s="117"/>
      <c r="T322" s="117"/>
      <c r="U322" s="117"/>
      <c r="V322" s="123"/>
      <c r="W322" s="117"/>
      <c r="X322" s="118"/>
      <c r="Y322" s="118"/>
      <c r="Z322" s="118"/>
      <c r="AA322" s="118"/>
      <c r="AB322" s="117"/>
      <c r="AC322" s="117"/>
      <c r="AD322" s="117"/>
      <c r="AE322" s="117"/>
      <c r="AF322" s="117"/>
      <c r="AG322" s="117"/>
      <c r="AH322" s="117"/>
      <c r="AI322" s="117"/>
      <c r="AJ322" s="117"/>
    </row>
    <row r="323" spans="1:36" ht="24.75" customHeight="1">
      <c r="A323" s="116"/>
      <c r="B323" s="117" t="s">
        <v>1469</v>
      </c>
      <c r="C323" s="117"/>
      <c r="D323" s="117"/>
      <c r="E323" s="117"/>
      <c r="F323" s="162" t="s">
        <v>2961</v>
      </c>
      <c r="G323" s="118"/>
      <c r="H323" s="117" t="s">
        <v>1283</v>
      </c>
      <c r="I323" s="117"/>
      <c r="J323" s="117" t="s">
        <v>282</v>
      </c>
      <c r="K323" s="123" t="s">
        <v>282</v>
      </c>
      <c r="L323" s="155" t="s">
        <v>282</v>
      </c>
      <c r="M323" s="123" t="s">
        <v>282</v>
      </c>
      <c r="N323" s="155" t="s">
        <v>2962</v>
      </c>
      <c r="O323" s="118" t="s">
        <v>2963</v>
      </c>
      <c r="P323" s="118"/>
      <c r="Q323" s="117"/>
      <c r="R323" s="117"/>
      <c r="S323" s="117"/>
      <c r="T323" s="117"/>
      <c r="U323" s="117"/>
      <c r="V323" s="123" t="s">
        <v>2964</v>
      </c>
      <c r="W323" s="117"/>
      <c r="X323" s="118" t="s">
        <v>2965</v>
      </c>
      <c r="Y323" s="118"/>
      <c r="Z323" s="118" t="s">
        <v>2966</v>
      </c>
      <c r="AA323" s="118" t="s">
        <v>2967</v>
      </c>
      <c r="AB323" s="117"/>
      <c r="AC323" s="117"/>
      <c r="AD323" s="117"/>
      <c r="AE323" s="117"/>
      <c r="AF323" s="117"/>
      <c r="AG323" s="117"/>
      <c r="AH323" s="117"/>
      <c r="AI323" s="117"/>
      <c r="AJ323" s="117"/>
    </row>
    <row r="324" spans="1:36" ht="24.75" customHeight="1">
      <c r="A324" s="116"/>
      <c r="B324" s="117" t="s">
        <v>1469</v>
      </c>
      <c r="C324" s="117"/>
      <c r="D324" s="117"/>
      <c r="E324" s="117"/>
      <c r="F324" s="161" t="s">
        <v>2968</v>
      </c>
      <c r="G324" s="118"/>
      <c r="H324" s="117" t="s">
        <v>1283</v>
      </c>
      <c r="I324" s="117"/>
      <c r="J324" s="117" t="s">
        <v>282</v>
      </c>
      <c r="K324" s="123" t="s">
        <v>282</v>
      </c>
      <c r="L324" s="155" t="s">
        <v>282</v>
      </c>
      <c r="M324" s="123" t="s">
        <v>282</v>
      </c>
      <c r="N324" s="155" t="s">
        <v>2962</v>
      </c>
      <c r="O324" s="118" t="s">
        <v>2969</v>
      </c>
      <c r="P324" s="118" t="s">
        <v>2033</v>
      </c>
      <c r="Q324" s="117"/>
      <c r="R324" s="117"/>
      <c r="S324" s="117"/>
      <c r="T324" s="117"/>
      <c r="U324" s="117"/>
      <c r="V324" s="123" t="s">
        <v>2970</v>
      </c>
      <c r="W324" s="117"/>
      <c r="X324" s="118" t="s">
        <v>2971</v>
      </c>
      <c r="Y324" s="118"/>
      <c r="Z324" s="118" t="s">
        <v>2972</v>
      </c>
      <c r="AA324" s="118" t="s">
        <v>2973</v>
      </c>
      <c r="AB324" s="117"/>
      <c r="AC324" s="117"/>
      <c r="AD324" s="117"/>
      <c r="AE324" s="117"/>
      <c r="AF324" s="117"/>
      <c r="AG324" s="117"/>
      <c r="AH324" s="117"/>
      <c r="AI324" s="117"/>
      <c r="AJ324" s="117"/>
    </row>
    <row r="325" spans="1:36" ht="24.75" customHeight="1">
      <c r="A325" s="116"/>
      <c r="B325" s="117" t="s">
        <v>1469</v>
      </c>
      <c r="C325" s="117"/>
      <c r="D325" s="117"/>
      <c r="E325" s="117" t="s">
        <v>2974</v>
      </c>
      <c r="F325" s="161" t="s">
        <v>310</v>
      </c>
      <c r="G325" s="118"/>
      <c r="H325" s="117" t="s">
        <v>1283</v>
      </c>
      <c r="I325" s="117"/>
      <c r="J325" s="117" t="s">
        <v>282</v>
      </c>
      <c r="K325" s="123" t="s">
        <v>2975</v>
      </c>
      <c r="L325" s="155" t="s">
        <v>2975</v>
      </c>
      <c r="M325" s="123" t="s">
        <v>2975</v>
      </c>
      <c r="N325" s="155" t="s">
        <v>1294</v>
      </c>
      <c r="O325" s="118" t="s">
        <v>2976</v>
      </c>
      <c r="P325" s="118" t="s">
        <v>1320</v>
      </c>
      <c r="Q325" s="117"/>
      <c r="R325" s="117"/>
      <c r="S325" s="117"/>
      <c r="T325" s="117"/>
      <c r="U325" s="117"/>
      <c r="V325" s="123" t="s">
        <v>2977</v>
      </c>
      <c r="W325" s="117"/>
      <c r="X325" s="118" t="s">
        <v>2978</v>
      </c>
      <c r="Y325" s="118"/>
      <c r="Z325" s="118" t="s">
        <v>2979</v>
      </c>
      <c r="AA325" s="118" t="s">
        <v>2980</v>
      </c>
      <c r="AB325" s="117"/>
      <c r="AC325" s="117"/>
      <c r="AD325" s="117"/>
      <c r="AE325" s="117"/>
      <c r="AF325" s="117"/>
      <c r="AG325" s="117"/>
      <c r="AH325" s="117"/>
      <c r="AI325" s="117"/>
      <c r="AJ325" s="117"/>
    </row>
    <row r="326" spans="1:36" ht="24.75" customHeight="1">
      <c r="A326" s="116"/>
      <c r="B326" s="117" t="s">
        <v>2981</v>
      </c>
      <c r="C326" s="117"/>
      <c r="D326" s="117"/>
      <c r="E326" s="117" t="s">
        <v>2982</v>
      </c>
      <c r="F326" s="161" t="s">
        <v>2983</v>
      </c>
      <c r="G326" s="118"/>
      <c r="H326" s="117" t="s">
        <v>1283</v>
      </c>
      <c r="I326" s="117"/>
      <c r="J326" s="117" t="s">
        <v>282</v>
      </c>
      <c r="K326" s="123" t="s">
        <v>2984</v>
      </c>
      <c r="L326" s="155"/>
      <c r="M326" s="123"/>
      <c r="N326" s="155" t="s">
        <v>2962</v>
      </c>
      <c r="O326" s="118" t="s">
        <v>2985</v>
      </c>
      <c r="P326" s="118" t="s">
        <v>1320</v>
      </c>
      <c r="Q326" s="117"/>
      <c r="R326" s="117"/>
      <c r="S326" s="117"/>
      <c r="T326" s="117"/>
      <c r="U326" s="117"/>
      <c r="V326" s="123" t="s">
        <v>2986</v>
      </c>
      <c r="W326" s="117"/>
      <c r="X326" s="118" t="s">
        <v>2987</v>
      </c>
      <c r="Y326" s="118"/>
      <c r="Z326" s="118" t="s">
        <v>2988</v>
      </c>
      <c r="AA326" s="118" t="s">
        <v>2989</v>
      </c>
      <c r="AB326" s="117"/>
      <c r="AC326" s="117"/>
      <c r="AD326" s="117"/>
      <c r="AE326" s="117"/>
      <c r="AF326" s="117"/>
      <c r="AG326" s="117"/>
      <c r="AH326" s="117"/>
      <c r="AI326" s="117"/>
      <c r="AJ326" s="117"/>
    </row>
    <row r="327" spans="1:36" ht="24.75" customHeight="1">
      <c r="A327" s="116"/>
      <c r="B327" s="117" t="s">
        <v>2981</v>
      </c>
      <c r="C327" s="117"/>
      <c r="D327" s="117"/>
      <c r="E327" s="117" t="s">
        <v>2982</v>
      </c>
      <c r="F327" s="161" t="s">
        <v>2990</v>
      </c>
      <c r="G327" s="118"/>
      <c r="H327" s="117" t="s">
        <v>1283</v>
      </c>
      <c r="I327" s="117"/>
      <c r="J327" s="117" t="s">
        <v>282</v>
      </c>
      <c r="K327" s="123" t="s">
        <v>282</v>
      </c>
      <c r="L327" s="155" t="s">
        <v>282</v>
      </c>
      <c r="M327" s="123" t="s">
        <v>282</v>
      </c>
      <c r="N327" s="155" t="s">
        <v>2962</v>
      </c>
      <c r="O327" s="118" t="s">
        <v>2991</v>
      </c>
      <c r="P327" s="118" t="s">
        <v>2992</v>
      </c>
      <c r="Q327" s="117"/>
      <c r="R327" s="117"/>
      <c r="S327" s="117"/>
      <c r="T327" s="117"/>
      <c r="U327" s="117"/>
      <c r="V327" s="123" t="s">
        <v>2993</v>
      </c>
      <c r="W327" s="117"/>
      <c r="X327" s="118" t="s">
        <v>2994</v>
      </c>
      <c r="Y327" s="118"/>
      <c r="Z327" s="118" t="s">
        <v>2995</v>
      </c>
      <c r="AA327" s="118" t="s">
        <v>2996</v>
      </c>
      <c r="AB327" s="117"/>
      <c r="AC327" s="117"/>
      <c r="AD327" s="117"/>
      <c r="AE327" s="117"/>
      <c r="AF327" s="117"/>
      <c r="AG327" s="117"/>
      <c r="AH327" s="117"/>
      <c r="AI327" s="117"/>
      <c r="AJ327" s="117"/>
    </row>
    <row r="328" spans="1:36" ht="24.75" customHeight="1">
      <c r="A328" s="116"/>
      <c r="B328" s="117" t="s">
        <v>1270</v>
      </c>
      <c r="C328" s="117"/>
      <c r="D328" s="117"/>
      <c r="E328" s="117" t="s">
        <v>2982</v>
      </c>
      <c r="F328" s="161" t="s">
        <v>2997</v>
      </c>
      <c r="G328" s="118"/>
      <c r="H328" s="117" t="s">
        <v>1283</v>
      </c>
      <c r="I328" s="117"/>
      <c r="J328" s="117" t="s">
        <v>282</v>
      </c>
      <c r="K328" s="123" t="s">
        <v>282</v>
      </c>
      <c r="L328" s="155" t="s">
        <v>282</v>
      </c>
      <c r="M328" s="123" t="s">
        <v>282</v>
      </c>
      <c r="N328" s="155" t="s">
        <v>2962</v>
      </c>
      <c r="O328" s="118" t="s">
        <v>2998</v>
      </c>
      <c r="P328" s="118" t="s">
        <v>2115</v>
      </c>
      <c r="Q328" s="117"/>
      <c r="R328" s="117"/>
      <c r="S328" s="117"/>
      <c r="T328" s="117"/>
      <c r="U328" s="117"/>
      <c r="V328" s="123" t="s">
        <v>2999</v>
      </c>
      <c r="W328" s="117"/>
      <c r="X328" s="118" t="s">
        <v>3000</v>
      </c>
      <c r="Y328" s="118"/>
      <c r="Z328" s="118" t="s">
        <v>3001</v>
      </c>
      <c r="AA328" s="118" t="s">
        <v>3002</v>
      </c>
      <c r="AB328" s="117"/>
      <c r="AC328" s="117"/>
      <c r="AD328" s="117"/>
      <c r="AE328" s="117"/>
      <c r="AF328" s="117"/>
      <c r="AG328" s="117"/>
      <c r="AH328" s="117"/>
      <c r="AI328" s="117"/>
      <c r="AJ328" s="117"/>
    </row>
    <row r="329" spans="1:36" ht="24.75" customHeight="1">
      <c r="A329" s="116"/>
      <c r="B329" s="117" t="s">
        <v>1469</v>
      </c>
      <c r="C329" s="117"/>
      <c r="D329" s="117"/>
      <c r="E329" s="117" t="s">
        <v>1272</v>
      </c>
      <c r="F329" s="161" t="s">
        <v>3003</v>
      </c>
      <c r="G329" s="118"/>
      <c r="H329" s="117" t="s">
        <v>1283</v>
      </c>
      <c r="I329" s="117"/>
      <c r="J329" s="117"/>
      <c r="K329" s="123"/>
      <c r="L329" s="155"/>
      <c r="M329" s="123"/>
      <c r="N329" s="155"/>
      <c r="O329" s="118" t="s">
        <v>3004</v>
      </c>
      <c r="P329" s="118"/>
      <c r="Q329" s="117"/>
      <c r="R329" s="117"/>
      <c r="S329" s="117"/>
      <c r="T329" s="117"/>
      <c r="U329" s="117"/>
      <c r="V329" s="123"/>
      <c r="W329" s="117"/>
      <c r="X329" s="118"/>
      <c r="Y329" s="118"/>
      <c r="Z329" s="118"/>
      <c r="AA329" s="118"/>
      <c r="AB329" s="117"/>
      <c r="AC329" s="117"/>
      <c r="AD329" s="117"/>
      <c r="AE329" s="117"/>
      <c r="AF329" s="117"/>
      <c r="AG329" s="117"/>
      <c r="AH329" s="117"/>
      <c r="AI329" s="117"/>
      <c r="AJ329" s="117"/>
    </row>
    <row r="330" spans="1:36" ht="24.75" customHeight="1">
      <c r="A330" s="116"/>
      <c r="B330" s="117" t="s">
        <v>1469</v>
      </c>
      <c r="C330" s="117"/>
      <c r="D330" s="117"/>
      <c r="E330" s="117" t="s">
        <v>3005</v>
      </c>
      <c r="F330" s="161" t="s">
        <v>3006</v>
      </c>
      <c r="G330" s="118"/>
      <c r="H330" s="117" t="s">
        <v>1283</v>
      </c>
      <c r="I330" s="117"/>
      <c r="J330" s="117" t="s">
        <v>282</v>
      </c>
      <c r="K330" s="123" t="s">
        <v>3007</v>
      </c>
      <c r="L330" s="155" t="s">
        <v>282</v>
      </c>
      <c r="M330" s="123" t="s">
        <v>282</v>
      </c>
      <c r="N330" s="155" t="s">
        <v>3005</v>
      </c>
      <c r="O330" s="118" t="s">
        <v>3008</v>
      </c>
      <c r="P330" s="118" t="s">
        <v>3009</v>
      </c>
      <c r="Q330" s="117"/>
      <c r="R330" s="117"/>
      <c r="S330" s="117"/>
      <c r="T330" s="117"/>
      <c r="U330" s="117"/>
      <c r="V330" s="123" t="s">
        <v>3010</v>
      </c>
      <c r="W330" s="117"/>
      <c r="X330" s="118" t="s">
        <v>3011</v>
      </c>
      <c r="Y330" s="118"/>
      <c r="Z330" s="118" t="s">
        <v>3012</v>
      </c>
      <c r="AA330" s="118" t="s">
        <v>3013</v>
      </c>
      <c r="AB330" s="117"/>
      <c r="AC330" s="117"/>
      <c r="AD330" s="117"/>
      <c r="AE330" s="117"/>
      <c r="AF330" s="117"/>
      <c r="AG330" s="117"/>
      <c r="AH330" s="117"/>
      <c r="AI330" s="117"/>
      <c r="AJ330" s="117"/>
    </row>
    <row r="331" spans="1:36" ht="24.75" customHeight="1">
      <c r="A331" s="116"/>
      <c r="B331" s="117" t="s">
        <v>1469</v>
      </c>
      <c r="C331" s="117"/>
      <c r="D331" s="117"/>
      <c r="E331" s="117" t="s">
        <v>1272</v>
      </c>
      <c r="F331" s="161" t="s">
        <v>3014</v>
      </c>
      <c r="G331" s="118"/>
      <c r="H331" s="117" t="s">
        <v>1283</v>
      </c>
      <c r="I331" s="117"/>
      <c r="J331" s="117" t="s">
        <v>282</v>
      </c>
      <c r="K331" s="123" t="s">
        <v>282</v>
      </c>
      <c r="L331" s="117" t="s">
        <v>282</v>
      </c>
      <c r="M331" s="123" t="s">
        <v>282</v>
      </c>
      <c r="N331" s="117" t="s">
        <v>2962</v>
      </c>
      <c r="O331" s="118" t="s">
        <v>3015</v>
      </c>
      <c r="P331" s="118" t="s">
        <v>1875</v>
      </c>
      <c r="Q331" s="117"/>
      <c r="R331" s="117"/>
      <c r="S331" s="117"/>
      <c r="T331" s="117"/>
      <c r="U331" s="117"/>
      <c r="V331" s="123"/>
      <c r="W331" s="117"/>
      <c r="X331" s="118" t="s">
        <v>1876</v>
      </c>
      <c r="Y331" s="118"/>
      <c r="Z331" s="118" t="s">
        <v>3016</v>
      </c>
      <c r="AA331" s="118" t="s">
        <v>3017</v>
      </c>
      <c r="AB331" s="117"/>
      <c r="AC331" s="117"/>
      <c r="AD331" s="117"/>
      <c r="AE331" s="117"/>
      <c r="AF331" s="117"/>
      <c r="AG331" s="117"/>
      <c r="AH331" s="117"/>
      <c r="AI331" s="117"/>
      <c r="AJ331" s="117"/>
    </row>
    <row r="332" spans="1:36" ht="24.75" customHeight="1">
      <c r="A332" s="116"/>
      <c r="B332" s="117" t="s">
        <v>1469</v>
      </c>
      <c r="C332" s="117"/>
      <c r="D332" s="117"/>
      <c r="E332" s="117" t="s">
        <v>1272</v>
      </c>
      <c r="F332" s="161" t="s">
        <v>3018</v>
      </c>
      <c r="G332" s="118"/>
      <c r="H332" s="117" t="s">
        <v>1283</v>
      </c>
      <c r="I332" s="117"/>
      <c r="J332" s="117" t="s">
        <v>152</v>
      </c>
      <c r="K332" s="123" t="s">
        <v>3019</v>
      </c>
      <c r="L332" s="117" t="s">
        <v>152</v>
      </c>
      <c r="M332" s="123" t="s">
        <v>152</v>
      </c>
      <c r="N332" s="117" t="s">
        <v>1294</v>
      </c>
      <c r="O332" s="118" t="s">
        <v>3020</v>
      </c>
      <c r="P332" s="118" t="s">
        <v>3021</v>
      </c>
      <c r="Q332" s="117"/>
      <c r="R332" s="117"/>
      <c r="S332" s="117"/>
      <c r="T332" s="117"/>
      <c r="U332" s="117"/>
      <c r="V332" s="123" t="s">
        <v>3022</v>
      </c>
      <c r="W332" s="117"/>
      <c r="X332" s="118" t="s">
        <v>3023</v>
      </c>
      <c r="Y332" s="118"/>
      <c r="Z332" s="118" t="s">
        <v>3024</v>
      </c>
      <c r="AA332" s="118"/>
      <c r="AB332" s="117"/>
      <c r="AC332" s="117"/>
      <c r="AD332" s="117"/>
      <c r="AE332" s="117"/>
      <c r="AF332" s="117"/>
      <c r="AG332" s="117"/>
      <c r="AH332" s="117"/>
      <c r="AI332" s="117"/>
      <c r="AJ332" s="117"/>
    </row>
    <row r="333" spans="1:36" ht="24.75" customHeight="1">
      <c r="A333" s="116"/>
      <c r="B333" s="117" t="s">
        <v>1469</v>
      </c>
      <c r="C333" s="117"/>
      <c r="D333" s="117"/>
      <c r="E333" s="117" t="s">
        <v>1272</v>
      </c>
      <c r="F333" s="161" t="s">
        <v>3025</v>
      </c>
      <c r="G333" s="118"/>
      <c r="H333" s="117" t="s">
        <v>1283</v>
      </c>
      <c r="I333" s="117"/>
      <c r="J333" s="117" t="s">
        <v>306</v>
      </c>
      <c r="K333" s="123" t="s">
        <v>306</v>
      </c>
      <c r="L333" s="117" t="s">
        <v>306</v>
      </c>
      <c r="M333" s="123"/>
      <c r="N333" s="117" t="s">
        <v>1294</v>
      </c>
      <c r="O333" s="118" t="s">
        <v>3026</v>
      </c>
      <c r="P333" s="118" t="s">
        <v>3027</v>
      </c>
      <c r="Q333" s="117"/>
      <c r="R333" s="117"/>
      <c r="S333" s="117"/>
      <c r="T333" s="117"/>
      <c r="U333" s="117"/>
      <c r="V333" s="123"/>
      <c r="W333" s="117"/>
      <c r="X333" s="118" t="s">
        <v>3028</v>
      </c>
      <c r="Y333" s="118"/>
      <c r="Z333" s="118" t="s">
        <v>3029</v>
      </c>
      <c r="AA333" s="118"/>
      <c r="AB333" s="117"/>
      <c r="AC333" s="117"/>
      <c r="AD333" s="117"/>
      <c r="AE333" s="117"/>
      <c r="AF333" s="117"/>
      <c r="AG333" s="117"/>
      <c r="AH333" s="117"/>
      <c r="AI333" s="117"/>
      <c r="AJ333" s="117"/>
    </row>
    <row r="334" spans="1:36" ht="24.75" customHeight="1">
      <c r="A334" s="116"/>
      <c r="B334" s="117" t="s">
        <v>1469</v>
      </c>
      <c r="C334" s="117"/>
      <c r="D334" s="117"/>
      <c r="E334" s="117"/>
      <c r="F334" s="118" t="s">
        <v>3030</v>
      </c>
      <c r="G334" s="118"/>
      <c r="H334" s="117" t="s">
        <v>1283</v>
      </c>
      <c r="I334" s="117"/>
      <c r="J334" s="117" t="s">
        <v>282</v>
      </c>
      <c r="K334" s="123" t="s">
        <v>282</v>
      </c>
      <c r="L334" s="117" t="s">
        <v>282</v>
      </c>
      <c r="M334" s="123" t="s">
        <v>282</v>
      </c>
      <c r="N334" s="117" t="s">
        <v>1294</v>
      </c>
      <c r="O334" s="118"/>
      <c r="P334" s="118"/>
      <c r="Q334" s="117"/>
      <c r="R334" s="117"/>
      <c r="S334" s="117"/>
      <c r="T334" s="117"/>
      <c r="U334" s="117"/>
      <c r="V334" s="123">
        <v>64740800</v>
      </c>
      <c r="W334" s="117"/>
      <c r="X334" s="118" t="s">
        <v>3031</v>
      </c>
      <c r="Y334" s="118"/>
      <c r="Z334" s="118" t="s">
        <v>3032</v>
      </c>
      <c r="AA334" s="118" t="s">
        <v>3033</v>
      </c>
      <c r="AB334" s="117"/>
      <c r="AC334" s="117"/>
      <c r="AD334" s="117"/>
      <c r="AE334" s="117"/>
      <c r="AF334" s="117"/>
      <c r="AG334" s="117"/>
      <c r="AH334" s="117"/>
      <c r="AI334" s="117"/>
      <c r="AJ334" s="117"/>
    </row>
    <row r="335" spans="1:36" ht="24.75" customHeight="1">
      <c r="A335" s="116"/>
      <c r="B335" s="117" t="s">
        <v>1469</v>
      </c>
      <c r="C335" s="117"/>
      <c r="D335" s="117"/>
      <c r="E335" s="117" t="s">
        <v>2982</v>
      </c>
      <c r="F335" s="118" t="s">
        <v>3034</v>
      </c>
      <c r="G335" s="118"/>
      <c r="H335" s="117" t="s">
        <v>1283</v>
      </c>
      <c r="I335" s="117"/>
      <c r="J335" s="117" t="s">
        <v>282</v>
      </c>
      <c r="K335" s="123" t="s">
        <v>282</v>
      </c>
      <c r="L335" s="117" t="s">
        <v>282</v>
      </c>
      <c r="M335" s="123" t="s">
        <v>282</v>
      </c>
      <c r="N335" s="117" t="s">
        <v>1294</v>
      </c>
      <c r="O335" s="118" t="s">
        <v>3035</v>
      </c>
      <c r="P335" s="118" t="s">
        <v>1320</v>
      </c>
      <c r="Q335" s="117"/>
      <c r="R335" s="117"/>
      <c r="S335" s="117"/>
      <c r="T335" s="117"/>
      <c r="U335" s="117"/>
      <c r="V335" s="123">
        <v>65325686</v>
      </c>
      <c r="W335" s="117"/>
      <c r="X335" s="118" t="s">
        <v>3036</v>
      </c>
      <c r="Y335" s="118"/>
      <c r="Z335" s="118" t="s">
        <v>3037</v>
      </c>
      <c r="AA335" s="118" t="s">
        <v>3038</v>
      </c>
      <c r="AB335" s="117"/>
      <c r="AC335" s="117"/>
      <c r="AD335" s="117"/>
      <c r="AE335" s="117"/>
      <c r="AF335" s="117"/>
      <c r="AG335" s="117"/>
      <c r="AH335" s="117"/>
      <c r="AI335" s="117"/>
      <c r="AJ335" s="117"/>
    </row>
    <row r="336" spans="1:36" ht="24.75" customHeight="1">
      <c r="A336" s="116"/>
      <c r="B336" s="117" t="s">
        <v>1469</v>
      </c>
      <c r="C336" s="117"/>
      <c r="D336" s="117"/>
      <c r="E336" s="117" t="s">
        <v>1272</v>
      </c>
      <c r="F336" s="118" t="s">
        <v>3039</v>
      </c>
      <c r="G336" s="118"/>
      <c r="H336" s="117" t="s">
        <v>1283</v>
      </c>
      <c r="I336" s="117"/>
      <c r="J336" s="117" t="s">
        <v>282</v>
      </c>
      <c r="K336" s="123" t="s">
        <v>282</v>
      </c>
      <c r="L336" s="117" t="s">
        <v>282</v>
      </c>
      <c r="M336" s="123" t="s">
        <v>282</v>
      </c>
      <c r="N336" s="117" t="s">
        <v>1294</v>
      </c>
      <c r="O336" s="118"/>
      <c r="P336" s="118"/>
      <c r="Q336" s="117"/>
      <c r="R336" s="117"/>
      <c r="S336" s="117"/>
      <c r="T336" s="117"/>
      <c r="U336" s="117"/>
      <c r="V336" s="123">
        <v>67378777</v>
      </c>
      <c r="W336" s="117"/>
      <c r="X336" s="118" t="s">
        <v>3040</v>
      </c>
      <c r="Y336" s="118"/>
      <c r="Z336" s="118" t="s">
        <v>3041</v>
      </c>
      <c r="AA336" s="118" t="s">
        <v>3042</v>
      </c>
      <c r="AB336" s="117"/>
      <c r="AC336" s="117"/>
      <c r="AD336" s="117"/>
      <c r="AE336" s="117"/>
      <c r="AF336" s="117"/>
      <c r="AG336" s="117"/>
      <c r="AH336" s="117"/>
      <c r="AI336" s="117"/>
      <c r="AJ336" s="117"/>
    </row>
    <row r="337" spans="1:36" ht="24.75" customHeight="1">
      <c r="A337" s="116"/>
      <c r="B337" s="117" t="s">
        <v>1469</v>
      </c>
      <c r="C337" s="117"/>
      <c r="D337" s="117"/>
      <c r="E337" s="117" t="s">
        <v>2982</v>
      </c>
      <c r="F337" s="118" t="s">
        <v>3043</v>
      </c>
      <c r="G337" s="118"/>
      <c r="H337" s="117" t="s">
        <v>1283</v>
      </c>
      <c r="I337" s="117"/>
      <c r="J337" s="117" t="s">
        <v>282</v>
      </c>
      <c r="K337" s="123" t="s">
        <v>282</v>
      </c>
      <c r="L337" s="117" t="s">
        <v>282</v>
      </c>
      <c r="M337" s="123" t="s">
        <v>282</v>
      </c>
      <c r="N337" s="117" t="s">
        <v>2962</v>
      </c>
      <c r="O337" s="118" t="s">
        <v>3044</v>
      </c>
      <c r="P337" s="118" t="s">
        <v>1320</v>
      </c>
      <c r="Q337" s="117"/>
      <c r="R337" s="117"/>
      <c r="S337" s="117"/>
      <c r="T337" s="117"/>
      <c r="U337" s="117"/>
      <c r="V337" s="123">
        <v>98972321</v>
      </c>
      <c r="W337" s="117"/>
      <c r="X337" s="118" t="s">
        <v>3045</v>
      </c>
      <c r="Y337" s="118"/>
      <c r="Z337" s="118" t="s">
        <v>3046</v>
      </c>
      <c r="AA337" s="118" t="s">
        <v>3047</v>
      </c>
      <c r="AB337" s="117"/>
      <c r="AC337" s="117"/>
      <c r="AD337" s="117"/>
      <c r="AE337" s="117"/>
      <c r="AF337" s="117"/>
      <c r="AG337" s="117"/>
      <c r="AH337" s="117"/>
      <c r="AI337" s="117"/>
      <c r="AJ337" s="117"/>
    </row>
    <row r="338" spans="1:36" ht="24.75" customHeight="1">
      <c r="A338" s="116"/>
      <c r="B338" s="117" t="s">
        <v>1469</v>
      </c>
      <c r="C338" s="117"/>
      <c r="D338" s="117"/>
      <c r="E338" s="117"/>
      <c r="F338" s="118" t="s">
        <v>3048</v>
      </c>
      <c r="G338" s="118"/>
      <c r="H338" s="117" t="s">
        <v>1283</v>
      </c>
      <c r="I338" s="117"/>
      <c r="J338" s="117" t="s">
        <v>282</v>
      </c>
      <c r="K338" s="123" t="s">
        <v>282</v>
      </c>
      <c r="L338" s="117" t="s">
        <v>282</v>
      </c>
      <c r="M338" s="123" t="s">
        <v>282</v>
      </c>
      <c r="N338" s="117" t="s">
        <v>2962</v>
      </c>
      <c r="O338" s="118"/>
      <c r="P338" s="118"/>
      <c r="Q338" s="117"/>
      <c r="R338" s="117"/>
      <c r="S338" s="117"/>
      <c r="T338" s="117"/>
      <c r="U338" s="117"/>
      <c r="V338" s="123">
        <v>63340255</v>
      </c>
      <c r="W338" s="117"/>
      <c r="X338" s="118" t="s">
        <v>3049</v>
      </c>
      <c r="Y338" s="118"/>
      <c r="Z338" s="118" t="s">
        <v>3050</v>
      </c>
      <c r="AA338" s="118" t="s">
        <v>3051</v>
      </c>
      <c r="AB338" s="117"/>
      <c r="AC338" s="117"/>
      <c r="AD338" s="117"/>
      <c r="AE338" s="117"/>
      <c r="AF338" s="117"/>
      <c r="AG338" s="117"/>
      <c r="AH338" s="117"/>
      <c r="AI338" s="117"/>
      <c r="AJ338" s="117"/>
    </row>
    <row r="339" spans="1:36" ht="24.75" customHeight="1">
      <c r="A339" s="116"/>
      <c r="B339" s="117" t="s">
        <v>2981</v>
      </c>
      <c r="C339" s="117"/>
      <c r="D339" s="117"/>
      <c r="E339" s="117" t="s">
        <v>2982</v>
      </c>
      <c r="F339" s="118" t="s">
        <v>3052</v>
      </c>
      <c r="G339" s="118"/>
      <c r="H339" s="117" t="s">
        <v>1283</v>
      </c>
      <c r="I339" s="117"/>
      <c r="J339" s="117" t="s">
        <v>282</v>
      </c>
      <c r="K339" s="123" t="s">
        <v>282</v>
      </c>
      <c r="L339" s="117" t="s">
        <v>282</v>
      </c>
      <c r="M339" s="123" t="s">
        <v>282</v>
      </c>
      <c r="N339" s="117" t="s">
        <v>3053</v>
      </c>
      <c r="O339" s="118" t="s">
        <v>3054</v>
      </c>
      <c r="P339" s="118" t="s">
        <v>510</v>
      </c>
      <c r="Q339" s="117"/>
      <c r="R339" s="117"/>
      <c r="S339" s="117"/>
      <c r="T339" s="117"/>
      <c r="U339" s="117"/>
      <c r="V339" s="123">
        <v>82426587</v>
      </c>
      <c r="W339" s="117"/>
      <c r="X339" s="118" t="s">
        <v>3055</v>
      </c>
      <c r="Y339" s="118"/>
      <c r="Z339" s="118" t="s">
        <v>3016</v>
      </c>
      <c r="AA339" s="118" t="s">
        <v>3056</v>
      </c>
      <c r="AB339" s="117"/>
      <c r="AC339" s="117"/>
      <c r="AD339" s="117"/>
      <c r="AE339" s="117"/>
      <c r="AF339" s="117"/>
      <c r="AG339" s="117"/>
      <c r="AH339" s="117"/>
      <c r="AI339" s="117"/>
      <c r="AJ339" s="117"/>
    </row>
    <row r="340" spans="1:36" ht="24.75" customHeight="1">
      <c r="A340" s="116"/>
      <c r="B340" s="117" t="s">
        <v>1469</v>
      </c>
      <c r="C340" s="117"/>
      <c r="D340" s="117"/>
      <c r="E340" s="117" t="s">
        <v>1272</v>
      </c>
      <c r="F340" s="118" t="s">
        <v>3057</v>
      </c>
      <c r="G340" s="118"/>
      <c r="H340" s="117" t="s">
        <v>1283</v>
      </c>
      <c r="I340" s="117"/>
      <c r="J340" s="117" t="s">
        <v>3058</v>
      </c>
      <c r="K340" s="123" t="s">
        <v>3059</v>
      </c>
      <c r="L340" s="117" t="s">
        <v>3059</v>
      </c>
      <c r="M340" s="123" t="s">
        <v>3059</v>
      </c>
      <c r="N340" s="117" t="s">
        <v>1294</v>
      </c>
      <c r="O340" s="118" t="s">
        <v>3060</v>
      </c>
      <c r="P340" s="118" t="s">
        <v>3061</v>
      </c>
      <c r="Q340" s="117"/>
      <c r="R340" s="117"/>
      <c r="S340" s="117"/>
      <c r="T340" s="117"/>
      <c r="U340" s="117"/>
      <c r="V340" s="123" t="s">
        <v>3062</v>
      </c>
      <c r="W340" s="117"/>
      <c r="X340" s="118" t="s">
        <v>3063</v>
      </c>
      <c r="Y340" s="118"/>
      <c r="Z340" s="118" t="s">
        <v>3064</v>
      </c>
      <c r="AA340" s="118"/>
      <c r="AB340" s="117"/>
      <c r="AC340" s="117"/>
      <c r="AD340" s="117"/>
      <c r="AE340" s="117"/>
      <c r="AF340" s="117"/>
      <c r="AG340" s="117"/>
      <c r="AH340" s="117"/>
      <c r="AI340" s="117"/>
      <c r="AJ340" s="117"/>
    </row>
    <row r="341" spans="1:36" ht="24.75" customHeight="1">
      <c r="A341" s="116"/>
      <c r="B341" s="117" t="s">
        <v>1469</v>
      </c>
      <c r="C341" s="117"/>
      <c r="D341" s="117"/>
      <c r="E341" s="117" t="s">
        <v>1272</v>
      </c>
      <c r="F341" s="118" t="s">
        <v>3065</v>
      </c>
      <c r="G341" s="118"/>
      <c r="H341" s="117" t="s">
        <v>1283</v>
      </c>
      <c r="I341" s="117"/>
      <c r="J341" s="117" t="s">
        <v>282</v>
      </c>
      <c r="K341" s="123" t="s">
        <v>282</v>
      </c>
      <c r="L341" s="117" t="s">
        <v>282</v>
      </c>
      <c r="M341" s="123" t="s">
        <v>282</v>
      </c>
      <c r="N341" s="117" t="s">
        <v>1616</v>
      </c>
      <c r="O341" s="118"/>
      <c r="P341" s="118"/>
      <c r="Q341" s="117"/>
      <c r="R341" s="117"/>
      <c r="S341" s="117"/>
      <c r="T341" s="117"/>
      <c r="U341" s="117"/>
      <c r="V341" s="123">
        <v>89626608</v>
      </c>
      <c r="W341" s="117"/>
      <c r="X341" s="118" t="s">
        <v>3066</v>
      </c>
      <c r="Y341" s="118"/>
      <c r="Z341" s="118" t="s">
        <v>3067</v>
      </c>
      <c r="AA341" s="118"/>
      <c r="AB341" s="117"/>
      <c r="AC341" s="117"/>
      <c r="AD341" s="117"/>
      <c r="AE341" s="117"/>
      <c r="AF341" s="117"/>
      <c r="AG341" s="117"/>
      <c r="AH341" s="117"/>
      <c r="AI341" s="117"/>
      <c r="AJ341" s="117"/>
    </row>
    <row r="342" spans="1:36" ht="24.75" customHeight="1">
      <c r="A342" s="116"/>
      <c r="B342" s="117" t="s">
        <v>1469</v>
      </c>
      <c r="C342" s="117"/>
      <c r="D342" s="117"/>
      <c r="E342" s="117" t="s">
        <v>1272</v>
      </c>
      <c r="F342" s="118" t="s">
        <v>3068</v>
      </c>
      <c r="G342" s="118"/>
      <c r="H342" s="117" t="s">
        <v>1283</v>
      </c>
      <c r="I342" s="117"/>
      <c r="J342" s="117" t="s">
        <v>282</v>
      </c>
      <c r="K342" s="123" t="s">
        <v>282</v>
      </c>
      <c r="L342" s="117" t="s">
        <v>282</v>
      </c>
      <c r="M342" s="123" t="s">
        <v>282</v>
      </c>
      <c r="N342" s="117" t="s">
        <v>1616</v>
      </c>
      <c r="O342" s="118"/>
      <c r="P342" s="118"/>
      <c r="Q342" s="117"/>
      <c r="R342" s="117"/>
      <c r="S342" s="117"/>
      <c r="T342" s="117"/>
      <c r="U342" s="117"/>
      <c r="V342" s="123">
        <v>69897200</v>
      </c>
      <c r="W342" s="117"/>
      <c r="X342" s="118" t="s">
        <v>3069</v>
      </c>
      <c r="Y342" s="118"/>
      <c r="Z342" s="118" t="s">
        <v>3070</v>
      </c>
      <c r="AA342" s="118" t="s">
        <v>3071</v>
      </c>
      <c r="AB342" s="117"/>
      <c r="AC342" s="117"/>
      <c r="AD342" s="117"/>
      <c r="AE342" s="117"/>
      <c r="AF342" s="117"/>
      <c r="AG342" s="117"/>
      <c r="AH342" s="117"/>
      <c r="AI342" s="117"/>
      <c r="AJ342" s="117"/>
    </row>
    <row r="343" spans="1:36" ht="24.75" customHeight="1">
      <c r="A343" s="116"/>
      <c r="B343" s="117" t="s">
        <v>1469</v>
      </c>
      <c r="C343" s="117"/>
      <c r="D343" s="117"/>
      <c r="E343" s="117"/>
      <c r="F343" s="118" t="s">
        <v>3072</v>
      </c>
      <c r="G343" s="118"/>
      <c r="H343" s="117" t="s">
        <v>1283</v>
      </c>
      <c r="I343" s="117"/>
      <c r="J343" s="117" t="s">
        <v>282</v>
      </c>
      <c r="K343" s="123" t="s">
        <v>282</v>
      </c>
      <c r="L343" s="117" t="s">
        <v>282</v>
      </c>
      <c r="M343" s="123" t="s">
        <v>282</v>
      </c>
      <c r="N343" s="117" t="s">
        <v>2607</v>
      </c>
      <c r="O343" s="118"/>
      <c r="P343" s="118"/>
      <c r="Q343" s="117"/>
      <c r="R343" s="117"/>
      <c r="S343" s="117"/>
      <c r="T343" s="117"/>
      <c r="U343" s="117"/>
      <c r="V343" s="123">
        <v>65934488</v>
      </c>
      <c r="W343" s="117"/>
      <c r="X343" s="118" t="s">
        <v>3073</v>
      </c>
      <c r="Y343" s="118"/>
      <c r="Z343" s="118" t="s">
        <v>3074</v>
      </c>
      <c r="AA343" s="118" t="s">
        <v>3075</v>
      </c>
      <c r="AB343" s="117"/>
      <c r="AC343" s="117"/>
      <c r="AD343" s="117"/>
      <c r="AE343" s="117"/>
      <c r="AF343" s="117"/>
      <c r="AG343" s="117"/>
      <c r="AH343" s="117"/>
      <c r="AI343" s="117"/>
      <c r="AJ343" s="117"/>
    </row>
    <row r="344" spans="1:36" ht="24.75" customHeight="1">
      <c r="A344" s="116"/>
      <c r="B344" s="117" t="s">
        <v>1469</v>
      </c>
      <c r="C344" s="117"/>
      <c r="D344" s="117"/>
      <c r="E344" s="117"/>
      <c r="F344" s="118" t="s">
        <v>3076</v>
      </c>
      <c r="G344" s="118"/>
      <c r="H344" s="117" t="s">
        <v>1283</v>
      </c>
      <c r="I344" s="117"/>
      <c r="J344" s="117" t="s">
        <v>282</v>
      </c>
      <c r="K344" s="123" t="s">
        <v>282</v>
      </c>
      <c r="L344" s="117" t="s">
        <v>282</v>
      </c>
      <c r="M344" s="123" t="s">
        <v>282</v>
      </c>
      <c r="N344" s="117" t="s">
        <v>1294</v>
      </c>
      <c r="O344" s="118"/>
      <c r="P344" s="118"/>
      <c r="Q344" s="117"/>
      <c r="R344" s="117"/>
      <c r="S344" s="117"/>
      <c r="T344" s="117"/>
      <c r="U344" s="117"/>
      <c r="V344" s="123">
        <v>65073900</v>
      </c>
      <c r="W344" s="117"/>
      <c r="X344" s="118" t="s">
        <v>3077</v>
      </c>
      <c r="Y344" s="118"/>
      <c r="Z344" s="118" t="s">
        <v>3078</v>
      </c>
      <c r="AA344" s="118" t="s">
        <v>3079</v>
      </c>
      <c r="AB344" s="117"/>
      <c r="AC344" s="117"/>
      <c r="AD344" s="117"/>
      <c r="AE344" s="117"/>
      <c r="AF344" s="117"/>
      <c r="AG344" s="117"/>
      <c r="AH344" s="117"/>
      <c r="AI344" s="117"/>
      <c r="AJ344" s="117"/>
    </row>
    <row r="345" spans="1:36" ht="24.75" customHeight="1">
      <c r="A345" s="116"/>
      <c r="B345" s="117" t="s">
        <v>1469</v>
      </c>
      <c r="C345" s="117"/>
      <c r="D345" s="117"/>
      <c r="E345" s="117" t="s">
        <v>1272</v>
      </c>
      <c r="F345" s="118" t="s">
        <v>3080</v>
      </c>
      <c r="G345" s="118"/>
      <c r="H345" s="117" t="s">
        <v>1283</v>
      </c>
      <c r="I345" s="117"/>
      <c r="J345" s="117"/>
      <c r="K345" s="123"/>
      <c r="L345" s="117"/>
      <c r="M345" s="123"/>
      <c r="N345" s="117" t="s">
        <v>3081</v>
      </c>
      <c r="O345" s="118" t="s">
        <v>3082</v>
      </c>
      <c r="P345" s="118" t="s">
        <v>3083</v>
      </c>
      <c r="Q345" s="117"/>
      <c r="R345" s="117"/>
      <c r="S345" s="117"/>
      <c r="T345" s="117"/>
      <c r="U345" s="117"/>
      <c r="V345" s="123"/>
      <c r="W345" s="117"/>
      <c r="X345" s="118" t="s">
        <v>3084</v>
      </c>
      <c r="Y345" s="118"/>
      <c r="Z345" s="118" t="s">
        <v>3085</v>
      </c>
      <c r="AA345" s="118"/>
      <c r="AB345" s="117"/>
      <c r="AC345" s="117"/>
      <c r="AD345" s="117"/>
      <c r="AE345" s="117"/>
      <c r="AF345" s="117"/>
      <c r="AG345" s="117"/>
      <c r="AH345" s="117"/>
      <c r="AI345" s="117"/>
      <c r="AJ345" s="117"/>
    </row>
    <row r="346" spans="1:36" ht="24.75" customHeight="1">
      <c r="A346" s="116"/>
      <c r="B346" s="117" t="s">
        <v>1469</v>
      </c>
      <c r="C346" s="117"/>
      <c r="D346" s="117"/>
      <c r="E346" s="117" t="s">
        <v>1272</v>
      </c>
      <c r="F346" s="118" t="s">
        <v>3086</v>
      </c>
      <c r="G346" s="118"/>
      <c r="H346" s="117" t="s">
        <v>1283</v>
      </c>
      <c r="I346" s="117"/>
      <c r="J346" s="117" t="s">
        <v>282</v>
      </c>
      <c r="K346" s="123" t="s">
        <v>3087</v>
      </c>
      <c r="L346" s="117" t="s">
        <v>282</v>
      </c>
      <c r="M346" s="123" t="s">
        <v>282</v>
      </c>
      <c r="N346" s="117" t="s">
        <v>1616</v>
      </c>
      <c r="O346" s="118" t="s">
        <v>3088</v>
      </c>
      <c r="P346" s="118"/>
      <c r="Q346" s="117"/>
      <c r="R346" s="117"/>
      <c r="S346" s="117"/>
      <c r="T346" s="117"/>
      <c r="U346" s="117"/>
      <c r="V346" s="123" t="s">
        <v>3089</v>
      </c>
      <c r="W346" s="117"/>
      <c r="X346" s="118" t="s">
        <v>3090</v>
      </c>
      <c r="Y346" s="118"/>
      <c r="Z346" s="118" t="s">
        <v>3070</v>
      </c>
      <c r="AA346" s="118"/>
      <c r="AB346" s="117"/>
      <c r="AC346" s="117"/>
      <c r="AD346" s="117"/>
      <c r="AE346" s="117"/>
      <c r="AF346" s="117"/>
      <c r="AG346" s="117"/>
      <c r="AH346" s="117"/>
      <c r="AI346" s="117"/>
      <c r="AJ346" s="117"/>
    </row>
    <row r="347" spans="1:36" ht="24.75" customHeight="1">
      <c r="A347" s="116"/>
      <c r="B347" s="117" t="s">
        <v>1469</v>
      </c>
      <c r="C347" s="117"/>
      <c r="D347" s="117"/>
      <c r="E347" s="117" t="s">
        <v>3091</v>
      </c>
      <c r="F347" s="118" t="s">
        <v>3092</v>
      </c>
      <c r="G347" s="118"/>
      <c r="H347" s="117" t="s">
        <v>1283</v>
      </c>
      <c r="I347" s="117"/>
      <c r="J347" s="117" t="s">
        <v>282</v>
      </c>
      <c r="K347" s="123" t="s">
        <v>282</v>
      </c>
      <c r="L347" s="117" t="s">
        <v>282</v>
      </c>
      <c r="M347" s="123" t="s">
        <v>282</v>
      </c>
      <c r="N347" s="117" t="s">
        <v>2962</v>
      </c>
      <c r="O347" s="118"/>
      <c r="P347" s="118"/>
      <c r="Q347" s="117"/>
      <c r="R347" s="117"/>
      <c r="S347" s="117"/>
      <c r="T347" s="117"/>
      <c r="U347" s="117"/>
      <c r="V347" s="123">
        <v>63232886</v>
      </c>
      <c r="W347" s="117"/>
      <c r="X347" s="118" t="s">
        <v>3093</v>
      </c>
      <c r="Y347" s="118"/>
      <c r="Z347" s="118" t="s">
        <v>3094</v>
      </c>
      <c r="AA347" s="118" t="s">
        <v>3095</v>
      </c>
      <c r="AB347" s="117"/>
      <c r="AC347" s="117"/>
      <c r="AD347" s="117"/>
      <c r="AE347" s="117"/>
      <c r="AF347" s="117"/>
      <c r="AG347" s="117"/>
      <c r="AH347" s="117"/>
      <c r="AI347" s="117"/>
      <c r="AJ347" s="117"/>
    </row>
    <row r="348" spans="1:36" ht="24.75" customHeight="1">
      <c r="A348" s="116"/>
      <c r="B348" s="117" t="s">
        <v>1469</v>
      </c>
      <c r="C348" s="117"/>
      <c r="D348" s="117"/>
      <c r="E348" s="117" t="s">
        <v>2982</v>
      </c>
      <c r="F348" s="118" t="s">
        <v>3096</v>
      </c>
      <c r="G348" s="118"/>
      <c r="H348" s="117" t="s">
        <v>1283</v>
      </c>
      <c r="I348" s="117"/>
      <c r="J348" s="117" t="s">
        <v>282</v>
      </c>
      <c r="K348" s="123" t="s">
        <v>282</v>
      </c>
      <c r="L348" s="117" t="s">
        <v>282</v>
      </c>
      <c r="M348" s="123" t="s">
        <v>282</v>
      </c>
      <c r="N348" s="117" t="s">
        <v>3097</v>
      </c>
      <c r="O348" s="118" t="s">
        <v>3098</v>
      </c>
      <c r="P348" s="118" t="s">
        <v>510</v>
      </c>
      <c r="Q348" s="117"/>
      <c r="R348" s="117"/>
      <c r="S348" s="117"/>
      <c r="T348" s="117"/>
      <c r="U348" s="117"/>
      <c r="V348" s="123">
        <v>88052528</v>
      </c>
      <c r="W348" s="117"/>
      <c r="X348" s="118" t="s">
        <v>3099</v>
      </c>
      <c r="Y348" s="118"/>
      <c r="Z348" s="118" t="s">
        <v>3100</v>
      </c>
      <c r="AA348" s="118" t="s">
        <v>3101</v>
      </c>
      <c r="AB348" s="117"/>
      <c r="AC348" s="117"/>
      <c r="AD348" s="117"/>
      <c r="AE348" s="117"/>
      <c r="AF348" s="117"/>
      <c r="AG348" s="117"/>
      <c r="AH348" s="117"/>
      <c r="AI348" s="117"/>
      <c r="AJ348" s="117"/>
    </row>
    <row r="349" spans="1:36" ht="24.75" customHeight="1">
      <c r="A349" s="116"/>
      <c r="B349" s="117" t="s">
        <v>1469</v>
      </c>
      <c r="C349" s="117"/>
      <c r="D349" s="117"/>
      <c r="E349" s="117" t="s">
        <v>2982</v>
      </c>
      <c r="F349" s="118" t="s">
        <v>3102</v>
      </c>
      <c r="G349" s="118"/>
      <c r="H349" s="117" t="s">
        <v>1283</v>
      </c>
      <c r="I349" s="117"/>
      <c r="J349" s="117" t="s">
        <v>1976</v>
      </c>
      <c r="K349" s="123" t="s">
        <v>1976</v>
      </c>
      <c r="L349" s="117" t="s">
        <v>1976</v>
      </c>
      <c r="M349" s="123" t="s">
        <v>3103</v>
      </c>
      <c r="N349" s="117" t="s">
        <v>1294</v>
      </c>
      <c r="O349" s="118"/>
      <c r="P349" s="118"/>
      <c r="Q349" s="117"/>
      <c r="R349" s="117"/>
      <c r="S349" s="117"/>
      <c r="T349" s="117"/>
      <c r="U349" s="117"/>
      <c r="V349" s="123"/>
      <c r="W349" s="117"/>
      <c r="X349" s="118"/>
      <c r="Y349" s="118"/>
      <c r="Z349" s="118" t="s">
        <v>3046</v>
      </c>
      <c r="AA349" s="118"/>
      <c r="AB349" s="117"/>
      <c r="AC349" s="117"/>
      <c r="AD349" s="117"/>
      <c r="AE349" s="117"/>
      <c r="AF349" s="117"/>
      <c r="AG349" s="117"/>
      <c r="AH349" s="117"/>
      <c r="AI349" s="117"/>
      <c r="AJ349" s="117"/>
    </row>
    <row r="350" spans="1:36" ht="24.75" customHeight="1">
      <c r="A350" s="116"/>
      <c r="B350" s="117" t="s">
        <v>1469</v>
      </c>
      <c r="C350" s="117"/>
      <c r="D350" s="117"/>
      <c r="E350" s="117"/>
      <c r="F350" s="118" t="s">
        <v>3104</v>
      </c>
      <c r="G350" s="118"/>
      <c r="H350" s="117" t="s">
        <v>1283</v>
      </c>
      <c r="I350" s="117"/>
      <c r="J350" s="117" t="s">
        <v>282</v>
      </c>
      <c r="K350" s="123" t="s">
        <v>2177</v>
      </c>
      <c r="L350" s="117" t="s">
        <v>282</v>
      </c>
      <c r="M350" s="123" t="s">
        <v>282</v>
      </c>
      <c r="N350" s="117"/>
      <c r="O350" s="118"/>
      <c r="P350" s="118"/>
      <c r="Q350" s="117"/>
      <c r="R350" s="117"/>
      <c r="S350" s="117"/>
      <c r="T350" s="117"/>
      <c r="U350" s="117"/>
      <c r="V350" s="123">
        <v>60383939</v>
      </c>
      <c r="W350" s="117"/>
      <c r="X350" s="118" t="s">
        <v>3105</v>
      </c>
      <c r="Y350" s="118"/>
      <c r="Z350" s="118" t="s">
        <v>3106</v>
      </c>
      <c r="AA350" s="118" t="s">
        <v>3107</v>
      </c>
      <c r="AB350" s="117"/>
      <c r="AC350" s="117"/>
      <c r="AD350" s="117"/>
      <c r="AE350" s="117"/>
      <c r="AF350" s="117"/>
      <c r="AG350" s="117"/>
      <c r="AH350" s="117"/>
      <c r="AI350" s="117"/>
      <c r="AJ350" s="117"/>
    </row>
    <row r="351" spans="1:36" ht="24.75" customHeight="1">
      <c r="A351" s="116"/>
      <c r="B351" s="117" t="s">
        <v>1469</v>
      </c>
      <c r="C351" s="117"/>
      <c r="D351" s="117"/>
      <c r="E351" s="117"/>
      <c r="F351" s="118" t="s">
        <v>3108</v>
      </c>
      <c r="G351" s="118"/>
      <c r="H351" s="117" t="s">
        <v>1283</v>
      </c>
      <c r="I351" s="117"/>
      <c r="J351" s="117" t="s">
        <v>282</v>
      </c>
      <c r="K351" s="123" t="s">
        <v>2177</v>
      </c>
      <c r="L351" s="117" t="s">
        <v>282</v>
      </c>
      <c r="M351" s="123" t="s">
        <v>282</v>
      </c>
      <c r="N351" s="117"/>
      <c r="O351" s="118"/>
      <c r="P351" s="118"/>
      <c r="Q351" s="117"/>
      <c r="R351" s="117"/>
      <c r="S351" s="117"/>
      <c r="T351" s="117"/>
      <c r="U351" s="117"/>
      <c r="V351" s="123">
        <v>63461959</v>
      </c>
      <c r="W351" s="117"/>
      <c r="X351" s="118" t="s">
        <v>3109</v>
      </c>
      <c r="Y351" s="118"/>
      <c r="Z351" s="118" t="s">
        <v>3110</v>
      </c>
      <c r="AA351" s="118" t="s">
        <v>3111</v>
      </c>
      <c r="AB351" s="117"/>
      <c r="AC351" s="117"/>
      <c r="AD351" s="117"/>
      <c r="AE351" s="117"/>
      <c r="AF351" s="117"/>
      <c r="AG351" s="117"/>
      <c r="AH351" s="117"/>
      <c r="AI351" s="117"/>
      <c r="AJ351" s="117"/>
    </row>
    <row r="352" spans="1:36" ht="24.75" customHeight="1">
      <c r="A352" s="116"/>
      <c r="B352" s="117" t="s">
        <v>1469</v>
      </c>
      <c r="C352" s="117"/>
      <c r="D352" s="117"/>
      <c r="E352" s="117"/>
      <c r="F352" s="118" t="s">
        <v>3112</v>
      </c>
      <c r="G352" s="118"/>
      <c r="H352" s="117" t="s">
        <v>1283</v>
      </c>
      <c r="I352" s="117"/>
      <c r="J352" s="117" t="s">
        <v>282</v>
      </c>
      <c r="K352" s="123" t="s">
        <v>2177</v>
      </c>
      <c r="L352" s="117" t="s">
        <v>282</v>
      </c>
      <c r="M352" s="123" t="s">
        <v>282</v>
      </c>
      <c r="N352" s="117"/>
      <c r="O352" s="118"/>
      <c r="P352" s="118"/>
      <c r="Q352" s="117"/>
      <c r="R352" s="117"/>
      <c r="S352" s="117"/>
      <c r="T352" s="117"/>
      <c r="U352" s="117"/>
      <c r="V352" s="123">
        <v>63461959</v>
      </c>
      <c r="W352" s="117"/>
      <c r="X352" s="118" t="s">
        <v>3109</v>
      </c>
      <c r="Y352" s="118"/>
      <c r="Z352" s="118" t="s">
        <v>3113</v>
      </c>
      <c r="AA352" s="118" t="s">
        <v>3114</v>
      </c>
      <c r="AB352" s="117"/>
      <c r="AC352" s="117"/>
      <c r="AD352" s="117"/>
      <c r="AE352" s="117"/>
      <c r="AF352" s="117"/>
      <c r="AG352" s="117"/>
      <c r="AH352" s="117"/>
      <c r="AI352" s="117"/>
      <c r="AJ352" s="117"/>
    </row>
    <row r="353" spans="1:36" ht="24.75" customHeight="1">
      <c r="A353" s="116"/>
      <c r="B353" s="117" t="s">
        <v>1469</v>
      </c>
      <c r="C353" s="117"/>
      <c r="D353" s="117"/>
      <c r="E353" s="117"/>
      <c r="F353" s="118" t="s">
        <v>3115</v>
      </c>
      <c r="G353" s="118"/>
      <c r="H353" s="117" t="s">
        <v>1283</v>
      </c>
      <c r="I353" s="117"/>
      <c r="J353" s="117" t="s">
        <v>282</v>
      </c>
      <c r="K353" s="123" t="s">
        <v>2177</v>
      </c>
      <c r="L353" s="117" t="s">
        <v>282</v>
      </c>
      <c r="M353" s="123" t="s">
        <v>282</v>
      </c>
      <c r="N353" s="117"/>
      <c r="O353" s="118"/>
      <c r="P353" s="118"/>
      <c r="Q353" s="117"/>
      <c r="R353" s="117"/>
      <c r="S353" s="117"/>
      <c r="T353" s="117"/>
      <c r="U353" s="117"/>
      <c r="V353" s="123">
        <v>63368111</v>
      </c>
      <c r="W353" s="117"/>
      <c r="X353" s="118" t="s">
        <v>3116</v>
      </c>
      <c r="Y353" s="118"/>
      <c r="Z353" s="118" t="s">
        <v>3117</v>
      </c>
      <c r="AA353" s="118" t="s">
        <v>3118</v>
      </c>
      <c r="AB353" s="117"/>
      <c r="AC353" s="117"/>
      <c r="AD353" s="117"/>
      <c r="AE353" s="117"/>
      <c r="AF353" s="117"/>
      <c r="AG353" s="117"/>
      <c r="AH353" s="117"/>
      <c r="AI353" s="117"/>
      <c r="AJ353" s="117"/>
    </row>
    <row r="354" spans="1:36" ht="24.75" customHeight="1">
      <c r="A354" s="116"/>
      <c r="B354" s="117" t="s">
        <v>1469</v>
      </c>
      <c r="C354" s="117"/>
      <c r="D354" s="117"/>
      <c r="E354" s="117"/>
      <c r="F354" s="118" t="s">
        <v>3119</v>
      </c>
      <c r="G354" s="118"/>
      <c r="H354" s="117" t="s">
        <v>1283</v>
      </c>
      <c r="I354" s="117"/>
      <c r="J354" s="117" t="s">
        <v>282</v>
      </c>
      <c r="K354" s="123" t="s">
        <v>2177</v>
      </c>
      <c r="L354" s="117" t="s">
        <v>282</v>
      </c>
      <c r="M354" s="123" t="s">
        <v>282</v>
      </c>
      <c r="N354" s="117"/>
      <c r="O354" s="118"/>
      <c r="P354" s="118"/>
      <c r="Q354" s="117"/>
      <c r="R354" s="117"/>
      <c r="S354" s="117"/>
      <c r="T354" s="117"/>
      <c r="U354" s="117"/>
      <c r="V354" s="123">
        <v>67237001</v>
      </c>
      <c r="W354" s="117"/>
      <c r="X354" s="118" t="s">
        <v>3120</v>
      </c>
      <c r="Y354" s="118"/>
      <c r="Z354" s="118" t="s">
        <v>3121</v>
      </c>
      <c r="AA354" s="118" t="s">
        <v>3122</v>
      </c>
      <c r="AB354" s="117"/>
      <c r="AC354" s="117"/>
      <c r="AD354" s="117"/>
      <c r="AE354" s="117"/>
      <c r="AF354" s="117"/>
      <c r="AG354" s="117"/>
      <c r="AH354" s="117"/>
      <c r="AI354" s="117"/>
      <c r="AJ354" s="117"/>
    </row>
    <row r="355" spans="1:36" ht="24.75" customHeight="1">
      <c r="A355" s="116"/>
      <c r="B355" s="117" t="s">
        <v>1469</v>
      </c>
      <c r="C355" s="117"/>
      <c r="D355" s="117"/>
      <c r="E355" s="117"/>
      <c r="F355" s="118" t="s">
        <v>3123</v>
      </c>
      <c r="G355" s="118"/>
      <c r="H355" s="117" t="s">
        <v>1283</v>
      </c>
      <c r="I355" s="117"/>
      <c r="J355" s="117" t="s">
        <v>282</v>
      </c>
      <c r="K355" s="123" t="s">
        <v>2177</v>
      </c>
      <c r="L355" s="117" t="s">
        <v>282</v>
      </c>
      <c r="M355" s="123" t="s">
        <v>282</v>
      </c>
      <c r="N355" s="117"/>
      <c r="O355" s="118"/>
      <c r="P355" s="118"/>
      <c r="Q355" s="117"/>
      <c r="R355" s="117"/>
      <c r="S355" s="117"/>
      <c r="T355" s="117"/>
      <c r="U355" s="117"/>
      <c r="V355" s="123">
        <v>67220800</v>
      </c>
      <c r="W355" s="117"/>
      <c r="X355" s="118" t="s">
        <v>3124</v>
      </c>
      <c r="Y355" s="118"/>
      <c r="Z355" s="118" t="s">
        <v>3125</v>
      </c>
      <c r="AA355" s="118" t="s">
        <v>3126</v>
      </c>
      <c r="AB355" s="117"/>
      <c r="AC355" s="117"/>
      <c r="AD355" s="117"/>
      <c r="AE355" s="117"/>
      <c r="AF355" s="117"/>
      <c r="AG355" s="117"/>
      <c r="AH355" s="117"/>
      <c r="AI355" s="117"/>
      <c r="AJ355" s="117"/>
    </row>
    <row r="356" spans="1:36" ht="24.75" customHeight="1">
      <c r="A356" s="116"/>
      <c r="B356" s="117" t="s">
        <v>1469</v>
      </c>
      <c r="C356" s="117"/>
      <c r="D356" s="117"/>
      <c r="E356" s="117"/>
      <c r="F356" s="118" t="s">
        <v>3127</v>
      </c>
      <c r="G356" s="118"/>
      <c r="H356" s="117" t="s">
        <v>1283</v>
      </c>
      <c r="I356" s="117"/>
      <c r="J356" s="117" t="s">
        <v>282</v>
      </c>
      <c r="K356" s="123" t="s">
        <v>2177</v>
      </c>
      <c r="L356" s="117" t="s">
        <v>282</v>
      </c>
      <c r="M356" s="123" t="s">
        <v>282</v>
      </c>
      <c r="N356" s="117"/>
      <c r="O356" s="118"/>
      <c r="P356" s="118"/>
      <c r="Q356" s="117"/>
      <c r="R356" s="117"/>
      <c r="S356" s="117"/>
      <c r="T356" s="117"/>
      <c r="U356" s="117"/>
      <c r="V356" s="123">
        <v>62286388</v>
      </c>
      <c r="W356" s="117"/>
      <c r="X356" s="118" t="s">
        <v>3128</v>
      </c>
      <c r="Y356" s="118"/>
      <c r="Z356" s="118" t="s">
        <v>3129</v>
      </c>
      <c r="AA356" s="118" t="s">
        <v>3130</v>
      </c>
      <c r="AB356" s="117"/>
      <c r="AC356" s="117"/>
      <c r="AD356" s="117"/>
      <c r="AE356" s="117"/>
      <c r="AF356" s="117"/>
      <c r="AG356" s="117"/>
      <c r="AH356" s="117"/>
      <c r="AI356" s="117"/>
      <c r="AJ356" s="117"/>
    </row>
    <row r="357" spans="1:36" ht="24.75" customHeight="1">
      <c r="A357" s="116"/>
      <c r="B357" s="117" t="s">
        <v>1469</v>
      </c>
      <c r="C357" s="117"/>
      <c r="D357" s="117"/>
      <c r="E357" s="117"/>
      <c r="F357" s="118" t="s">
        <v>3131</v>
      </c>
      <c r="G357" s="118"/>
      <c r="H357" s="117" t="s">
        <v>1283</v>
      </c>
      <c r="I357" s="117"/>
      <c r="J357" s="117" t="s">
        <v>282</v>
      </c>
      <c r="K357" s="123" t="s">
        <v>2177</v>
      </c>
      <c r="L357" s="117" t="s">
        <v>282</v>
      </c>
      <c r="M357" s="123" t="s">
        <v>282</v>
      </c>
      <c r="N357" s="117"/>
      <c r="O357" s="118"/>
      <c r="P357" s="118"/>
      <c r="Q357" s="117"/>
      <c r="R357" s="117"/>
      <c r="S357" s="117"/>
      <c r="T357" s="117"/>
      <c r="U357" s="117"/>
      <c r="V357" s="123">
        <v>63338898</v>
      </c>
      <c r="W357" s="117"/>
      <c r="X357" s="118" t="s">
        <v>3132</v>
      </c>
      <c r="Y357" s="118"/>
      <c r="Z357" s="118" t="s">
        <v>3133</v>
      </c>
      <c r="AA357" s="118" t="s">
        <v>3134</v>
      </c>
      <c r="AB357" s="117"/>
      <c r="AC357" s="117"/>
      <c r="AD357" s="117"/>
      <c r="AE357" s="117"/>
      <c r="AF357" s="117"/>
      <c r="AG357" s="117"/>
      <c r="AH357" s="117"/>
      <c r="AI357" s="117"/>
      <c r="AJ357" s="117"/>
    </row>
    <row r="358" spans="1:36" ht="24.75" customHeight="1">
      <c r="A358" s="116"/>
      <c r="B358" s="117" t="s">
        <v>1469</v>
      </c>
      <c r="C358" s="117"/>
      <c r="D358" s="117"/>
      <c r="E358" s="117"/>
      <c r="F358" s="118" t="s">
        <v>3135</v>
      </c>
      <c r="G358" s="118"/>
      <c r="H358" s="117" t="s">
        <v>1283</v>
      </c>
      <c r="I358" s="117"/>
      <c r="J358" s="117" t="s">
        <v>282</v>
      </c>
      <c r="K358" s="123" t="s">
        <v>2177</v>
      </c>
      <c r="L358" s="117" t="s">
        <v>282</v>
      </c>
      <c r="M358" s="123" t="s">
        <v>282</v>
      </c>
      <c r="N358" s="117"/>
      <c r="O358" s="118"/>
      <c r="P358" s="118"/>
      <c r="Q358" s="117"/>
      <c r="R358" s="117"/>
      <c r="S358" s="117"/>
      <c r="T358" s="117"/>
      <c r="U358" s="117"/>
      <c r="V358" s="123">
        <v>68451000</v>
      </c>
      <c r="W358" s="117"/>
      <c r="X358" s="118" t="s">
        <v>3136</v>
      </c>
      <c r="Y358" s="118"/>
      <c r="Z358" s="118" t="s">
        <v>3137</v>
      </c>
      <c r="AA358" s="118" t="s">
        <v>3138</v>
      </c>
      <c r="AB358" s="117"/>
      <c r="AC358" s="117"/>
      <c r="AD358" s="117"/>
      <c r="AE358" s="117"/>
      <c r="AF358" s="117"/>
      <c r="AG358" s="117"/>
      <c r="AH358" s="117"/>
      <c r="AI358" s="117"/>
      <c r="AJ358" s="117"/>
    </row>
    <row r="359" spans="1:36" ht="24.75" customHeight="1">
      <c r="A359" s="116"/>
      <c r="B359" s="117" t="s">
        <v>1469</v>
      </c>
      <c r="C359" s="117"/>
      <c r="D359" s="117"/>
      <c r="E359" s="117"/>
      <c r="F359" s="118" t="s">
        <v>3139</v>
      </c>
      <c r="G359" s="118"/>
      <c r="H359" s="117" t="s">
        <v>1283</v>
      </c>
      <c r="I359" s="117"/>
      <c r="J359" s="117" t="s">
        <v>282</v>
      </c>
      <c r="K359" s="123" t="s">
        <v>2177</v>
      </c>
      <c r="L359" s="117" t="s">
        <v>282</v>
      </c>
      <c r="M359" s="123" t="s">
        <v>282</v>
      </c>
      <c r="N359" s="117"/>
      <c r="O359" s="118"/>
      <c r="P359" s="118"/>
      <c r="Q359" s="117"/>
      <c r="R359" s="117"/>
      <c r="S359" s="117"/>
      <c r="T359" s="117"/>
      <c r="U359" s="117"/>
      <c r="V359" s="123">
        <v>68668000</v>
      </c>
      <c r="W359" s="117"/>
      <c r="X359" s="118" t="s">
        <v>3140</v>
      </c>
      <c r="Y359" s="118"/>
      <c r="Z359" s="118" t="s">
        <v>3141</v>
      </c>
      <c r="AA359" s="118" t="s">
        <v>3142</v>
      </c>
      <c r="AB359" s="117"/>
      <c r="AC359" s="117"/>
      <c r="AD359" s="117"/>
      <c r="AE359" s="117"/>
      <c r="AF359" s="117"/>
      <c r="AG359" s="117"/>
      <c r="AH359" s="117"/>
      <c r="AI359" s="117"/>
      <c r="AJ359" s="117"/>
    </row>
    <row r="360" spans="1:36" ht="24.75" customHeight="1">
      <c r="A360" s="116"/>
      <c r="B360" s="117" t="s">
        <v>2981</v>
      </c>
      <c r="C360" s="117"/>
      <c r="D360" s="117"/>
      <c r="E360" s="117"/>
      <c r="F360" s="118" t="s">
        <v>3143</v>
      </c>
      <c r="G360" s="118"/>
      <c r="H360" s="117" t="s">
        <v>1283</v>
      </c>
      <c r="I360" s="117"/>
      <c r="J360" s="117" t="s">
        <v>282</v>
      </c>
      <c r="K360" s="123" t="s">
        <v>2177</v>
      </c>
      <c r="L360" s="117" t="s">
        <v>282</v>
      </c>
      <c r="M360" s="123" t="s">
        <v>282</v>
      </c>
      <c r="N360" s="117"/>
      <c r="O360" s="118"/>
      <c r="P360" s="118"/>
      <c r="Q360" s="117"/>
      <c r="R360" s="117"/>
      <c r="S360" s="117"/>
      <c r="T360" s="117"/>
      <c r="U360" s="117"/>
      <c r="V360" s="123">
        <v>63388333</v>
      </c>
      <c r="W360" s="117"/>
      <c r="X360" s="118" t="s">
        <v>3144</v>
      </c>
      <c r="Y360" s="118"/>
      <c r="Z360" s="118" t="s">
        <v>3145</v>
      </c>
      <c r="AA360" s="118" t="s">
        <v>3146</v>
      </c>
      <c r="AB360" s="117"/>
      <c r="AC360" s="117"/>
      <c r="AD360" s="117"/>
      <c r="AE360" s="117"/>
      <c r="AF360" s="117"/>
      <c r="AG360" s="117"/>
      <c r="AH360" s="117"/>
      <c r="AI360" s="117"/>
      <c r="AJ360" s="117"/>
    </row>
    <row r="361" spans="1:36" ht="24.75" customHeight="1">
      <c r="A361" s="116"/>
      <c r="B361" s="117" t="s">
        <v>1469</v>
      </c>
      <c r="C361" s="117"/>
      <c r="D361" s="117"/>
      <c r="E361" s="117"/>
      <c r="F361" s="118" t="s">
        <v>3147</v>
      </c>
      <c r="G361" s="118"/>
      <c r="H361" s="117" t="s">
        <v>1283</v>
      </c>
      <c r="I361" s="117"/>
      <c r="J361" s="117" t="s">
        <v>282</v>
      </c>
      <c r="K361" s="123" t="s">
        <v>2177</v>
      </c>
      <c r="L361" s="117" t="s">
        <v>282</v>
      </c>
      <c r="M361" s="123" t="s">
        <v>282</v>
      </c>
      <c r="N361" s="117"/>
      <c r="O361" s="118" t="s">
        <v>3148</v>
      </c>
      <c r="P361" s="118" t="s">
        <v>3149</v>
      </c>
      <c r="Q361" s="117"/>
      <c r="R361" s="117"/>
      <c r="S361" s="117"/>
      <c r="T361" s="117"/>
      <c r="U361" s="117"/>
      <c r="V361" s="123">
        <v>69339833</v>
      </c>
      <c r="W361" s="117"/>
      <c r="X361" s="118" t="s">
        <v>3150</v>
      </c>
      <c r="Y361" s="118"/>
      <c r="Z361" s="118" t="s">
        <v>3151</v>
      </c>
      <c r="AA361" s="118" t="s">
        <v>3152</v>
      </c>
      <c r="AB361" s="117"/>
      <c r="AC361" s="117"/>
      <c r="AD361" s="117"/>
      <c r="AE361" s="117"/>
      <c r="AF361" s="117"/>
      <c r="AG361" s="117"/>
      <c r="AH361" s="117"/>
      <c r="AI361" s="117"/>
      <c r="AJ361" s="117"/>
    </row>
    <row r="362" spans="1:36" ht="24.75" customHeight="1">
      <c r="A362" s="116"/>
      <c r="B362" s="117" t="s">
        <v>277</v>
      </c>
      <c r="C362" s="117"/>
      <c r="D362" s="117"/>
      <c r="E362" s="117"/>
      <c r="F362" s="118" t="s">
        <v>3153</v>
      </c>
      <c r="G362" s="118"/>
      <c r="H362" s="117" t="s">
        <v>1283</v>
      </c>
      <c r="I362" s="117"/>
      <c r="J362" s="117" t="s">
        <v>282</v>
      </c>
      <c r="K362" s="123" t="s">
        <v>2177</v>
      </c>
      <c r="L362" s="117" t="s">
        <v>282</v>
      </c>
      <c r="M362" s="123" t="s">
        <v>282</v>
      </c>
      <c r="N362" s="117"/>
      <c r="O362" s="118"/>
      <c r="P362" s="118"/>
      <c r="Q362" s="117"/>
      <c r="R362" s="117"/>
      <c r="S362" s="117"/>
      <c r="T362" s="117"/>
      <c r="U362" s="117"/>
      <c r="V362" s="123">
        <v>63372288</v>
      </c>
      <c r="W362" s="117"/>
      <c r="X362" s="118" t="s">
        <v>3154</v>
      </c>
      <c r="Y362" s="118"/>
      <c r="Z362" s="118" t="s">
        <v>3155</v>
      </c>
      <c r="AA362" s="118" t="s">
        <v>3156</v>
      </c>
      <c r="AB362" s="117"/>
      <c r="AC362" s="117"/>
      <c r="AD362" s="117"/>
      <c r="AE362" s="117"/>
      <c r="AF362" s="117"/>
      <c r="AG362" s="117"/>
      <c r="AH362" s="117"/>
      <c r="AI362" s="117"/>
      <c r="AJ362" s="117"/>
    </row>
    <row r="363" spans="1:36" ht="24.75" customHeight="1">
      <c r="A363" s="116"/>
      <c r="B363" s="117" t="s">
        <v>2981</v>
      </c>
      <c r="C363" s="117"/>
      <c r="D363" s="117"/>
      <c r="E363" s="117"/>
      <c r="F363" s="118" t="s">
        <v>3157</v>
      </c>
      <c r="G363" s="118"/>
      <c r="H363" s="117" t="s">
        <v>1283</v>
      </c>
      <c r="I363" s="117"/>
      <c r="J363" s="117" t="s">
        <v>282</v>
      </c>
      <c r="K363" s="123" t="s">
        <v>2177</v>
      </c>
      <c r="L363" s="117" t="s">
        <v>282</v>
      </c>
      <c r="M363" s="123" t="s">
        <v>282</v>
      </c>
      <c r="N363" s="117"/>
      <c r="O363" s="118" t="s">
        <v>3158</v>
      </c>
      <c r="P363" s="118" t="s">
        <v>3159</v>
      </c>
      <c r="Q363" s="117"/>
      <c r="R363" s="117"/>
      <c r="S363" s="117"/>
      <c r="T363" s="117"/>
      <c r="U363" s="117"/>
      <c r="V363" s="123">
        <v>96884265</v>
      </c>
      <c r="W363" s="117"/>
      <c r="X363" s="118" t="s">
        <v>3160</v>
      </c>
      <c r="Y363" s="118"/>
      <c r="Z363" s="118" t="s">
        <v>3161</v>
      </c>
      <c r="AA363" s="118" t="s">
        <v>3162</v>
      </c>
      <c r="AB363" s="117"/>
      <c r="AC363" s="117"/>
      <c r="AD363" s="117"/>
      <c r="AE363" s="117"/>
      <c r="AF363" s="117"/>
      <c r="AG363" s="117"/>
      <c r="AH363" s="117"/>
      <c r="AI363" s="117"/>
      <c r="AJ363" s="117"/>
    </row>
    <row r="364" spans="1:36" ht="24.75" customHeight="1">
      <c r="A364" s="116"/>
      <c r="B364" s="117" t="s">
        <v>1469</v>
      </c>
      <c r="C364" s="117"/>
      <c r="D364" s="117"/>
      <c r="E364" s="117"/>
      <c r="F364" s="118" t="s">
        <v>3163</v>
      </c>
      <c r="G364" s="118"/>
      <c r="H364" s="117" t="s">
        <v>1283</v>
      </c>
      <c r="I364" s="117"/>
      <c r="J364" s="117" t="s">
        <v>282</v>
      </c>
      <c r="K364" s="123" t="s">
        <v>2177</v>
      </c>
      <c r="L364" s="117" t="s">
        <v>282</v>
      </c>
      <c r="M364" s="123" t="s">
        <v>282</v>
      </c>
      <c r="N364" s="117"/>
      <c r="O364" s="118" t="s">
        <v>3164</v>
      </c>
      <c r="P364" s="118" t="s">
        <v>3165</v>
      </c>
      <c r="Q364" s="117"/>
      <c r="R364" s="117"/>
      <c r="S364" s="117"/>
      <c r="T364" s="117"/>
      <c r="U364" s="117"/>
      <c r="V364" s="123">
        <v>96584131</v>
      </c>
      <c r="W364" s="117"/>
      <c r="X364" s="118" t="s">
        <v>3166</v>
      </c>
      <c r="Y364" s="118"/>
      <c r="Z364" s="118" t="s">
        <v>3167</v>
      </c>
      <c r="AA364" s="118" t="s">
        <v>3168</v>
      </c>
      <c r="AB364" s="117"/>
      <c r="AC364" s="117"/>
      <c r="AD364" s="117"/>
      <c r="AE364" s="117"/>
      <c r="AF364" s="117"/>
      <c r="AG364" s="117"/>
      <c r="AH364" s="117"/>
      <c r="AI364" s="117"/>
      <c r="AJ364" s="117"/>
    </row>
    <row r="365" spans="1:36" ht="24.75" customHeight="1">
      <c r="A365" s="116"/>
      <c r="B365" s="117" t="s">
        <v>1270</v>
      </c>
      <c r="C365" s="117"/>
      <c r="D365" s="117"/>
      <c r="E365" s="117"/>
      <c r="F365" s="118" t="s">
        <v>3169</v>
      </c>
      <c r="G365" s="118"/>
      <c r="H365" s="117" t="s">
        <v>1283</v>
      </c>
      <c r="I365" s="117"/>
      <c r="J365" s="117" t="s">
        <v>282</v>
      </c>
      <c r="K365" s="123" t="s">
        <v>2177</v>
      </c>
      <c r="L365" s="117" t="s">
        <v>282</v>
      </c>
      <c r="M365" s="123" t="s">
        <v>282</v>
      </c>
      <c r="N365" s="117"/>
      <c r="O365" s="118" t="s">
        <v>3170</v>
      </c>
      <c r="P365" s="118"/>
      <c r="Q365" s="117"/>
      <c r="R365" s="117"/>
      <c r="S365" s="117"/>
      <c r="T365" s="117"/>
      <c r="U365" s="117"/>
      <c r="V365" s="123">
        <v>63630101</v>
      </c>
      <c r="W365" s="117"/>
      <c r="X365" s="118" t="s">
        <v>3171</v>
      </c>
      <c r="Y365" s="118"/>
      <c r="Z365" s="118" t="s">
        <v>3172</v>
      </c>
      <c r="AA365" s="118" t="s">
        <v>3173</v>
      </c>
      <c r="AB365" s="117"/>
      <c r="AC365" s="117"/>
      <c r="AD365" s="117"/>
      <c r="AE365" s="117"/>
      <c r="AF365" s="117"/>
      <c r="AG365" s="117"/>
      <c r="AH365" s="117"/>
      <c r="AI365" s="117"/>
      <c r="AJ365" s="117"/>
    </row>
    <row r="366" spans="1:36" ht="24.75" customHeight="1">
      <c r="A366" s="116"/>
      <c r="B366" s="117" t="s">
        <v>1469</v>
      </c>
      <c r="C366" s="117"/>
      <c r="D366" s="117"/>
      <c r="E366" s="117"/>
      <c r="F366" s="118" t="s">
        <v>3174</v>
      </c>
      <c r="G366" s="118"/>
      <c r="H366" s="117" t="s">
        <v>1283</v>
      </c>
      <c r="I366" s="117"/>
      <c r="J366" s="117" t="s">
        <v>282</v>
      </c>
      <c r="K366" s="123" t="s">
        <v>2177</v>
      </c>
      <c r="L366" s="117" t="s">
        <v>282</v>
      </c>
      <c r="M366" s="123" t="s">
        <v>282</v>
      </c>
      <c r="N366" s="117"/>
      <c r="O366" s="118"/>
      <c r="P366" s="118"/>
      <c r="Q366" s="117"/>
      <c r="R366" s="117"/>
      <c r="S366" s="117"/>
      <c r="T366" s="117"/>
      <c r="U366" s="117"/>
      <c r="V366" s="123">
        <v>67338388</v>
      </c>
      <c r="W366" s="117"/>
      <c r="X366" s="118" t="s">
        <v>3175</v>
      </c>
      <c r="Y366" s="118"/>
      <c r="Z366" s="118" t="s">
        <v>3176</v>
      </c>
      <c r="AA366" s="118" t="s">
        <v>3177</v>
      </c>
      <c r="AB366" s="117"/>
      <c r="AC366" s="117"/>
      <c r="AD366" s="117"/>
      <c r="AE366" s="117"/>
      <c r="AF366" s="117"/>
      <c r="AG366" s="117"/>
      <c r="AH366" s="117"/>
      <c r="AI366" s="117"/>
      <c r="AJ366" s="117"/>
    </row>
    <row r="367" spans="1:36" ht="24.75" customHeight="1">
      <c r="A367" s="116"/>
      <c r="B367" s="117" t="s">
        <v>1469</v>
      </c>
      <c r="C367" s="117"/>
      <c r="D367" s="117"/>
      <c r="E367" s="117"/>
      <c r="F367" s="118" t="s">
        <v>3178</v>
      </c>
      <c r="G367" s="118"/>
      <c r="H367" s="117" t="s">
        <v>1283</v>
      </c>
      <c r="I367" s="117"/>
      <c r="J367" s="117" t="s">
        <v>282</v>
      </c>
      <c r="K367" s="123" t="s">
        <v>2177</v>
      </c>
      <c r="L367" s="117" t="s">
        <v>282</v>
      </c>
      <c r="M367" s="123" t="s">
        <v>282</v>
      </c>
      <c r="N367" s="117"/>
      <c r="O367" s="118"/>
      <c r="P367" s="118"/>
      <c r="Q367" s="117"/>
      <c r="R367" s="117"/>
      <c r="S367" s="117"/>
      <c r="T367" s="117"/>
      <c r="U367" s="117"/>
      <c r="V367" s="123">
        <v>67088888</v>
      </c>
      <c r="W367" s="117"/>
      <c r="X367" s="118" t="s">
        <v>3179</v>
      </c>
      <c r="Y367" s="118"/>
      <c r="Z367" s="118" t="s">
        <v>3180</v>
      </c>
      <c r="AA367" s="118" t="s">
        <v>3181</v>
      </c>
      <c r="AB367" s="117"/>
      <c r="AC367" s="117"/>
      <c r="AD367" s="117"/>
      <c r="AE367" s="117"/>
      <c r="AF367" s="117"/>
      <c r="AG367" s="117"/>
      <c r="AH367" s="117"/>
      <c r="AI367" s="117"/>
      <c r="AJ367" s="117"/>
    </row>
    <row r="368" spans="1:36" ht="24.75" customHeight="1">
      <c r="A368" s="116"/>
      <c r="B368" s="117" t="s">
        <v>1469</v>
      </c>
      <c r="C368" s="117"/>
      <c r="D368" s="117"/>
      <c r="E368" s="117"/>
      <c r="F368" s="118" t="s">
        <v>3182</v>
      </c>
      <c r="G368" s="118"/>
      <c r="H368" s="117" t="s">
        <v>1283</v>
      </c>
      <c r="I368" s="117"/>
      <c r="J368" s="117" t="s">
        <v>282</v>
      </c>
      <c r="K368" s="123" t="s">
        <v>2177</v>
      </c>
      <c r="L368" s="117" t="s">
        <v>282</v>
      </c>
      <c r="M368" s="123" t="s">
        <v>282</v>
      </c>
      <c r="N368" s="117"/>
      <c r="O368" s="118" t="s">
        <v>3183</v>
      </c>
      <c r="P368" s="118" t="s">
        <v>3184</v>
      </c>
      <c r="Q368" s="117"/>
      <c r="R368" s="117"/>
      <c r="S368" s="117"/>
      <c r="T368" s="117"/>
      <c r="U368" s="117"/>
      <c r="V368" s="123">
        <v>68126900</v>
      </c>
      <c r="W368" s="117"/>
      <c r="X368" s="118" t="s">
        <v>3185</v>
      </c>
      <c r="Y368" s="118"/>
      <c r="Z368" s="118" t="s">
        <v>3186</v>
      </c>
      <c r="AA368" s="118" t="s">
        <v>3187</v>
      </c>
      <c r="AB368" s="117"/>
      <c r="AC368" s="117"/>
      <c r="AD368" s="117"/>
      <c r="AE368" s="117"/>
      <c r="AF368" s="117"/>
      <c r="AG368" s="117"/>
      <c r="AH368" s="117"/>
      <c r="AI368" s="117"/>
      <c r="AJ368" s="117"/>
    </row>
    <row r="369" spans="1:36" ht="24.75" customHeight="1">
      <c r="A369" s="116"/>
      <c r="B369" s="117" t="s">
        <v>1469</v>
      </c>
      <c r="C369" s="117"/>
      <c r="D369" s="117"/>
      <c r="E369" s="117"/>
      <c r="F369" s="118" t="s">
        <v>3188</v>
      </c>
      <c r="G369" s="118"/>
      <c r="H369" s="117" t="s">
        <v>1283</v>
      </c>
      <c r="I369" s="117"/>
      <c r="J369" s="117" t="s">
        <v>282</v>
      </c>
      <c r="K369" s="123" t="s">
        <v>2177</v>
      </c>
      <c r="L369" s="117" t="s">
        <v>282</v>
      </c>
      <c r="M369" s="123" t="s">
        <v>282</v>
      </c>
      <c r="N369" s="117"/>
      <c r="O369" s="118" t="s">
        <v>3189</v>
      </c>
      <c r="P369" s="118" t="s">
        <v>3184</v>
      </c>
      <c r="Q369" s="117"/>
      <c r="R369" s="117"/>
      <c r="S369" s="117"/>
      <c r="T369" s="117"/>
      <c r="U369" s="117"/>
      <c r="V369" s="123">
        <v>63393939</v>
      </c>
      <c r="W369" s="117"/>
      <c r="X369" s="118" t="s">
        <v>3190</v>
      </c>
      <c r="Y369" s="118"/>
      <c r="Z369" s="118" t="s">
        <v>3191</v>
      </c>
      <c r="AA369" s="118" t="s">
        <v>3192</v>
      </c>
      <c r="AB369" s="117"/>
      <c r="AC369" s="117"/>
      <c r="AD369" s="117"/>
      <c r="AE369" s="117"/>
      <c r="AF369" s="117"/>
      <c r="AG369" s="117"/>
      <c r="AH369" s="117"/>
      <c r="AI369" s="117"/>
      <c r="AJ369" s="117"/>
    </row>
    <row r="370" spans="1:36" ht="24.75" customHeight="1">
      <c r="A370" s="116"/>
      <c r="B370" s="117" t="s">
        <v>1469</v>
      </c>
      <c r="C370" s="117"/>
      <c r="D370" s="117"/>
      <c r="E370" s="117"/>
      <c r="F370" s="118" t="s">
        <v>3193</v>
      </c>
      <c r="G370" s="118"/>
      <c r="H370" s="117" t="s">
        <v>1283</v>
      </c>
      <c r="I370" s="117"/>
      <c r="J370" s="117" t="s">
        <v>282</v>
      </c>
      <c r="K370" s="123" t="s">
        <v>2177</v>
      </c>
      <c r="L370" s="117" t="s">
        <v>282</v>
      </c>
      <c r="M370" s="123" t="s">
        <v>282</v>
      </c>
      <c r="N370" s="117"/>
      <c r="O370" s="118" t="s">
        <v>3194</v>
      </c>
      <c r="P370" s="118" t="s">
        <v>3184</v>
      </c>
      <c r="Q370" s="117"/>
      <c r="R370" s="117"/>
      <c r="S370" s="117"/>
      <c r="T370" s="117"/>
      <c r="U370" s="117"/>
      <c r="V370" s="123">
        <v>66328888</v>
      </c>
      <c r="W370" s="117"/>
      <c r="X370" s="118" t="s">
        <v>3195</v>
      </c>
      <c r="Y370" s="118"/>
      <c r="Z370" s="118" t="s">
        <v>3196</v>
      </c>
      <c r="AA370" s="118" t="s">
        <v>3197</v>
      </c>
      <c r="AB370" s="117"/>
      <c r="AC370" s="117"/>
      <c r="AD370" s="117"/>
      <c r="AE370" s="117"/>
      <c r="AF370" s="117"/>
      <c r="AG370" s="117"/>
      <c r="AH370" s="117"/>
      <c r="AI370" s="117"/>
      <c r="AJ370" s="117"/>
    </row>
    <row r="371" spans="1:36" ht="24.75" customHeight="1">
      <c r="A371" s="116"/>
      <c r="B371" s="117" t="s">
        <v>1469</v>
      </c>
      <c r="C371" s="117"/>
      <c r="D371" s="117"/>
      <c r="E371" s="117"/>
      <c r="F371" s="118" t="s">
        <v>3198</v>
      </c>
      <c r="G371" s="118"/>
      <c r="H371" s="117" t="s">
        <v>1283</v>
      </c>
      <c r="I371" s="117"/>
      <c r="J371" s="117" t="s">
        <v>282</v>
      </c>
      <c r="K371" s="123" t="s">
        <v>2177</v>
      </c>
      <c r="L371" s="117" t="s">
        <v>282</v>
      </c>
      <c r="M371" s="123" t="s">
        <v>282</v>
      </c>
      <c r="N371" s="117"/>
      <c r="O371" s="118" t="s">
        <v>3199</v>
      </c>
      <c r="P371" s="118" t="s">
        <v>3159</v>
      </c>
      <c r="Q371" s="117"/>
      <c r="R371" s="117"/>
      <c r="S371" s="117"/>
      <c r="T371" s="117"/>
      <c r="U371" s="117"/>
      <c r="V371" s="123">
        <v>68098888</v>
      </c>
      <c r="W371" s="117"/>
      <c r="X371" s="118" t="s">
        <v>3200</v>
      </c>
      <c r="Y371" s="118"/>
      <c r="Z371" s="118" t="s">
        <v>3201</v>
      </c>
      <c r="AA371" s="118" t="s">
        <v>3202</v>
      </c>
      <c r="AB371" s="117"/>
      <c r="AC371" s="117"/>
      <c r="AD371" s="117"/>
      <c r="AE371" s="117"/>
      <c r="AF371" s="117"/>
      <c r="AG371" s="117"/>
      <c r="AH371" s="117"/>
      <c r="AI371" s="117"/>
      <c r="AJ371" s="117"/>
    </row>
    <row r="372" spans="1:36" ht="24.75" customHeight="1">
      <c r="A372" s="116"/>
      <c r="B372" s="117" t="s">
        <v>1469</v>
      </c>
      <c r="C372" s="117"/>
      <c r="D372" s="117"/>
      <c r="E372" s="117"/>
      <c r="F372" s="118" t="s">
        <v>3203</v>
      </c>
      <c r="G372" s="118"/>
      <c r="H372" s="117" t="s">
        <v>1283</v>
      </c>
      <c r="I372" s="117"/>
      <c r="J372" s="117" t="s">
        <v>282</v>
      </c>
      <c r="K372" s="123" t="s">
        <v>2177</v>
      </c>
      <c r="L372" s="117" t="s">
        <v>282</v>
      </c>
      <c r="M372" s="123" t="s">
        <v>282</v>
      </c>
      <c r="N372" s="117"/>
      <c r="O372" s="118" t="s">
        <v>3204</v>
      </c>
      <c r="P372" s="118" t="s">
        <v>3205</v>
      </c>
      <c r="Q372" s="117"/>
      <c r="R372" s="117"/>
      <c r="S372" s="117"/>
      <c r="T372" s="117"/>
      <c r="U372" s="117"/>
      <c r="V372" s="123">
        <v>83669081</v>
      </c>
      <c r="W372" s="117"/>
      <c r="X372" s="118"/>
      <c r="Y372" s="118"/>
      <c r="Z372" s="118" t="s">
        <v>3206</v>
      </c>
      <c r="AA372" s="118"/>
      <c r="AB372" s="117"/>
      <c r="AC372" s="117"/>
      <c r="AD372" s="117"/>
      <c r="AE372" s="117"/>
      <c r="AF372" s="117"/>
      <c r="AG372" s="117"/>
      <c r="AH372" s="117"/>
      <c r="AI372" s="117"/>
      <c r="AJ372" s="117"/>
    </row>
    <row r="373" spans="1:36" ht="24.75" customHeight="1">
      <c r="A373" s="116"/>
      <c r="B373" s="117" t="s">
        <v>1469</v>
      </c>
      <c r="C373" s="117"/>
      <c r="D373" s="117"/>
      <c r="E373" s="117"/>
      <c r="F373" s="118" t="s">
        <v>3207</v>
      </c>
      <c r="G373" s="118"/>
      <c r="H373" s="117" t="s">
        <v>1283</v>
      </c>
      <c r="I373" s="117"/>
      <c r="J373" s="117" t="s">
        <v>282</v>
      </c>
      <c r="K373" s="123" t="s">
        <v>2177</v>
      </c>
      <c r="L373" s="117" t="s">
        <v>282</v>
      </c>
      <c r="M373" s="123" t="s">
        <v>282</v>
      </c>
      <c r="N373" s="117"/>
      <c r="O373" s="118" t="s">
        <v>3208</v>
      </c>
      <c r="P373" s="118" t="s">
        <v>3205</v>
      </c>
      <c r="Q373" s="117"/>
      <c r="R373" s="117"/>
      <c r="S373" s="117"/>
      <c r="T373" s="117"/>
      <c r="U373" s="117"/>
      <c r="V373" s="123">
        <v>82887176</v>
      </c>
      <c r="W373" s="117"/>
      <c r="X373" s="118" t="s">
        <v>3209</v>
      </c>
      <c r="Y373" s="118"/>
      <c r="Z373" s="118" t="s">
        <v>3210</v>
      </c>
      <c r="AA373" s="118" t="s">
        <v>3211</v>
      </c>
      <c r="AB373" s="117"/>
      <c r="AC373" s="117"/>
      <c r="AD373" s="117"/>
      <c r="AE373" s="117"/>
      <c r="AF373" s="117"/>
      <c r="AG373" s="117"/>
      <c r="AH373" s="117"/>
      <c r="AI373" s="117"/>
      <c r="AJ373" s="117"/>
    </row>
    <row r="374" spans="1:36" ht="24.75" customHeight="1">
      <c r="A374" s="116"/>
      <c r="B374" s="117" t="s">
        <v>1469</v>
      </c>
      <c r="C374" s="117"/>
      <c r="D374" s="117"/>
      <c r="E374" s="117"/>
      <c r="F374" s="118" t="s">
        <v>3212</v>
      </c>
      <c r="G374" s="118"/>
      <c r="H374" s="117" t="s">
        <v>1283</v>
      </c>
      <c r="I374" s="117"/>
      <c r="J374" s="117" t="s">
        <v>1976</v>
      </c>
      <c r="K374" s="123" t="s">
        <v>2177</v>
      </c>
      <c r="L374" s="117" t="s">
        <v>1976</v>
      </c>
      <c r="M374" s="123" t="s">
        <v>3213</v>
      </c>
      <c r="N374" s="117"/>
      <c r="O374" s="118"/>
      <c r="P374" s="118"/>
      <c r="Q374" s="117"/>
      <c r="R374" s="117"/>
      <c r="S374" s="117"/>
      <c r="T374" s="117"/>
      <c r="U374" s="117"/>
      <c r="V374" s="123" t="s">
        <v>3214</v>
      </c>
      <c r="W374" s="117"/>
      <c r="X374" s="118" t="s">
        <v>3215</v>
      </c>
      <c r="Y374" s="118"/>
      <c r="Z374" s="118" t="s">
        <v>3216</v>
      </c>
      <c r="AA374" s="118" t="s">
        <v>3217</v>
      </c>
      <c r="AB374" s="117"/>
      <c r="AC374" s="117"/>
      <c r="AD374" s="117"/>
      <c r="AE374" s="117"/>
      <c r="AF374" s="117"/>
      <c r="AG374" s="117"/>
      <c r="AH374" s="117"/>
      <c r="AI374" s="117"/>
      <c r="AJ374" s="117"/>
    </row>
    <row r="375" spans="1:36" ht="24.75" customHeight="1">
      <c r="A375" s="116"/>
      <c r="B375" s="117" t="s">
        <v>1469</v>
      </c>
      <c r="C375" s="117"/>
      <c r="D375" s="117"/>
      <c r="E375" s="117"/>
      <c r="F375" s="118" t="s">
        <v>3218</v>
      </c>
      <c r="G375" s="118"/>
      <c r="H375" s="117" t="s">
        <v>1283</v>
      </c>
      <c r="I375" s="117"/>
      <c r="J375" s="117" t="s">
        <v>1976</v>
      </c>
      <c r="K375" s="123" t="s">
        <v>2177</v>
      </c>
      <c r="L375" s="117" t="s">
        <v>1976</v>
      </c>
      <c r="M375" s="123" t="s">
        <v>3213</v>
      </c>
      <c r="N375" s="117"/>
      <c r="O375" s="118"/>
      <c r="P375" s="118"/>
      <c r="Q375" s="117"/>
      <c r="R375" s="117"/>
      <c r="S375" s="117"/>
      <c r="T375" s="117"/>
      <c r="U375" s="117"/>
      <c r="V375" s="123" t="s">
        <v>3219</v>
      </c>
      <c r="W375" s="117"/>
      <c r="X375" s="118" t="s">
        <v>3220</v>
      </c>
      <c r="Y375" s="118"/>
      <c r="Z375" s="118" t="s">
        <v>3221</v>
      </c>
      <c r="AA375" s="118" t="s">
        <v>3222</v>
      </c>
      <c r="AB375" s="117"/>
      <c r="AC375" s="117"/>
      <c r="AD375" s="117"/>
      <c r="AE375" s="117"/>
      <c r="AF375" s="117"/>
      <c r="AG375" s="117"/>
      <c r="AH375" s="117"/>
      <c r="AI375" s="117"/>
      <c r="AJ375" s="117"/>
    </row>
    <row r="376" spans="1:36" ht="24.75" customHeight="1">
      <c r="A376" s="116"/>
      <c r="B376" s="117" t="s">
        <v>1469</v>
      </c>
      <c r="C376" s="117"/>
      <c r="D376" s="117"/>
      <c r="E376" s="117"/>
      <c r="F376" s="118" t="s">
        <v>3223</v>
      </c>
      <c r="G376" s="118"/>
      <c r="H376" s="117" t="s">
        <v>1283</v>
      </c>
      <c r="I376" s="117"/>
      <c r="J376" s="117" t="s">
        <v>1976</v>
      </c>
      <c r="K376" s="123" t="s">
        <v>2177</v>
      </c>
      <c r="L376" s="117" t="s">
        <v>1976</v>
      </c>
      <c r="M376" s="123" t="s">
        <v>3224</v>
      </c>
      <c r="N376" s="117"/>
      <c r="O376" s="118"/>
      <c r="P376" s="118"/>
      <c r="Q376" s="117"/>
      <c r="R376" s="117"/>
      <c r="S376" s="117"/>
      <c r="T376" s="117"/>
      <c r="U376" s="117"/>
      <c r="V376" s="123" t="s">
        <v>3225</v>
      </c>
      <c r="W376" s="117"/>
      <c r="X376" s="118" t="s">
        <v>3226</v>
      </c>
      <c r="Y376" s="118"/>
      <c r="Z376" s="118" t="s">
        <v>3227</v>
      </c>
      <c r="AA376" s="118" t="s">
        <v>3228</v>
      </c>
      <c r="AB376" s="117"/>
      <c r="AC376" s="117"/>
      <c r="AD376" s="117"/>
      <c r="AE376" s="117"/>
      <c r="AF376" s="117"/>
      <c r="AG376" s="117"/>
      <c r="AH376" s="117"/>
      <c r="AI376" s="117"/>
      <c r="AJ376" s="117"/>
    </row>
    <row r="377" spans="1:36" ht="24.75" customHeight="1">
      <c r="A377" s="116"/>
      <c r="B377" s="117" t="s">
        <v>1469</v>
      </c>
      <c r="C377" s="117"/>
      <c r="D377" s="117"/>
      <c r="E377" s="117"/>
      <c r="F377" s="118" t="s">
        <v>3229</v>
      </c>
      <c r="G377" s="118"/>
      <c r="H377" s="117" t="s">
        <v>1283</v>
      </c>
      <c r="I377" s="117"/>
      <c r="J377" s="117" t="s">
        <v>1976</v>
      </c>
      <c r="K377" s="123" t="s">
        <v>2177</v>
      </c>
      <c r="L377" s="117" t="s">
        <v>1976</v>
      </c>
      <c r="M377" s="123" t="s">
        <v>3230</v>
      </c>
      <c r="N377" s="117"/>
      <c r="O377" s="118"/>
      <c r="P377" s="118"/>
      <c r="Q377" s="117"/>
      <c r="R377" s="117"/>
      <c r="S377" s="117"/>
      <c r="T377" s="117"/>
      <c r="U377" s="117"/>
      <c r="V377" s="123" t="s">
        <v>3231</v>
      </c>
      <c r="W377" s="117"/>
      <c r="X377" s="118" t="s">
        <v>3232</v>
      </c>
      <c r="Y377" s="118"/>
      <c r="Z377" s="118" t="s">
        <v>3233</v>
      </c>
      <c r="AA377" s="118" t="s">
        <v>3234</v>
      </c>
      <c r="AB377" s="117"/>
      <c r="AC377" s="117"/>
      <c r="AD377" s="117"/>
      <c r="AE377" s="117"/>
      <c r="AF377" s="117"/>
      <c r="AG377" s="117"/>
      <c r="AH377" s="117"/>
      <c r="AI377" s="117"/>
      <c r="AJ377" s="117"/>
    </row>
    <row r="378" spans="1:36" ht="24.75" customHeight="1">
      <c r="A378" s="116"/>
      <c r="B378" s="117" t="s">
        <v>2981</v>
      </c>
      <c r="C378" s="117"/>
      <c r="D378" s="117"/>
      <c r="E378" s="117"/>
      <c r="F378" s="118" t="s">
        <v>3235</v>
      </c>
      <c r="G378" s="118"/>
      <c r="H378" s="117" t="s">
        <v>1283</v>
      </c>
      <c r="I378" s="117"/>
      <c r="J378" s="117" t="s">
        <v>1976</v>
      </c>
      <c r="K378" s="123" t="s">
        <v>2177</v>
      </c>
      <c r="L378" s="117" t="s">
        <v>1976</v>
      </c>
      <c r="M378" s="123" t="s">
        <v>3236</v>
      </c>
      <c r="N378" s="117"/>
      <c r="O378" s="118" t="s">
        <v>3237</v>
      </c>
      <c r="P378" s="118" t="s">
        <v>3165</v>
      </c>
      <c r="Q378" s="117"/>
      <c r="R378" s="117"/>
      <c r="S378" s="117"/>
      <c r="T378" s="117"/>
      <c r="U378" s="117"/>
      <c r="V378" s="123" t="s">
        <v>3238</v>
      </c>
      <c r="W378" s="117"/>
      <c r="X378" s="118" t="s">
        <v>3239</v>
      </c>
      <c r="Y378" s="118"/>
      <c r="Z378" s="118" t="s">
        <v>3240</v>
      </c>
      <c r="AA378" s="118" t="s">
        <v>3241</v>
      </c>
      <c r="AB378" s="117"/>
      <c r="AC378" s="117"/>
      <c r="AD378" s="117"/>
      <c r="AE378" s="117"/>
      <c r="AF378" s="117"/>
      <c r="AG378" s="117"/>
      <c r="AH378" s="117"/>
      <c r="AI378" s="117"/>
      <c r="AJ378" s="117"/>
    </row>
    <row r="379" spans="1:36" ht="24.75" customHeight="1">
      <c r="A379" s="116"/>
      <c r="B379" s="117" t="s">
        <v>1469</v>
      </c>
      <c r="C379" s="117"/>
      <c r="D379" s="117"/>
      <c r="E379" s="117"/>
      <c r="F379" s="118" t="s">
        <v>3242</v>
      </c>
      <c r="G379" s="118"/>
      <c r="H379" s="117" t="s">
        <v>1283</v>
      </c>
      <c r="I379" s="117"/>
      <c r="J379" s="117" t="s">
        <v>1976</v>
      </c>
      <c r="K379" s="123" t="s">
        <v>2177</v>
      </c>
      <c r="L379" s="117" t="s">
        <v>1976</v>
      </c>
      <c r="M379" s="123" t="s">
        <v>3243</v>
      </c>
      <c r="N379" s="117"/>
      <c r="O379" s="118"/>
      <c r="P379" s="118"/>
      <c r="Q379" s="117"/>
      <c r="R379" s="117"/>
      <c r="S379" s="117"/>
      <c r="T379" s="117"/>
      <c r="U379" s="117"/>
      <c r="V379" s="123" t="s">
        <v>3244</v>
      </c>
      <c r="W379" s="117"/>
      <c r="X379" s="118" t="s">
        <v>3245</v>
      </c>
      <c r="Y379" s="118"/>
      <c r="Z379" s="118" t="s">
        <v>3246</v>
      </c>
      <c r="AA379" s="118" t="s">
        <v>3247</v>
      </c>
      <c r="AB379" s="117"/>
      <c r="AC379" s="117"/>
      <c r="AD379" s="117"/>
      <c r="AE379" s="117"/>
      <c r="AF379" s="117"/>
      <c r="AG379" s="117"/>
      <c r="AH379" s="117"/>
      <c r="AI379" s="117"/>
      <c r="AJ379" s="117"/>
    </row>
    <row r="380" spans="1:36" ht="24.75" customHeight="1">
      <c r="A380" s="116"/>
      <c r="B380" s="117" t="s">
        <v>1469</v>
      </c>
      <c r="C380" s="117"/>
      <c r="D380" s="117"/>
      <c r="E380" s="117"/>
      <c r="F380" s="118" t="s">
        <v>3248</v>
      </c>
      <c r="G380" s="118"/>
      <c r="H380" s="117" t="s">
        <v>1283</v>
      </c>
      <c r="I380" s="117"/>
      <c r="J380" s="117" t="s">
        <v>1976</v>
      </c>
      <c r="K380" s="123" t="s">
        <v>2177</v>
      </c>
      <c r="L380" s="117" t="s">
        <v>1976</v>
      </c>
      <c r="M380" s="123" t="s">
        <v>3249</v>
      </c>
      <c r="N380" s="117"/>
      <c r="O380" s="118"/>
      <c r="P380" s="118"/>
      <c r="Q380" s="117"/>
      <c r="R380" s="117"/>
      <c r="S380" s="117"/>
      <c r="T380" s="117"/>
      <c r="U380" s="117"/>
      <c r="V380" s="123" t="s">
        <v>3250</v>
      </c>
      <c r="W380" s="117"/>
      <c r="X380" s="118" t="s">
        <v>3251</v>
      </c>
      <c r="Y380" s="118"/>
      <c r="Z380" s="118" t="s">
        <v>3252</v>
      </c>
      <c r="AA380" s="118" t="s">
        <v>3253</v>
      </c>
      <c r="AB380" s="117"/>
      <c r="AC380" s="117"/>
      <c r="AD380" s="117"/>
      <c r="AE380" s="117"/>
      <c r="AF380" s="117"/>
      <c r="AG380" s="117"/>
      <c r="AH380" s="117"/>
      <c r="AI380" s="117"/>
      <c r="AJ380" s="117"/>
    </row>
    <row r="381" spans="1:36" ht="24.75" customHeight="1">
      <c r="A381" s="116"/>
      <c r="B381" s="117" t="s">
        <v>1469</v>
      </c>
      <c r="C381" s="117"/>
      <c r="D381" s="117"/>
      <c r="E381" s="117"/>
      <c r="F381" s="118" t="s">
        <v>3254</v>
      </c>
      <c r="G381" s="118"/>
      <c r="H381" s="117" t="s">
        <v>1283</v>
      </c>
      <c r="I381" s="117"/>
      <c r="J381" s="117" t="s">
        <v>1976</v>
      </c>
      <c r="K381" s="123" t="s">
        <v>2177</v>
      </c>
      <c r="L381" s="117" t="s">
        <v>1976</v>
      </c>
      <c r="M381" s="123" t="s">
        <v>3255</v>
      </c>
      <c r="N381" s="117"/>
      <c r="O381" s="118"/>
      <c r="P381" s="118"/>
      <c r="Q381" s="117"/>
      <c r="R381" s="117"/>
      <c r="S381" s="117"/>
      <c r="T381" s="117"/>
      <c r="U381" s="117"/>
      <c r="V381" s="123" t="s">
        <v>3256</v>
      </c>
      <c r="W381" s="117"/>
      <c r="X381" s="118" t="s">
        <v>3257</v>
      </c>
      <c r="Y381" s="118"/>
      <c r="Z381" s="118" t="s">
        <v>3258</v>
      </c>
      <c r="AA381" s="118" t="s">
        <v>3259</v>
      </c>
      <c r="AB381" s="117"/>
      <c r="AC381" s="117"/>
      <c r="AD381" s="117"/>
      <c r="AE381" s="117"/>
      <c r="AF381" s="117"/>
      <c r="AG381" s="117"/>
      <c r="AH381" s="117"/>
      <c r="AI381" s="117"/>
      <c r="AJ381" s="117"/>
    </row>
    <row r="382" spans="1:36" ht="24.75" customHeight="1">
      <c r="A382" s="116"/>
      <c r="B382" s="117" t="s">
        <v>1469</v>
      </c>
      <c r="C382" s="117"/>
      <c r="D382" s="117"/>
      <c r="E382" s="117"/>
      <c r="F382" s="118" t="s">
        <v>3260</v>
      </c>
      <c r="G382" s="118"/>
      <c r="H382" s="117" t="s">
        <v>1283</v>
      </c>
      <c r="I382" s="117"/>
      <c r="J382" s="117" t="s">
        <v>1976</v>
      </c>
      <c r="K382" s="123" t="s">
        <v>2177</v>
      </c>
      <c r="L382" s="117" t="s">
        <v>1976</v>
      </c>
      <c r="M382" s="123" t="s">
        <v>3261</v>
      </c>
      <c r="N382" s="117"/>
      <c r="O382" s="118"/>
      <c r="P382" s="118"/>
      <c r="Q382" s="117"/>
      <c r="R382" s="117"/>
      <c r="S382" s="117"/>
      <c r="T382" s="117"/>
      <c r="U382" s="117"/>
      <c r="V382" s="123" t="s">
        <v>3262</v>
      </c>
      <c r="W382" s="117"/>
      <c r="X382" s="118" t="s">
        <v>3263</v>
      </c>
      <c r="Y382" s="118"/>
      <c r="Z382" s="118" t="s">
        <v>3264</v>
      </c>
      <c r="AA382" s="118" t="s">
        <v>3265</v>
      </c>
      <c r="AB382" s="117"/>
      <c r="AC382" s="117"/>
      <c r="AD382" s="117"/>
      <c r="AE382" s="117"/>
      <c r="AF382" s="117"/>
      <c r="AG382" s="117"/>
      <c r="AH382" s="117"/>
      <c r="AI382" s="117"/>
      <c r="AJ382" s="117"/>
    </row>
    <row r="383" spans="1:36" ht="24.75" customHeight="1">
      <c r="A383" s="116"/>
      <c r="B383" s="117" t="s">
        <v>1469</v>
      </c>
      <c r="C383" s="117"/>
      <c r="D383" s="117"/>
      <c r="E383" s="117"/>
      <c r="F383" s="118" t="s">
        <v>3266</v>
      </c>
      <c r="G383" s="118"/>
      <c r="H383" s="117" t="s">
        <v>1283</v>
      </c>
      <c r="I383" s="117"/>
      <c r="J383" s="117" t="s">
        <v>1976</v>
      </c>
      <c r="K383" s="123" t="s">
        <v>2177</v>
      </c>
      <c r="L383" s="117" t="s">
        <v>1976</v>
      </c>
      <c r="M383" s="123" t="s">
        <v>3267</v>
      </c>
      <c r="N383" s="117"/>
      <c r="O383" s="118"/>
      <c r="P383" s="118"/>
      <c r="Q383" s="117"/>
      <c r="R383" s="117"/>
      <c r="S383" s="117"/>
      <c r="T383" s="117"/>
      <c r="U383" s="117"/>
      <c r="V383" s="123" t="s">
        <v>3268</v>
      </c>
      <c r="W383" s="117"/>
      <c r="X383" s="118" t="s">
        <v>3269</v>
      </c>
      <c r="Y383" s="118"/>
      <c r="Z383" s="118" t="s">
        <v>3270</v>
      </c>
      <c r="AA383" s="118" t="s">
        <v>3271</v>
      </c>
      <c r="AB383" s="117"/>
      <c r="AC383" s="117"/>
      <c r="AD383" s="117"/>
      <c r="AE383" s="117"/>
      <c r="AF383" s="117"/>
      <c r="AG383" s="117"/>
      <c r="AH383" s="117"/>
      <c r="AI383" s="117"/>
      <c r="AJ383" s="117"/>
    </row>
    <row r="384" spans="1:36" ht="24.75" customHeight="1">
      <c r="A384" s="116"/>
      <c r="B384" s="117" t="s">
        <v>1469</v>
      </c>
      <c r="C384" s="117"/>
      <c r="D384" s="117"/>
      <c r="E384" s="117"/>
      <c r="F384" s="118" t="s">
        <v>3272</v>
      </c>
      <c r="G384" s="118"/>
      <c r="H384" s="117" t="s">
        <v>1283</v>
      </c>
      <c r="I384" s="117"/>
      <c r="J384" s="117" t="s">
        <v>1976</v>
      </c>
      <c r="K384" s="123" t="s">
        <v>2177</v>
      </c>
      <c r="L384" s="117" t="s">
        <v>1976</v>
      </c>
      <c r="M384" s="123" t="s">
        <v>3261</v>
      </c>
      <c r="N384" s="117"/>
      <c r="O384" s="118"/>
      <c r="P384" s="118"/>
      <c r="Q384" s="117"/>
      <c r="R384" s="117"/>
      <c r="S384" s="117"/>
      <c r="T384" s="117"/>
      <c r="U384" s="117"/>
      <c r="V384" s="123" t="s">
        <v>3273</v>
      </c>
      <c r="W384" s="117"/>
      <c r="X384" s="118" t="s">
        <v>3274</v>
      </c>
      <c r="Y384" s="118"/>
      <c r="Z384" s="118" t="s">
        <v>3275</v>
      </c>
      <c r="AA384" s="118" t="s">
        <v>3276</v>
      </c>
      <c r="AB384" s="117"/>
      <c r="AC384" s="117"/>
      <c r="AD384" s="117"/>
      <c r="AE384" s="117"/>
      <c r="AF384" s="117"/>
      <c r="AG384" s="117"/>
      <c r="AH384" s="117"/>
      <c r="AI384" s="117"/>
      <c r="AJ384" s="117"/>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6" t="s">
        <v>539</v>
      </c>
      <c r="B1" s="106" t="s">
        <v>540</v>
      </c>
      <c r="C1" s="106" t="s">
        <v>541</v>
      </c>
      <c r="D1" s="106" t="s">
        <v>542</v>
      </c>
      <c r="E1" s="106" t="s">
        <v>543</v>
      </c>
      <c r="F1" s="106" t="s">
        <v>544</v>
      </c>
      <c r="G1" s="106" t="s">
        <v>545</v>
      </c>
    </row>
    <row r="2" spans="1:7" ht="43.5">
      <c r="A2" s="26" t="s">
        <v>546</v>
      </c>
      <c r="B2" s="26" t="s">
        <v>547</v>
      </c>
      <c r="C2" s="26" t="s">
        <v>548</v>
      </c>
      <c r="D2" s="26" t="s">
        <v>549</v>
      </c>
      <c r="E2" s="26" t="s">
        <v>550</v>
      </c>
      <c r="F2" s="26" t="s">
        <v>551</v>
      </c>
      <c r="G2" s="27"/>
    </row>
    <row r="3" spans="1:7" ht="101.45">
      <c r="A3" s="488" t="s">
        <v>3277</v>
      </c>
      <c r="B3" s="464" t="s">
        <v>3278</v>
      </c>
      <c r="C3" s="464" t="s">
        <v>3279</v>
      </c>
      <c r="D3" s="2" t="s">
        <v>576</v>
      </c>
      <c r="E3" s="25" t="s">
        <v>3280</v>
      </c>
      <c r="F3" s="25" t="s">
        <v>3281</v>
      </c>
    </row>
    <row r="4" spans="1:7" ht="43.5">
      <c r="A4" s="488"/>
      <c r="B4" s="464"/>
      <c r="C4" s="464"/>
      <c r="D4" s="2" t="s">
        <v>576</v>
      </c>
      <c r="E4" s="25" t="s">
        <v>3282</v>
      </c>
      <c r="F4" s="25" t="s">
        <v>3283</v>
      </c>
    </row>
    <row r="5" spans="1:7" ht="29.1">
      <c r="A5" s="488"/>
      <c r="B5" s="464"/>
      <c r="C5" s="464" t="s">
        <v>3284</v>
      </c>
      <c r="D5" s="2" t="s">
        <v>554</v>
      </c>
      <c r="E5" s="25" t="s">
        <v>3285</v>
      </c>
      <c r="F5" s="25" t="s">
        <v>3286</v>
      </c>
    </row>
    <row r="6" spans="1:7" ht="43.5">
      <c r="A6" s="488"/>
      <c r="B6" s="464"/>
      <c r="C6" s="464"/>
      <c r="D6" s="2" t="s">
        <v>554</v>
      </c>
      <c r="E6" s="25" t="s">
        <v>3287</v>
      </c>
      <c r="F6" s="25" t="s">
        <v>3288</v>
      </c>
    </row>
    <row r="7" spans="1:7">
      <c r="A7" s="488"/>
      <c r="B7" s="464"/>
      <c r="C7" s="464"/>
      <c r="D7" s="2" t="s">
        <v>554</v>
      </c>
      <c r="E7" s="25" t="s">
        <v>3289</v>
      </c>
      <c r="F7" s="25" t="s">
        <v>3290</v>
      </c>
    </row>
    <row r="8" spans="1:7" ht="72.599999999999994">
      <c r="A8" s="488"/>
      <c r="B8" s="464"/>
      <c r="C8" s="2" t="s">
        <v>573</v>
      </c>
      <c r="D8" s="2" t="s">
        <v>576</v>
      </c>
      <c r="E8" s="25" t="s">
        <v>3291</v>
      </c>
      <c r="F8" s="25" t="s">
        <v>3292</v>
      </c>
    </row>
    <row r="9" spans="1:7" ht="19.5" customHeight="1">
      <c r="A9" s="488"/>
      <c r="B9" s="464"/>
      <c r="C9" s="2" t="s">
        <v>3293</v>
      </c>
      <c r="D9" s="2" t="s">
        <v>584</v>
      </c>
      <c r="E9" s="2" t="s">
        <v>3294</v>
      </c>
      <c r="F9" s="2" t="s">
        <v>3295</v>
      </c>
    </row>
    <row r="10" spans="1:7" ht="43.5">
      <c r="A10" s="488" t="s">
        <v>560</v>
      </c>
      <c r="B10" s="464" t="s">
        <v>3278</v>
      </c>
      <c r="C10" s="464" t="s">
        <v>3279</v>
      </c>
      <c r="D10" s="2" t="s">
        <v>576</v>
      </c>
      <c r="E10" s="2" t="s">
        <v>3296</v>
      </c>
      <c r="F10" s="25" t="s">
        <v>3283</v>
      </c>
    </row>
    <row r="11" spans="1:7" ht="120" customHeight="1">
      <c r="A11" s="488"/>
      <c r="B11" s="464"/>
      <c r="C11" s="464"/>
      <c r="D11" s="2" t="s">
        <v>554</v>
      </c>
      <c r="E11" s="25" t="s">
        <v>3297</v>
      </c>
      <c r="F11" s="25" t="s">
        <v>3298</v>
      </c>
    </row>
    <row r="12" spans="1:7" ht="79.5" customHeight="1">
      <c r="A12" s="488"/>
      <c r="B12" s="464"/>
      <c r="C12" s="464"/>
      <c r="D12" s="2" t="s">
        <v>554</v>
      </c>
      <c r="E12" s="25" t="s">
        <v>3299</v>
      </c>
      <c r="F12" s="25" t="s">
        <v>3300</v>
      </c>
    </row>
    <row r="13" spans="1:7" ht="168" customHeight="1">
      <c r="A13" s="488"/>
      <c r="B13" s="464"/>
      <c r="C13" s="464"/>
      <c r="D13" s="2" t="s">
        <v>576</v>
      </c>
      <c r="E13" s="2" t="s">
        <v>3301</v>
      </c>
      <c r="F13" s="25" t="s">
        <v>3302</v>
      </c>
    </row>
    <row r="14" spans="1:7" ht="104.25" customHeight="1">
      <c r="A14" s="488"/>
      <c r="B14" s="464"/>
      <c r="C14" s="464" t="s">
        <v>3284</v>
      </c>
      <c r="D14" s="2" t="s">
        <v>562</v>
      </c>
      <c r="E14" s="2" t="s">
        <v>3303</v>
      </c>
      <c r="F14" s="25" t="s">
        <v>3304</v>
      </c>
    </row>
    <row r="15" spans="1:7" ht="93" customHeight="1">
      <c r="A15" s="488"/>
      <c r="B15" s="464"/>
      <c r="C15" s="464"/>
      <c r="D15" s="2" t="s">
        <v>562</v>
      </c>
      <c r="E15" s="2" t="s">
        <v>3305</v>
      </c>
      <c r="F15" s="25" t="s">
        <v>3306</v>
      </c>
    </row>
    <row r="16" spans="1:7" ht="116.25" customHeight="1">
      <c r="A16" s="488"/>
      <c r="B16" s="464"/>
      <c r="D16" s="2" t="s">
        <v>584</v>
      </c>
      <c r="E16" s="2" t="s">
        <v>3307</v>
      </c>
      <c r="F16" s="25" t="s">
        <v>3308</v>
      </c>
    </row>
    <row r="17" spans="1:6" ht="29.1">
      <c r="A17" s="488"/>
      <c r="B17" s="464"/>
      <c r="C17" s="464" t="s">
        <v>3293</v>
      </c>
      <c r="D17" s="2" t="s">
        <v>584</v>
      </c>
      <c r="E17" s="2" t="s">
        <v>3309</v>
      </c>
      <c r="F17" s="25" t="s">
        <v>3310</v>
      </c>
    </row>
    <row r="18" spans="1:6" ht="43.5">
      <c r="A18" s="488"/>
      <c r="B18" s="464"/>
      <c r="C18" s="464"/>
      <c r="D18" s="2" t="s">
        <v>584</v>
      </c>
      <c r="E18" s="2" t="s">
        <v>3311</v>
      </c>
      <c r="F18" s="25" t="s">
        <v>3312</v>
      </c>
    </row>
    <row r="19" spans="1:6" ht="29.1">
      <c r="A19" s="464" t="s">
        <v>3313</v>
      </c>
      <c r="B19" s="464" t="s">
        <v>3278</v>
      </c>
      <c r="C19" s="464" t="s">
        <v>3279</v>
      </c>
      <c r="D19" s="2" t="s">
        <v>584</v>
      </c>
      <c r="E19" s="2" t="s">
        <v>3314</v>
      </c>
      <c r="F19" s="25" t="s">
        <v>3315</v>
      </c>
    </row>
    <row r="20" spans="1:6" ht="14.45" customHeight="1">
      <c r="A20" s="464"/>
      <c r="B20" s="464"/>
      <c r="C20" s="464"/>
      <c r="D20" s="2" t="s">
        <v>576</v>
      </c>
      <c r="E20" s="2" t="s">
        <v>3316</v>
      </c>
      <c r="F20" s="2" t="s">
        <v>3317</v>
      </c>
    </row>
    <row r="21" spans="1:6" ht="14.45" customHeight="1">
      <c r="A21" s="464"/>
      <c r="B21" s="464"/>
      <c r="C21" s="464"/>
      <c r="D21" s="2" t="s">
        <v>576</v>
      </c>
      <c r="E21" s="2" t="s">
        <v>3318</v>
      </c>
      <c r="F21" s="2" t="s">
        <v>3317</v>
      </c>
    </row>
    <row r="22" spans="1:6" ht="65.25" customHeight="1">
      <c r="A22" s="464"/>
      <c r="B22" s="464"/>
      <c r="C22" s="464" t="s">
        <v>3284</v>
      </c>
      <c r="D22" s="2" t="s">
        <v>562</v>
      </c>
      <c r="E22" s="2" t="s">
        <v>3319</v>
      </c>
      <c r="F22" s="25" t="s">
        <v>3320</v>
      </c>
    </row>
    <row r="23" spans="1:6" ht="75.75" customHeight="1">
      <c r="A23" s="464"/>
      <c r="B23" s="464"/>
      <c r="C23" s="464"/>
      <c r="D23" s="2" t="s">
        <v>562</v>
      </c>
      <c r="E23" s="2" t="s">
        <v>3321</v>
      </c>
      <c r="F23" s="25" t="s">
        <v>3322</v>
      </c>
    </row>
    <row r="24" spans="1:6" ht="75.75" customHeight="1">
      <c r="A24" s="464"/>
      <c r="B24" s="464"/>
      <c r="C24" s="464"/>
      <c r="D24" s="2" t="s">
        <v>584</v>
      </c>
      <c r="E24" s="2" t="s">
        <v>3323</v>
      </c>
      <c r="F24" s="25" t="s">
        <v>3324</v>
      </c>
    </row>
    <row r="25" spans="1:6" ht="14.45" customHeight="1">
      <c r="A25" s="464"/>
      <c r="B25" s="464"/>
      <c r="C25" s="464"/>
      <c r="D25" s="2" t="s">
        <v>584</v>
      </c>
      <c r="E25" s="2" t="s">
        <v>3325</v>
      </c>
      <c r="F25" s="2" t="s">
        <v>3326</v>
      </c>
    </row>
    <row r="26" spans="1:6" ht="29.1">
      <c r="A26" s="464"/>
      <c r="B26" s="464"/>
      <c r="C26" s="464" t="s">
        <v>3327</v>
      </c>
      <c r="D26" s="2" t="s">
        <v>584</v>
      </c>
      <c r="E26" s="2" t="s">
        <v>3328</v>
      </c>
      <c r="F26" s="25" t="s">
        <v>3329</v>
      </c>
    </row>
    <row r="27" spans="1:6" ht="29.1">
      <c r="A27" s="464"/>
      <c r="B27" s="464"/>
      <c r="C27" s="464"/>
      <c r="D27" s="2" t="s">
        <v>584</v>
      </c>
      <c r="E27" s="2" t="s">
        <v>3330</v>
      </c>
      <c r="F27" s="25" t="s">
        <v>3331</v>
      </c>
    </row>
    <row r="28" spans="1:6" ht="43.5">
      <c r="A28" s="464" t="s">
        <v>3332</v>
      </c>
      <c r="B28" s="464" t="s">
        <v>3278</v>
      </c>
      <c r="C28" s="464" t="s">
        <v>3284</v>
      </c>
      <c r="D28" s="2" t="s">
        <v>562</v>
      </c>
      <c r="E28" s="2" t="s">
        <v>3319</v>
      </c>
      <c r="F28" s="25" t="s">
        <v>3333</v>
      </c>
    </row>
    <row r="29" spans="1:6">
      <c r="A29" s="464"/>
      <c r="B29" s="464"/>
      <c r="C29" s="464"/>
      <c r="D29" s="2" t="s">
        <v>584</v>
      </c>
      <c r="E29" s="2" t="s">
        <v>3325</v>
      </c>
      <c r="F29" s="2" t="s">
        <v>3334</v>
      </c>
    </row>
    <row r="30" spans="1:6">
      <c r="A30" s="464"/>
      <c r="B30" s="464"/>
      <c r="C30" s="464" t="s">
        <v>735</v>
      </c>
      <c r="D30" s="2" t="s">
        <v>584</v>
      </c>
      <c r="E30" s="2" t="s">
        <v>3335</v>
      </c>
      <c r="F30" s="2" t="s">
        <v>3336</v>
      </c>
    </row>
    <row r="31" spans="1:6" ht="72.599999999999994">
      <c r="A31" s="464"/>
      <c r="B31" s="464"/>
      <c r="C31" s="464"/>
      <c r="D31" s="2" t="s">
        <v>562</v>
      </c>
      <c r="E31" s="2" t="s">
        <v>3337</v>
      </c>
      <c r="F31" s="25" t="s">
        <v>3338</v>
      </c>
    </row>
    <row r="32" spans="1:6" ht="29.1">
      <c r="A32" s="464"/>
      <c r="B32" s="464"/>
      <c r="C32" s="2" t="s">
        <v>593</v>
      </c>
      <c r="D32" s="2" t="s">
        <v>584</v>
      </c>
      <c r="E32" s="2" t="s">
        <v>3339</v>
      </c>
      <c r="F32" s="25" t="s">
        <v>3340</v>
      </c>
    </row>
    <row r="33" spans="1:6">
      <c r="A33" s="464"/>
      <c r="B33" s="464"/>
      <c r="C33" s="464" t="s">
        <v>3327</v>
      </c>
      <c r="D33" s="2" t="s">
        <v>584</v>
      </c>
      <c r="E33" s="2" t="s">
        <v>3341</v>
      </c>
      <c r="F33" s="2" t="s">
        <v>3342</v>
      </c>
    </row>
    <row r="34" spans="1:6">
      <c r="A34" s="464"/>
      <c r="B34" s="464"/>
      <c r="C34" s="464"/>
      <c r="D34" s="2" t="s">
        <v>584</v>
      </c>
      <c r="E34" s="2" t="s">
        <v>3343</v>
      </c>
      <c r="F34" s="2" t="s">
        <v>3344</v>
      </c>
    </row>
    <row r="35" spans="1:6">
      <c r="A35" s="464"/>
      <c r="B35" s="464"/>
      <c r="C35" s="2" t="s">
        <v>567</v>
      </c>
      <c r="D35" s="2" t="s">
        <v>584</v>
      </c>
      <c r="E35" s="2" t="s">
        <v>3345</v>
      </c>
      <c r="F35" s="2" t="s">
        <v>3346</v>
      </c>
    </row>
    <row r="36" spans="1:6" ht="29.1">
      <c r="A36" s="464" t="s">
        <v>3347</v>
      </c>
      <c r="B36" s="464" t="s">
        <v>3278</v>
      </c>
      <c r="C36" s="2" t="s">
        <v>3348</v>
      </c>
      <c r="D36" s="2" t="s">
        <v>584</v>
      </c>
      <c r="E36" s="2" t="s">
        <v>3349</v>
      </c>
      <c r="F36" s="25" t="s">
        <v>3350</v>
      </c>
    </row>
    <row r="37" spans="1:6" ht="29.1">
      <c r="A37" s="464"/>
      <c r="B37" s="464"/>
      <c r="C37" s="464" t="s">
        <v>1276</v>
      </c>
      <c r="D37" s="2" t="s">
        <v>576</v>
      </c>
      <c r="E37" s="25" t="s">
        <v>3351</v>
      </c>
      <c r="F37" s="2" t="s">
        <v>3352</v>
      </c>
    </row>
    <row r="38" spans="1:6">
      <c r="A38" s="464"/>
      <c r="B38" s="464"/>
      <c r="C38" s="464"/>
      <c r="D38" s="2" t="s">
        <v>584</v>
      </c>
      <c r="E38" s="2" t="s">
        <v>3353</v>
      </c>
      <c r="F38" s="2" t="s">
        <v>3354</v>
      </c>
    </row>
    <row r="39" spans="1:6">
      <c r="A39" s="464"/>
      <c r="B39" s="464"/>
      <c r="C39" s="2" t="s">
        <v>3355</v>
      </c>
      <c r="D39" s="2" t="s">
        <v>584</v>
      </c>
      <c r="E39" s="2" t="s">
        <v>3356</v>
      </c>
      <c r="F39" s="2" t="s">
        <v>3357</v>
      </c>
    </row>
    <row r="40" spans="1:6">
      <c r="A40" s="464"/>
      <c r="B40" s="464"/>
      <c r="C40" s="2" t="s">
        <v>3358</v>
      </c>
      <c r="D40" s="2" t="s">
        <v>584</v>
      </c>
      <c r="E40" s="2" t="s">
        <v>3359</v>
      </c>
      <c r="F40" s="2" t="s">
        <v>3360</v>
      </c>
    </row>
    <row r="41" spans="1:6">
      <c r="A41" s="464"/>
      <c r="B41" s="464"/>
      <c r="C41" s="2" t="s">
        <v>739</v>
      </c>
      <c r="D41" s="2" t="s">
        <v>554</v>
      </c>
      <c r="E41" s="2" t="s">
        <v>3361</v>
      </c>
      <c r="F41" s="2" t="s">
        <v>3362</v>
      </c>
    </row>
    <row r="42" spans="1:6">
      <c r="A42" s="464"/>
      <c r="B42" s="464"/>
      <c r="C42" s="2" t="s">
        <v>3284</v>
      </c>
      <c r="D42" s="2" t="s">
        <v>584</v>
      </c>
      <c r="E42" s="2" t="s">
        <v>3363</v>
      </c>
      <c r="F42" s="2" t="s">
        <v>3364</v>
      </c>
    </row>
    <row r="43" spans="1:6">
      <c r="A43" s="464" t="s">
        <v>3365</v>
      </c>
      <c r="B43" s="464" t="s">
        <v>3278</v>
      </c>
      <c r="C43" s="2" t="s">
        <v>3366</v>
      </c>
      <c r="D43" s="2" t="s">
        <v>584</v>
      </c>
      <c r="E43" s="2" t="s">
        <v>3367</v>
      </c>
      <c r="F43" s="2" t="s">
        <v>3368</v>
      </c>
    </row>
    <row r="44" spans="1:6">
      <c r="A44" s="464"/>
      <c r="B44" s="464"/>
      <c r="C44" s="2" t="s">
        <v>735</v>
      </c>
      <c r="D44" s="2" t="s">
        <v>584</v>
      </c>
      <c r="E44" s="2" t="s">
        <v>3369</v>
      </c>
      <c r="F44" s="2" t="s">
        <v>3370</v>
      </c>
    </row>
    <row r="45" spans="1:6">
      <c r="A45" s="464"/>
      <c r="B45" s="464"/>
      <c r="C45" s="2" t="s">
        <v>593</v>
      </c>
      <c r="D45" s="2" t="s">
        <v>584</v>
      </c>
      <c r="E45" s="2" t="s">
        <v>3371</v>
      </c>
      <c r="F45" s="2" t="s">
        <v>3372</v>
      </c>
    </row>
    <row r="46" spans="1:6" ht="57.95">
      <c r="A46" s="464"/>
      <c r="B46" s="464"/>
      <c r="C46" s="2" t="s">
        <v>3358</v>
      </c>
      <c r="D46" s="2" t="s">
        <v>576</v>
      </c>
      <c r="E46" s="2" t="s">
        <v>3373</v>
      </c>
      <c r="F46" s="25" t="s">
        <v>3374</v>
      </c>
    </row>
    <row r="47" spans="1:6" ht="29.1">
      <c r="A47" s="464"/>
      <c r="B47" s="464"/>
      <c r="C47" s="2" t="s">
        <v>3348</v>
      </c>
      <c r="D47" s="2" t="s">
        <v>584</v>
      </c>
      <c r="E47" s="2" t="s">
        <v>3375</v>
      </c>
      <c r="F47" s="25" t="s">
        <v>3376</v>
      </c>
    </row>
    <row r="48" spans="1:6">
      <c r="A48" s="464"/>
      <c r="B48" s="464"/>
      <c r="C48" s="464" t="s">
        <v>3284</v>
      </c>
      <c r="D48" s="2" t="s">
        <v>584</v>
      </c>
      <c r="E48" s="2" t="s">
        <v>3363</v>
      </c>
      <c r="F48" s="2" t="s">
        <v>3377</v>
      </c>
    </row>
    <row r="49" spans="1:6">
      <c r="A49" s="464"/>
      <c r="B49" s="464"/>
      <c r="C49" s="464"/>
      <c r="D49" s="2" t="s">
        <v>584</v>
      </c>
      <c r="E49" s="2" t="s">
        <v>3378</v>
      </c>
      <c r="F49" s="2" t="s">
        <v>3379</v>
      </c>
    </row>
    <row r="50" spans="1:6" ht="87">
      <c r="A50" s="464"/>
      <c r="B50" s="464"/>
      <c r="C50" s="464"/>
      <c r="D50" s="2" t="s">
        <v>584</v>
      </c>
      <c r="E50" s="2" t="s">
        <v>3380</v>
      </c>
      <c r="F50" s="25" t="s">
        <v>3381</v>
      </c>
    </row>
    <row r="51" spans="1:6" ht="57.95">
      <c r="A51" s="464"/>
      <c r="B51" s="464"/>
      <c r="C51" s="464"/>
      <c r="D51" s="2" t="s">
        <v>584</v>
      </c>
      <c r="E51" s="2" t="s">
        <v>3382</v>
      </c>
      <c r="F51" s="25" t="s">
        <v>3383</v>
      </c>
    </row>
    <row r="52" spans="1:6" ht="43.5">
      <c r="A52" s="464" t="s">
        <v>598</v>
      </c>
      <c r="B52" s="464" t="s">
        <v>3278</v>
      </c>
      <c r="C52" s="464" t="s">
        <v>3284</v>
      </c>
      <c r="D52" s="2" t="s">
        <v>584</v>
      </c>
      <c r="E52" s="2" t="s">
        <v>3384</v>
      </c>
      <c r="F52" s="25" t="s">
        <v>3385</v>
      </c>
    </row>
    <row r="53" spans="1:6" ht="43.5">
      <c r="A53" s="464"/>
      <c r="B53" s="464"/>
      <c r="C53" s="464"/>
      <c r="D53" s="2" t="s">
        <v>775</v>
      </c>
      <c r="E53" s="2" t="s">
        <v>3386</v>
      </c>
      <c r="F53" s="25" t="s">
        <v>3387</v>
      </c>
    </row>
    <row r="54" spans="1:6" ht="29.1">
      <c r="A54" s="464"/>
      <c r="B54" s="464"/>
      <c r="C54" s="464"/>
      <c r="D54" s="2" t="s">
        <v>584</v>
      </c>
      <c r="E54" s="2" t="s">
        <v>3388</v>
      </c>
      <c r="F54" s="25" t="s">
        <v>3389</v>
      </c>
    </row>
    <row r="55" spans="1:6">
      <c r="A55" s="464"/>
      <c r="B55" s="464"/>
      <c r="C55" s="464"/>
      <c r="D55" s="2" t="s">
        <v>584</v>
      </c>
      <c r="E55" s="2" t="s">
        <v>3390</v>
      </c>
      <c r="F55" s="25" t="s">
        <v>3391</v>
      </c>
    </row>
    <row r="56" spans="1:6">
      <c r="A56" s="464"/>
      <c r="B56" s="464"/>
      <c r="C56" s="464" t="s">
        <v>567</v>
      </c>
      <c r="D56" s="2" t="s">
        <v>584</v>
      </c>
      <c r="E56" s="2" t="s">
        <v>3392</v>
      </c>
      <c r="F56" s="2" t="s">
        <v>3392</v>
      </c>
    </row>
    <row r="57" spans="1:6">
      <c r="A57" s="464"/>
      <c r="B57" s="464"/>
      <c r="C57" s="464"/>
      <c r="D57" s="2" t="s">
        <v>584</v>
      </c>
      <c r="E57" s="2" t="s">
        <v>3393</v>
      </c>
      <c r="F57" s="2" t="s">
        <v>3394</v>
      </c>
    </row>
    <row r="58" spans="1:6">
      <c r="A58" s="464"/>
      <c r="B58" s="464"/>
      <c r="C58" s="464"/>
      <c r="D58" s="2" t="s">
        <v>584</v>
      </c>
      <c r="E58" s="2" t="s">
        <v>3395</v>
      </c>
      <c r="F58" s="2" t="s">
        <v>3396</v>
      </c>
    </row>
    <row r="59" spans="1:6">
      <c r="A59" s="464"/>
      <c r="B59" s="464"/>
      <c r="C59" s="464"/>
      <c r="D59" s="2" t="s">
        <v>584</v>
      </c>
      <c r="E59" s="2" t="s">
        <v>3397</v>
      </c>
      <c r="F59" s="2" t="s">
        <v>3398</v>
      </c>
    </row>
    <row r="60" spans="1:6" ht="29.1">
      <c r="A60" s="464" t="s">
        <v>611</v>
      </c>
      <c r="B60" s="464" t="s">
        <v>3278</v>
      </c>
      <c r="C60" s="464" t="s">
        <v>3366</v>
      </c>
      <c r="D60" s="2" t="s">
        <v>554</v>
      </c>
      <c r="E60" s="2" t="s">
        <v>3399</v>
      </c>
      <c r="F60" s="25" t="s">
        <v>3400</v>
      </c>
    </row>
    <row r="61" spans="1:6" ht="29.1">
      <c r="A61" s="464"/>
      <c r="B61" s="464"/>
      <c r="C61" s="464"/>
      <c r="D61" s="2" t="s">
        <v>554</v>
      </c>
      <c r="E61" s="2" t="s">
        <v>3401</v>
      </c>
      <c r="F61" s="25" t="s">
        <v>3400</v>
      </c>
    </row>
    <row r="62" spans="1:6" ht="29.1">
      <c r="A62" s="464"/>
      <c r="B62" s="464"/>
      <c r="C62" s="464"/>
      <c r="D62" s="2" t="s">
        <v>554</v>
      </c>
      <c r="E62" s="2" t="s">
        <v>3402</v>
      </c>
      <c r="F62" s="25" t="s">
        <v>3400</v>
      </c>
    </row>
    <row r="63" spans="1:6" ht="29.1">
      <c r="A63" s="464"/>
      <c r="B63" s="464"/>
      <c r="C63" s="464"/>
      <c r="D63" s="2" t="s">
        <v>554</v>
      </c>
      <c r="E63" s="25" t="s">
        <v>3403</v>
      </c>
      <c r="F63" s="25" t="s">
        <v>3400</v>
      </c>
    </row>
    <row r="64" spans="1:6">
      <c r="A64" s="464"/>
      <c r="B64" s="464"/>
      <c r="C64" s="464"/>
      <c r="D64" s="2" t="s">
        <v>554</v>
      </c>
      <c r="E64" s="25" t="s">
        <v>3404</v>
      </c>
      <c r="F64" s="2" t="s">
        <v>3405</v>
      </c>
    </row>
    <row r="65" spans="1:6" ht="29.1">
      <c r="A65" s="464"/>
      <c r="B65" s="464"/>
      <c r="C65" s="464" t="s">
        <v>3284</v>
      </c>
      <c r="D65" s="2" t="s">
        <v>584</v>
      </c>
      <c r="E65" s="25" t="s">
        <v>3406</v>
      </c>
      <c r="F65" s="25" t="s">
        <v>3407</v>
      </c>
    </row>
    <row r="66" spans="1:6">
      <c r="A66" s="464"/>
      <c r="B66" s="464"/>
      <c r="C66" s="464"/>
      <c r="D66" s="2" t="s">
        <v>584</v>
      </c>
      <c r="E66" s="25" t="s">
        <v>3408</v>
      </c>
      <c r="F66" s="25" t="s">
        <v>3409</v>
      </c>
    </row>
    <row r="67" spans="1:6">
      <c r="A67" s="464"/>
      <c r="B67" s="464"/>
      <c r="C67" s="2" t="s">
        <v>573</v>
      </c>
      <c r="D67" s="2" t="s">
        <v>584</v>
      </c>
      <c r="E67" s="2" t="s">
        <v>3410</v>
      </c>
      <c r="F67" s="2" t="s">
        <v>3411</v>
      </c>
    </row>
    <row r="68" spans="1:6">
      <c r="A68" s="464"/>
      <c r="B68" s="464"/>
      <c r="C68" s="2" t="s">
        <v>567</v>
      </c>
      <c r="D68" s="2" t="s">
        <v>584</v>
      </c>
      <c r="E68" s="2" t="s">
        <v>3412</v>
      </c>
      <c r="F68" s="2" t="s">
        <v>3413</v>
      </c>
    </row>
  </sheetData>
  <mergeCells count="33">
    <mergeCell ref="B28:B35"/>
    <mergeCell ref="C52:C55"/>
    <mergeCell ref="C56:C59"/>
    <mergeCell ref="B52:B59"/>
    <mergeCell ref="A52:A59"/>
    <mergeCell ref="C48:C51"/>
    <mergeCell ref="B43:B51"/>
    <mergeCell ref="A43:A51"/>
    <mergeCell ref="C14:C15"/>
    <mergeCell ref="C17:C18"/>
    <mergeCell ref="A10:A18"/>
    <mergeCell ref="B10:B18"/>
    <mergeCell ref="C3:C4"/>
    <mergeCell ref="C5:C7"/>
    <mergeCell ref="B3:B9"/>
    <mergeCell ref="A3:A9"/>
    <mergeCell ref="C10:C1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539</v>
      </c>
      <c r="B1" s="24" t="s">
        <v>540</v>
      </c>
      <c r="C1" s="24" t="s">
        <v>541</v>
      </c>
      <c r="D1" s="24" t="s">
        <v>542</v>
      </c>
      <c r="E1" s="24" t="s">
        <v>543</v>
      </c>
      <c r="F1" s="24" t="s">
        <v>544</v>
      </c>
      <c r="G1" s="24" t="s">
        <v>545</v>
      </c>
    </row>
    <row r="2" spans="1:7" ht="33.75" customHeight="1">
      <c r="A2" s="26" t="s">
        <v>546</v>
      </c>
      <c r="B2" s="26" t="s">
        <v>547</v>
      </c>
      <c r="C2" s="26" t="s">
        <v>548</v>
      </c>
      <c r="D2" s="26" t="s">
        <v>549</v>
      </c>
      <c r="E2" s="26" t="s">
        <v>550</v>
      </c>
      <c r="F2" s="26" t="s">
        <v>551</v>
      </c>
      <c r="G2" s="27"/>
    </row>
    <row r="3" spans="1:7">
      <c r="A3" s="493" t="s">
        <v>3414</v>
      </c>
      <c r="B3" s="39" t="s">
        <v>424</v>
      </c>
      <c r="C3" s="33" t="s">
        <v>3415</v>
      </c>
      <c r="D3" s="33" t="s">
        <v>713</v>
      </c>
      <c r="E3" s="34" t="s">
        <v>3416</v>
      </c>
      <c r="F3" s="34" t="s">
        <v>3417</v>
      </c>
      <c r="G3" s="35" t="s">
        <v>3418</v>
      </c>
    </row>
    <row r="4" spans="1:7">
      <c r="A4" s="464"/>
      <c r="B4" s="39" t="s">
        <v>424</v>
      </c>
      <c r="C4" s="33" t="s">
        <v>3419</v>
      </c>
      <c r="D4" s="33" t="s">
        <v>713</v>
      </c>
      <c r="E4" s="34" t="s">
        <v>3420</v>
      </c>
      <c r="F4" s="34" t="s">
        <v>3421</v>
      </c>
      <c r="G4" s="35" t="s">
        <v>1272</v>
      </c>
    </row>
    <row r="5" spans="1:7">
      <c r="A5" s="464"/>
      <c r="B5" s="39" t="s">
        <v>424</v>
      </c>
      <c r="C5" s="33" t="s">
        <v>3422</v>
      </c>
      <c r="D5" s="33" t="s">
        <v>713</v>
      </c>
      <c r="E5" s="34" t="s">
        <v>3423</v>
      </c>
      <c r="F5" s="34" t="s">
        <v>3421</v>
      </c>
      <c r="G5" s="35" t="s">
        <v>1272</v>
      </c>
    </row>
    <row r="6" spans="1:7" ht="29.1">
      <c r="A6" s="464"/>
      <c r="B6" s="39" t="s">
        <v>424</v>
      </c>
      <c r="C6" s="33" t="s">
        <v>3424</v>
      </c>
      <c r="D6" s="33" t="s">
        <v>713</v>
      </c>
      <c r="E6" s="34" t="s">
        <v>3425</v>
      </c>
      <c r="F6" s="34" t="s">
        <v>3426</v>
      </c>
      <c r="G6" s="35" t="s">
        <v>1272</v>
      </c>
    </row>
    <row r="7" spans="1:7" ht="29.1">
      <c r="A7" s="464"/>
      <c r="B7" s="39" t="s">
        <v>424</v>
      </c>
      <c r="C7" s="33" t="s">
        <v>3427</v>
      </c>
      <c r="D7" s="33" t="s">
        <v>713</v>
      </c>
      <c r="E7" s="34" t="s">
        <v>3428</v>
      </c>
      <c r="F7" s="34" t="s">
        <v>3429</v>
      </c>
      <c r="G7" s="35" t="s">
        <v>1403</v>
      </c>
    </row>
    <row r="8" spans="1:7" ht="57.95">
      <c r="A8" s="464"/>
      <c r="B8" s="39" t="s">
        <v>424</v>
      </c>
      <c r="C8" s="33" t="s">
        <v>3430</v>
      </c>
      <c r="D8" s="33" t="s">
        <v>562</v>
      </c>
      <c r="E8" s="34" t="s">
        <v>3431</v>
      </c>
      <c r="F8" s="34" t="s">
        <v>3432</v>
      </c>
      <c r="G8" s="35" t="s">
        <v>3433</v>
      </c>
    </row>
    <row r="9" spans="1:7" ht="29.1">
      <c r="A9" s="464"/>
      <c r="B9" s="39" t="s">
        <v>424</v>
      </c>
      <c r="C9" s="33" t="s">
        <v>3434</v>
      </c>
      <c r="D9" s="33" t="s">
        <v>790</v>
      </c>
      <c r="E9" s="34" t="s">
        <v>3435</v>
      </c>
      <c r="F9" s="34"/>
      <c r="G9" s="35" t="s">
        <v>1403</v>
      </c>
    </row>
    <row r="10" spans="1:7" ht="43.5">
      <c r="A10" s="464"/>
      <c r="B10" s="39" t="s">
        <v>424</v>
      </c>
      <c r="C10" s="33" t="s">
        <v>3436</v>
      </c>
      <c r="D10" s="33" t="s">
        <v>562</v>
      </c>
      <c r="E10" s="34" t="s">
        <v>3437</v>
      </c>
      <c r="F10" s="34" t="s">
        <v>3438</v>
      </c>
      <c r="G10" s="35" t="s">
        <v>1272</v>
      </c>
    </row>
    <row r="11" spans="1:7" ht="29.1">
      <c r="A11" s="464"/>
      <c r="B11" s="39" t="s">
        <v>424</v>
      </c>
      <c r="C11" s="33" t="s">
        <v>3439</v>
      </c>
      <c r="D11" s="33" t="s">
        <v>562</v>
      </c>
      <c r="E11" s="34" t="s">
        <v>3440</v>
      </c>
      <c r="F11" s="34" t="s">
        <v>3441</v>
      </c>
      <c r="G11" s="35" t="s">
        <v>3442</v>
      </c>
    </row>
    <row r="12" spans="1:7" ht="29.1">
      <c r="A12" s="464"/>
      <c r="B12" s="39" t="s">
        <v>424</v>
      </c>
      <c r="C12" s="33" t="s">
        <v>3443</v>
      </c>
      <c r="D12" s="33" t="s">
        <v>713</v>
      </c>
      <c r="E12" s="34" t="s">
        <v>3444</v>
      </c>
      <c r="F12" s="34" t="s">
        <v>3445</v>
      </c>
      <c r="G12" s="37" t="s">
        <v>3446</v>
      </c>
    </row>
    <row r="13" spans="1:7" ht="43.5">
      <c r="A13" s="464"/>
      <c r="B13" s="39" t="s">
        <v>424</v>
      </c>
      <c r="C13" s="33" t="s">
        <v>3447</v>
      </c>
      <c r="D13" s="33" t="s">
        <v>713</v>
      </c>
      <c r="E13" s="34" t="s">
        <v>3448</v>
      </c>
      <c r="F13" s="34" t="s">
        <v>3449</v>
      </c>
      <c r="G13" s="35" t="s">
        <v>3450</v>
      </c>
    </row>
    <row r="14" spans="1:7" ht="29.1">
      <c r="A14" s="464"/>
      <c r="B14" s="39" t="s">
        <v>424</v>
      </c>
      <c r="C14" s="33" t="s">
        <v>3451</v>
      </c>
      <c r="D14" s="33" t="s">
        <v>713</v>
      </c>
      <c r="E14" s="34" t="s">
        <v>3452</v>
      </c>
      <c r="F14" s="34" t="s">
        <v>3453</v>
      </c>
      <c r="G14" s="35"/>
    </row>
    <row r="15" spans="1:7">
      <c r="A15" s="464"/>
      <c r="B15" s="39" t="s">
        <v>424</v>
      </c>
      <c r="C15" s="33" t="s">
        <v>3454</v>
      </c>
      <c r="D15" s="33" t="s">
        <v>713</v>
      </c>
      <c r="E15" s="34" t="s">
        <v>3455</v>
      </c>
      <c r="F15" s="34" t="s">
        <v>3456</v>
      </c>
      <c r="G15" s="35"/>
    </row>
    <row r="16" spans="1:7" ht="18.75" customHeight="1">
      <c r="A16" s="464" t="s">
        <v>3457</v>
      </c>
      <c r="B16" s="39" t="s">
        <v>424</v>
      </c>
      <c r="C16" s="33" t="s">
        <v>3458</v>
      </c>
      <c r="D16" s="33" t="s">
        <v>562</v>
      </c>
      <c r="E16" s="34" t="s">
        <v>3459</v>
      </c>
      <c r="F16" s="34" t="s">
        <v>3460</v>
      </c>
      <c r="G16" s="35" t="s">
        <v>3461</v>
      </c>
    </row>
    <row r="17" spans="1:7" ht="26.25" customHeight="1">
      <c r="A17" s="464"/>
      <c r="B17" s="39" t="s">
        <v>424</v>
      </c>
      <c r="C17" s="33" t="s">
        <v>3462</v>
      </c>
      <c r="D17" s="33" t="s">
        <v>562</v>
      </c>
      <c r="E17" s="34" t="s">
        <v>3463</v>
      </c>
      <c r="F17" s="34" t="s">
        <v>3464</v>
      </c>
      <c r="G17" s="35"/>
    </row>
    <row r="18" spans="1:7" ht="21.75" customHeight="1">
      <c r="A18" s="464"/>
      <c r="B18" s="39" t="s">
        <v>424</v>
      </c>
      <c r="C18" s="33" t="s">
        <v>3465</v>
      </c>
      <c r="D18" s="33" t="s">
        <v>562</v>
      </c>
      <c r="E18" s="34" t="s">
        <v>3463</v>
      </c>
      <c r="F18" s="34" t="s">
        <v>3464</v>
      </c>
      <c r="G18" s="35"/>
    </row>
    <row r="19" spans="1:7" ht="27" customHeight="1">
      <c r="A19" s="464"/>
      <c r="B19" s="39" t="s">
        <v>424</v>
      </c>
      <c r="C19" s="33" t="s">
        <v>3466</v>
      </c>
      <c r="D19" s="33" t="s">
        <v>562</v>
      </c>
      <c r="E19" s="34" t="s">
        <v>3463</v>
      </c>
      <c r="F19" s="34" t="s">
        <v>3464</v>
      </c>
      <c r="G19" s="35"/>
    </row>
    <row r="20" spans="1:7" ht="28.5" customHeight="1">
      <c r="A20" s="464"/>
      <c r="B20" s="39" t="s">
        <v>424</v>
      </c>
      <c r="C20" s="33" t="s">
        <v>3467</v>
      </c>
      <c r="D20" s="33" t="s">
        <v>562</v>
      </c>
      <c r="E20" s="34" t="s">
        <v>3463</v>
      </c>
      <c r="F20" s="34" t="s">
        <v>3464</v>
      </c>
      <c r="G20" s="35"/>
    </row>
    <row r="21" spans="1:7" ht="27" customHeight="1">
      <c r="A21" s="464"/>
      <c r="B21" s="39" t="s">
        <v>424</v>
      </c>
      <c r="C21" s="33" t="s">
        <v>3468</v>
      </c>
      <c r="D21" s="33" t="s">
        <v>562</v>
      </c>
      <c r="E21" s="34" t="s">
        <v>3469</v>
      </c>
      <c r="F21" s="34" t="s">
        <v>3470</v>
      </c>
      <c r="G21" s="35"/>
    </row>
    <row r="22" spans="1:7" ht="21.75" customHeight="1">
      <c r="A22" s="464"/>
      <c r="B22" s="39" t="s">
        <v>424</v>
      </c>
      <c r="C22" s="33" t="s">
        <v>3471</v>
      </c>
      <c r="D22" s="33" t="s">
        <v>562</v>
      </c>
      <c r="E22" s="34" t="s">
        <v>3472</v>
      </c>
      <c r="F22" s="34" t="s">
        <v>3473</v>
      </c>
      <c r="G22" s="35" t="s">
        <v>3474</v>
      </c>
    </row>
    <row r="23" spans="1:7">
      <c r="A23" s="464"/>
      <c r="B23" s="39" t="s">
        <v>424</v>
      </c>
      <c r="C23" s="33" t="s">
        <v>3475</v>
      </c>
      <c r="D23" s="33" t="s">
        <v>562</v>
      </c>
      <c r="E23" s="34" t="s">
        <v>3463</v>
      </c>
      <c r="F23" s="34" t="s">
        <v>3464</v>
      </c>
      <c r="G23" s="35"/>
    </row>
    <row r="24" spans="1:7">
      <c r="A24" s="464"/>
      <c r="B24" s="39" t="s">
        <v>424</v>
      </c>
      <c r="C24" s="33" t="s">
        <v>3476</v>
      </c>
      <c r="D24" s="33" t="s">
        <v>567</v>
      </c>
      <c r="E24" s="34" t="s">
        <v>3477</v>
      </c>
      <c r="F24" s="34" t="s">
        <v>3478</v>
      </c>
      <c r="G24" s="35"/>
    </row>
    <row r="25" spans="1:7">
      <c r="A25" s="464"/>
      <c r="B25" s="39" t="s">
        <v>424</v>
      </c>
      <c r="C25" s="33" t="s">
        <v>3479</v>
      </c>
      <c r="D25" s="33" t="s">
        <v>567</v>
      </c>
      <c r="E25" s="34" t="s">
        <v>3477</v>
      </c>
      <c r="F25" s="34" t="s">
        <v>3480</v>
      </c>
      <c r="G25" s="35"/>
    </row>
    <row r="26" spans="1:7" ht="43.5">
      <c r="A26" s="464"/>
      <c r="B26" s="39" t="s">
        <v>424</v>
      </c>
      <c r="C26" s="33" t="s">
        <v>3481</v>
      </c>
      <c r="D26" s="33" t="s">
        <v>562</v>
      </c>
      <c r="E26" s="34" t="s">
        <v>3482</v>
      </c>
      <c r="F26" s="34" t="s">
        <v>3483</v>
      </c>
      <c r="G26" s="35"/>
    </row>
    <row r="27" spans="1:7">
      <c r="A27" s="464"/>
      <c r="B27" s="39" t="s">
        <v>424</v>
      </c>
      <c r="C27" s="33" t="s">
        <v>3484</v>
      </c>
      <c r="D27" s="33" t="s">
        <v>562</v>
      </c>
      <c r="E27" s="34" t="s">
        <v>3485</v>
      </c>
      <c r="F27" s="34" t="s">
        <v>3486</v>
      </c>
      <c r="G27" s="35"/>
    </row>
    <row r="28" spans="1:7" ht="57.95">
      <c r="A28" s="464"/>
      <c r="B28" s="39" t="s">
        <v>424</v>
      </c>
      <c r="C28" s="33" t="s">
        <v>3430</v>
      </c>
      <c r="D28" s="33" t="s">
        <v>567</v>
      </c>
      <c r="E28" s="34" t="s">
        <v>3487</v>
      </c>
      <c r="F28" s="34" t="s">
        <v>3488</v>
      </c>
      <c r="G28" s="37" t="s">
        <v>3489</v>
      </c>
    </row>
    <row r="29" spans="1:7">
      <c r="A29" s="464" t="s">
        <v>3490</v>
      </c>
      <c r="B29" s="39" t="s">
        <v>424</v>
      </c>
      <c r="C29" s="33" t="s">
        <v>3491</v>
      </c>
      <c r="D29" s="33" t="s">
        <v>3492</v>
      </c>
      <c r="E29" s="34" t="s">
        <v>3493</v>
      </c>
      <c r="F29" s="34" t="s">
        <v>3494</v>
      </c>
      <c r="G29" s="35"/>
    </row>
    <row r="30" spans="1:7" ht="72.599999999999994">
      <c r="A30" s="464"/>
      <c r="B30" s="39" t="s">
        <v>424</v>
      </c>
      <c r="C30" s="33" t="s">
        <v>3484</v>
      </c>
      <c r="D30" s="33" t="s">
        <v>3492</v>
      </c>
      <c r="E30" s="34" t="s">
        <v>3495</v>
      </c>
      <c r="F30" s="34" t="s">
        <v>3496</v>
      </c>
      <c r="G30" s="35" t="s">
        <v>3497</v>
      </c>
    </row>
    <row r="31" spans="1:7" ht="43.5">
      <c r="A31" s="464"/>
      <c r="B31" s="39" t="s">
        <v>424</v>
      </c>
      <c r="C31" s="33" t="s">
        <v>3481</v>
      </c>
      <c r="D31" s="33" t="s">
        <v>567</v>
      </c>
      <c r="E31" s="34" t="s">
        <v>3498</v>
      </c>
      <c r="F31" s="34" t="s">
        <v>3499</v>
      </c>
      <c r="G31" s="35"/>
    </row>
    <row r="32" spans="1:7" ht="29.1">
      <c r="A32" s="464"/>
      <c r="B32" s="39" t="s">
        <v>424</v>
      </c>
      <c r="C32" s="33" t="s">
        <v>3458</v>
      </c>
      <c r="D32" s="33" t="s">
        <v>3500</v>
      </c>
      <c r="E32" s="34" t="s">
        <v>3501</v>
      </c>
      <c r="F32" s="34" t="s">
        <v>3502</v>
      </c>
      <c r="G32" s="35" t="s">
        <v>3503</v>
      </c>
    </row>
    <row r="33" spans="1:7">
      <c r="A33" s="464"/>
      <c r="B33" s="39" t="s">
        <v>424</v>
      </c>
      <c r="C33" s="33" t="s">
        <v>3504</v>
      </c>
      <c r="D33" s="33" t="s">
        <v>3492</v>
      </c>
      <c r="E33" s="34" t="s">
        <v>3505</v>
      </c>
      <c r="F33" s="34" t="s">
        <v>3506</v>
      </c>
      <c r="G33" s="35"/>
    </row>
    <row r="34" spans="1:7" ht="43.5">
      <c r="A34" s="464"/>
      <c r="B34" s="40" t="s">
        <v>424</v>
      </c>
      <c r="C34" s="41" t="s">
        <v>3507</v>
      </c>
      <c r="D34" s="41" t="s">
        <v>567</v>
      </c>
      <c r="E34" s="38" t="s">
        <v>3508</v>
      </c>
      <c r="F34" s="38"/>
      <c r="G34" s="42" t="s">
        <v>3509</v>
      </c>
    </row>
    <row r="35" spans="1:7" ht="29.1">
      <c r="A35" s="464"/>
      <c r="B35" s="2" t="s">
        <v>424</v>
      </c>
      <c r="C35" s="2" t="s">
        <v>3436</v>
      </c>
      <c r="D35" s="41" t="s">
        <v>567</v>
      </c>
      <c r="E35" s="25" t="s">
        <v>3510</v>
      </c>
      <c r="F35" s="25"/>
      <c r="G35" s="2" t="s">
        <v>3509</v>
      </c>
    </row>
    <row r="36" spans="1:7" ht="43.5">
      <c r="A36" s="464" t="s">
        <v>3511</v>
      </c>
      <c r="B36" s="2" t="s">
        <v>424</v>
      </c>
      <c r="C36" s="2" t="s">
        <v>3471</v>
      </c>
      <c r="D36" s="41" t="s">
        <v>567</v>
      </c>
      <c r="E36" s="25" t="s">
        <v>3512</v>
      </c>
      <c r="F36" s="25" t="s">
        <v>3513</v>
      </c>
      <c r="G36" s="2" t="s">
        <v>3514</v>
      </c>
    </row>
    <row r="37" spans="1:7">
      <c r="A37" s="464"/>
      <c r="B37" s="2" t="s">
        <v>424</v>
      </c>
      <c r="C37" s="2" t="s">
        <v>3515</v>
      </c>
      <c r="D37" s="41" t="s">
        <v>567</v>
      </c>
      <c r="E37" s="34" t="s">
        <v>3463</v>
      </c>
      <c r="F37" s="34" t="s">
        <v>3464</v>
      </c>
      <c r="G37" s="35"/>
    </row>
    <row r="38" spans="1:7" ht="72.599999999999994">
      <c r="A38" s="464"/>
      <c r="B38" s="2" t="s">
        <v>424</v>
      </c>
      <c r="C38" s="2" t="s">
        <v>3516</v>
      </c>
      <c r="D38" s="2" t="s">
        <v>562</v>
      </c>
      <c r="E38" s="25" t="s">
        <v>3517</v>
      </c>
      <c r="F38" s="25" t="s">
        <v>3518</v>
      </c>
    </row>
    <row r="39" spans="1:7">
      <c r="A39" s="464"/>
      <c r="B39" s="2" t="s">
        <v>424</v>
      </c>
      <c r="C39" s="2" t="s">
        <v>3519</v>
      </c>
      <c r="D39" s="41" t="s">
        <v>567</v>
      </c>
      <c r="E39" s="25" t="s">
        <v>3520</v>
      </c>
      <c r="F39" s="25"/>
    </row>
    <row r="40" spans="1:7">
      <c r="A40" s="464"/>
      <c r="B40" s="2" t="s">
        <v>424</v>
      </c>
      <c r="C40" s="2" t="s">
        <v>3521</v>
      </c>
      <c r="D40" s="41" t="s">
        <v>567</v>
      </c>
      <c r="E40" s="34" t="s">
        <v>3463</v>
      </c>
      <c r="F40" s="34" t="s">
        <v>3464</v>
      </c>
    </row>
    <row r="41" spans="1:7">
      <c r="A41" s="464"/>
      <c r="B41" s="2" t="s">
        <v>424</v>
      </c>
      <c r="C41" s="2" t="s">
        <v>3522</v>
      </c>
      <c r="D41" s="41" t="s">
        <v>567</v>
      </c>
      <c r="E41" s="34" t="s">
        <v>3463</v>
      </c>
      <c r="F41" s="34" t="s">
        <v>3464</v>
      </c>
    </row>
    <row r="42" spans="1:7">
      <c r="A42" s="464"/>
      <c r="B42" s="464" t="s">
        <v>424</v>
      </c>
      <c r="C42" s="2" t="s">
        <v>3523</v>
      </c>
      <c r="D42" s="41" t="s">
        <v>567</v>
      </c>
      <c r="E42" s="34" t="s">
        <v>3463</v>
      </c>
      <c r="F42" s="34" t="s">
        <v>3464</v>
      </c>
      <c r="G42" s="492" t="s">
        <v>3524</v>
      </c>
    </row>
    <row r="43" spans="1:7">
      <c r="A43" s="464"/>
      <c r="B43" s="464"/>
      <c r="C43" s="2" t="s">
        <v>3525</v>
      </c>
      <c r="D43" s="41" t="s">
        <v>567</v>
      </c>
      <c r="E43" s="34" t="s">
        <v>3463</v>
      </c>
      <c r="F43" s="34" t="s">
        <v>3464</v>
      </c>
      <c r="G43" s="492"/>
    </row>
    <row r="44" spans="1:7">
      <c r="A44" s="464"/>
      <c r="B44" s="464"/>
      <c r="C44" s="2" t="s">
        <v>3526</v>
      </c>
      <c r="D44" s="41" t="s">
        <v>567</v>
      </c>
      <c r="E44" s="34" t="s">
        <v>3463</v>
      </c>
      <c r="F44" s="34" t="s">
        <v>3464</v>
      </c>
      <c r="G44" s="492"/>
    </row>
    <row r="45" spans="1:7">
      <c r="A45" s="464"/>
      <c r="B45" s="464"/>
      <c r="C45" s="2" t="s">
        <v>3527</v>
      </c>
      <c r="D45" s="41" t="s">
        <v>567</v>
      </c>
      <c r="E45" s="34" t="s">
        <v>3463</v>
      </c>
      <c r="F45" s="34" t="s">
        <v>3464</v>
      </c>
      <c r="G45" s="492"/>
    </row>
    <row r="46" spans="1:7">
      <c r="A46" s="464"/>
      <c r="B46" s="464"/>
      <c r="C46" s="2" t="s">
        <v>3528</v>
      </c>
      <c r="D46" s="41" t="s">
        <v>567</v>
      </c>
      <c r="E46" s="34" t="s">
        <v>3463</v>
      </c>
      <c r="F46" s="34" t="s">
        <v>3464</v>
      </c>
      <c r="G46" s="492"/>
    </row>
    <row r="47" spans="1:7">
      <c r="A47" s="464"/>
      <c r="B47" s="464"/>
      <c r="C47" s="2" t="s">
        <v>3529</v>
      </c>
      <c r="D47" s="41" t="s">
        <v>567</v>
      </c>
      <c r="E47" s="34" t="s">
        <v>3463</v>
      </c>
      <c r="F47" s="34" t="s">
        <v>3464</v>
      </c>
      <c r="G47" s="492"/>
    </row>
    <row r="48" spans="1:7">
      <c r="A48" s="464"/>
      <c r="B48" s="464"/>
      <c r="C48" s="2" t="s">
        <v>3530</v>
      </c>
      <c r="D48" s="41" t="s">
        <v>567</v>
      </c>
      <c r="E48" s="34" t="s">
        <v>3463</v>
      </c>
      <c r="F48" s="34" t="s">
        <v>3464</v>
      </c>
      <c r="G48" s="492"/>
    </row>
    <row r="49" spans="1:7">
      <c r="A49" s="464"/>
      <c r="B49" s="464"/>
      <c r="C49" s="2" t="s">
        <v>3531</v>
      </c>
      <c r="D49" s="41" t="s">
        <v>567</v>
      </c>
      <c r="E49" s="34" t="s">
        <v>3463</v>
      </c>
      <c r="F49" s="34" t="s">
        <v>3464</v>
      </c>
      <c r="G49" s="492"/>
    </row>
    <row r="50" spans="1:7" ht="29.1">
      <c r="A50" s="464"/>
      <c r="B50" s="2" t="s">
        <v>424</v>
      </c>
      <c r="C50" s="2" t="s">
        <v>3491</v>
      </c>
      <c r="D50" s="2" t="s">
        <v>567</v>
      </c>
      <c r="E50" s="25" t="s">
        <v>3532</v>
      </c>
      <c r="F50" s="25"/>
    </row>
    <row r="51" spans="1:7">
      <c r="A51" s="464"/>
      <c r="B51" s="2" t="s">
        <v>424</v>
      </c>
      <c r="C51" s="2" t="s">
        <v>3468</v>
      </c>
      <c r="D51" s="2" t="s">
        <v>567</v>
      </c>
      <c r="E51" s="25" t="s">
        <v>3533</v>
      </c>
      <c r="F51" s="25" t="s">
        <v>3534</v>
      </c>
    </row>
    <row r="52" spans="1:7" ht="43.5">
      <c r="A52" s="464"/>
      <c r="B52" s="2" t="s">
        <v>424</v>
      </c>
      <c r="C52" s="2" t="s">
        <v>3458</v>
      </c>
      <c r="D52" s="2" t="s">
        <v>567</v>
      </c>
      <c r="E52" s="25" t="s">
        <v>3535</v>
      </c>
      <c r="F52" s="25"/>
    </row>
    <row r="53" spans="1:7">
      <c r="A53" s="464"/>
      <c r="B53" s="2" t="s">
        <v>424</v>
      </c>
      <c r="C53" s="2" t="s">
        <v>3536</v>
      </c>
      <c r="D53" s="2" t="s">
        <v>567</v>
      </c>
      <c r="E53" s="34" t="s">
        <v>3463</v>
      </c>
      <c r="F53" s="34" t="s">
        <v>3464</v>
      </c>
    </row>
    <row r="54" spans="1:7">
      <c r="A54" s="464"/>
      <c r="B54" s="2" t="s">
        <v>424</v>
      </c>
      <c r="C54" s="2" t="s">
        <v>3537</v>
      </c>
      <c r="D54" s="2" t="s">
        <v>567</v>
      </c>
      <c r="E54" s="25" t="s">
        <v>3538</v>
      </c>
      <c r="F54" s="25"/>
    </row>
    <row r="55" spans="1:7">
      <c r="A55" s="489" t="s">
        <v>3539</v>
      </c>
      <c r="B55" s="2" t="s">
        <v>424</v>
      </c>
      <c r="C55" s="2" t="s">
        <v>3537</v>
      </c>
      <c r="D55" s="2" t="s">
        <v>567</v>
      </c>
      <c r="E55" s="25" t="s">
        <v>3540</v>
      </c>
      <c r="F55" s="25" t="s">
        <v>3541</v>
      </c>
    </row>
    <row r="56" spans="1:7">
      <c r="A56" s="464"/>
      <c r="B56" s="2" t="s">
        <v>424</v>
      </c>
      <c r="C56" s="2" t="s">
        <v>3468</v>
      </c>
      <c r="D56" s="2" t="s">
        <v>567</v>
      </c>
      <c r="E56" s="25" t="s">
        <v>3542</v>
      </c>
      <c r="F56" s="25" t="s">
        <v>3543</v>
      </c>
      <c r="G56" s="468" t="s">
        <v>3544</v>
      </c>
    </row>
    <row r="57" spans="1:7">
      <c r="A57" s="464"/>
      <c r="B57" s="2" t="s">
        <v>424</v>
      </c>
      <c r="C57" s="2" t="s">
        <v>3458</v>
      </c>
      <c r="D57" s="2" t="s">
        <v>567</v>
      </c>
      <c r="E57" s="25" t="s">
        <v>3542</v>
      </c>
      <c r="F57" s="25" t="s">
        <v>3543</v>
      </c>
      <c r="G57" s="468"/>
    </row>
    <row r="58" spans="1:7" ht="29.1">
      <c r="A58" s="464"/>
      <c r="B58" s="2" t="s">
        <v>424</v>
      </c>
      <c r="C58" s="2" t="s">
        <v>368</v>
      </c>
      <c r="D58" s="2" t="s">
        <v>3545</v>
      </c>
      <c r="E58" s="25" t="s">
        <v>3546</v>
      </c>
      <c r="F58" s="25"/>
    </row>
    <row r="59" spans="1:7">
      <c r="A59" s="464"/>
      <c r="B59" s="2" t="s">
        <v>424</v>
      </c>
      <c r="C59" s="2" t="s">
        <v>3547</v>
      </c>
      <c r="D59" s="2" t="s">
        <v>567</v>
      </c>
      <c r="E59" s="25" t="s">
        <v>3548</v>
      </c>
      <c r="F59" s="25"/>
    </row>
    <row r="60" spans="1:7">
      <c r="A60" s="464"/>
      <c r="B60" s="2" t="s">
        <v>424</v>
      </c>
      <c r="C60" s="2" t="s">
        <v>309</v>
      </c>
      <c r="D60" s="2" t="s">
        <v>567</v>
      </c>
      <c r="E60" s="25" t="s">
        <v>3549</v>
      </c>
      <c r="F60" s="25"/>
    </row>
    <row r="61" spans="1:7" ht="29.1">
      <c r="A61" s="464" t="s">
        <v>3550</v>
      </c>
      <c r="B61" s="464" t="s">
        <v>424</v>
      </c>
      <c r="C61" s="2" t="s">
        <v>368</v>
      </c>
      <c r="D61" s="2" t="s">
        <v>567</v>
      </c>
      <c r="E61" s="25" t="s">
        <v>3551</v>
      </c>
      <c r="F61" s="25" t="s">
        <v>3552</v>
      </c>
      <c r="G61" s="25" t="s">
        <v>3553</v>
      </c>
    </row>
    <row r="62" spans="1:7">
      <c r="A62" s="464"/>
      <c r="B62" s="464"/>
      <c r="C62" s="2" t="s">
        <v>3554</v>
      </c>
      <c r="D62" s="2" t="s">
        <v>567</v>
      </c>
      <c r="E62" s="25" t="s">
        <v>3555</v>
      </c>
      <c r="F62" s="25" t="s">
        <v>3556</v>
      </c>
      <c r="G62" s="2" t="s">
        <v>3557</v>
      </c>
    </row>
    <row r="63" spans="1:7">
      <c r="A63" s="464"/>
      <c r="B63" s="464"/>
      <c r="C63" s="2" t="s">
        <v>3558</v>
      </c>
      <c r="D63" s="2" t="s">
        <v>567</v>
      </c>
      <c r="E63" s="25" t="s">
        <v>3559</v>
      </c>
      <c r="F63" s="25"/>
    </row>
    <row r="64" spans="1:7">
      <c r="A64" s="464"/>
      <c r="B64" s="464"/>
      <c r="C64" s="2" t="s">
        <v>3560</v>
      </c>
      <c r="D64" s="2" t="s">
        <v>567</v>
      </c>
      <c r="E64" s="25" t="s">
        <v>3561</v>
      </c>
      <c r="F64" s="25"/>
    </row>
    <row r="65" spans="1:7">
      <c r="A65" s="464"/>
      <c r="B65" s="464"/>
      <c r="C65" s="2" t="s">
        <v>2039</v>
      </c>
      <c r="D65" s="2" t="s">
        <v>567</v>
      </c>
      <c r="E65" s="25" t="s">
        <v>3562</v>
      </c>
      <c r="F65" s="25" t="s">
        <v>3541</v>
      </c>
    </row>
    <row r="66" spans="1:7">
      <c r="A66" s="464"/>
      <c r="B66" s="464"/>
      <c r="C66" s="2" t="s">
        <v>309</v>
      </c>
      <c r="D66" s="2" t="s">
        <v>3492</v>
      </c>
      <c r="E66" s="25" t="s">
        <v>3563</v>
      </c>
      <c r="F66" s="25"/>
    </row>
    <row r="67" spans="1:7">
      <c r="A67" s="464"/>
      <c r="B67" s="464"/>
      <c r="C67" s="2" t="s">
        <v>3564</v>
      </c>
      <c r="D67" s="2" t="s">
        <v>3492</v>
      </c>
      <c r="E67" s="25" t="s">
        <v>3565</v>
      </c>
      <c r="F67" s="25"/>
    </row>
    <row r="68" spans="1:7">
      <c r="A68" s="464" t="s">
        <v>3566</v>
      </c>
      <c r="B68" s="468" t="s">
        <v>424</v>
      </c>
      <c r="C68" s="2" t="s">
        <v>3567</v>
      </c>
      <c r="D68" s="2" t="s">
        <v>567</v>
      </c>
      <c r="E68" s="25" t="s">
        <v>3568</v>
      </c>
      <c r="F68" s="25" t="s">
        <v>3569</v>
      </c>
    </row>
    <row r="69" spans="1:7">
      <c r="A69" s="464"/>
      <c r="B69" s="468"/>
      <c r="C69" s="2" t="s">
        <v>3570</v>
      </c>
      <c r="D69" s="2" t="s">
        <v>567</v>
      </c>
      <c r="E69" s="25" t="s">
        <v>3571</v>
      </c>
      <c r="F69" s="25"/>
      <c r="G69" s="491" t="s">
        <v>3572</v>
      </c>
    </row>
    <row r="70" spans="1:7">
      <c r="A70" s="464"/>
      <c r="B70" s="468"/>
      <c r="C70" s="2" t="s">
        <v>3573</v>
      </c>
      <c r="D70" s="2" t="s">
        <v>567</v>
      </c>
      <c r="E70" s="25" t="s">
        <v>3571</v>
      </c>
      <c r="F70" s="25"/>
      <c r="G70" s="491"/>
    </row>
    <row r="71" spans="1:7">
      <c r="A71" s="464"/>
      <c r="B71" s="468"/>
      <c r="C71" s="2" t="s">
        <v>3574</v>
      </c>
      <c r="D71" s="2" t="s">
        <v>567</v>
      </c>
      <c r="E71" s="25" t="s">
        <v>3571</v>
      </c>
      <c r="F71" s="25"/>
      <c r="G71" s="491"/>
    </row>
    <row r="72" spans="1:7">
      <c r="A72" s="464"/>
      <c r="B72" s="468"/>
      <c r="C72" s="2" t="s">
        <v>3575</v>
      </c>
      <c r="D72" s="2" t="s">
        <v>567</v>
      </c>
      <c r="E72" s="25" t="s">
        <v>3571</v>
      </c>
      <c r="F72" s="25"/>
      <c r="G72" s="491"/>
    </row>
    <row r="73" spans="1:7">
      <c r="A73" s="464"/>
      <c r="B73" s="468"/>
      <c r="C73" s="2" t="s">
        <v>3576</v>
      </c>
      <c r="D73" s="2" t="s">
        <v>567</v>
      </c>
      <c r="E73" s="25" t="s">
        <v>3571</v>
      </c>
      <c r="F73" s="25"/>
      <c r="G73" s="491"/>
    </row>
    <row r="74" spans="1:7">
      <c r="A74" s="464"/>
      <c r="B74" s="468"/>
      <c r="C74" s="2" t="s">
        <v>3577</v>
      </c>
      <c r="D74" s="2" t="s">
        <v>567</v>
      </c>
      <c r="E74" s="25" t="s">
        <v>3571</v>
      </c>
      <c r="F74" s="25"/>
      <c r="G74" s="491"/>
    </row>
    <row r="75" spans="1:7">
      <c r="A75" s="464"/>
      <c r="B75" s="468"/>
      <c r="C75" s="2" t="s">
        <v>3578</v>
      </c>
      <c r="D75" s="2" t="s">
        <v>567</v>
      </c>
      <c r="E75" s="25" t="s">
        <v>3571</v>
      </c>
      <c r="F75" s="25"/>
      <c r="G75" s="491"/>
    </row>
    <row r="76" spans="1:7">
      <c r="A76" s="464"/>
      <c r="B76" s="468"/>
      <c r="C76" s="2" t="s">
        <v>3579</v>
      </c>
      <c r="D76" s="2" t="s">
        <v>567</v>
      </c>
      <c r="E76" s="25" t="s">
        <v>3571</v>
      </c>
      <c r="F76" s="25"/>
      <c r="G76" s="491"/>
    </row>
    <row r="77" spans="1:7">
      <c r="A77" s="464"/>
      <c r="B77" s="468"/>
      <c r="C77" s="2" t="s">
        <v>3580</v>
      </c>
      <c r="D77" s="2" t="s">
        <v>567</v>
      </c>
      <c r="E77" s="25" t="s">
        <v>3581</v>
      </c>
      <c r="F77" s="25"/>
      <c r="G77" s="491"/>
    </row>
    <row r="78" spans="1:7">
      <c r="A78" s="464"/>
      <c r="B78" s="468"/>
      <c r="C78" s="2" t="s">
        <v>3582</v>
      </c>
      <c r="D78" s="2" t="s">
        <v>567</v>
      </c>
      <c r="E78" s="25" t="s">
        <v>3571</v>
      </c>
      <c r="F78" s="25"/>
      <c r="G78" s="491"/>
    </row>
    <row r="79" spans="1:7">
      <c r="A79" s="464"/>
      <c r="B79" s="468"/>
      <c r="C79" s="2" t="s">
        <v>3583</v>
      </c>
      <c r="D79" s="2" t="s">
        <v>567</v>
      </c>
      <c r="E79" s="25" t="s">
        <v>3584</v>
      </c>
      <c r="F79" s="25"/>
      <c r="G79" s="490" t="s">
        <v>3585</v>
      </c>
    </row>
    <row r="80" spans="1:7">
      <c r="A80" s="464"/>
      <c r="B80" s="468"/>
      <c r="C80" s="2" t="s">
        <v>3586</v>
      </c>
      <c r="D80" s="2" t="s">
        <v>567</v>
      </c>
      <c r="E80" s="25" t="s">
        <v>3584</v>
      </c>
      <c r="F80" s="25"/>
      <c r="G80" s="490"/>
    </row>
    <row r="81" spans="1:7">
      <c r="A81" s="464"/>
      <c r="B81" s="468"/>
      <c r="C81" s="2" t="s">
        <v>3587</v>
      </c>
      <c r="D81" s="2" t="s">
        <v>567</v>
      </c>
      <c r="E81" s="25" t="s">
        <v>3584</v>
      </c>
      <c r="F81" s="25"/>
      <c r="G81" s="490"/>
    </row>
    <row r="82" spans="1:7">
      <c r="A82" s="464"/>
      <c r="B82" s="468"/>
      <c r="C82" s="2" t="s">
        <v>3588</v>
      </c>
      <c r="D82" s="2" t="s">
        <v>567</v>
      </c>
      <c r="E82" s="25" t="s">
        <v>3584</v>
      </c>
      <c r="F82" s="25"/>
      <c r="G82" s="490"/>
    </row>
    <row r="83" spans="1:7">
      <c r="A83" s="464"/>
      <c r="B83" s="468"/>
      <c r="C83" s="2" t="s">
        <v>3589</v>
      </c>
      <c r="D83" s="2" t="s">
        <v>567</v>
      </c>
      <c r="E83" s="25" t="s">
        <v>3590</v>
      </c>
      <c r="F83" s="25"/>
      <c r="G83" s="490"/>
    </row>
    <row r="84" spans="1:7">
      <c r="A84" s="464"/>
      <c r="B84" s="468"/>
      <c r="C84" s="2" t="s">
        <v>3591</v>
      </c>
      <c r="D84" s="2" t="s">
        <v>567</v>
      </c>
      <c r="E84" s="25" t="s">
        <v>3584</v>
      </c>
      <c r="F84" s="25"/>
      <c r="G84" s="490"/>
    </row>
    <row r="85" spans="1:7">
      <c r="A85" s="464"/>
      <c r="B85" s="468"/>
      <c r="C85" s="2" t="s">
        <v>3592</v>
      </c>
      <c r="D85" s="2" t="s">
        <v>567</v>
      </c>
      <c r="E85" s="25" t="s">
        <v>3584</v>
      </c>
      <c r="F85" s="25"/>
      <c r="G85" s="490"/>
    </row>
    <row r="86" spans="1:7">
      <c r="A86" s="464"/>
      <c r="B86" s="468"/>
      <c r="C86" s="2" t="s">
        <v>3593</v>
      </c>
      <c r="D86" s="2" t="s">
        <v>567</v>
      </c>
      <c r="E86" s="25" t="s">
        <v>3584</v>
      </c>
      <c r="F86" s="25"/>
      <c r="G86" s="490"/>
    </row>
    <row r="87" spans="1:7">
      <c r="A87" s="464"/>
      <c r="B87" s="468"/>
      <c r="C87" s="2" t="s">
        <v>3594</v>
      </c>
      <c r="D87" s="2" t="s">
        <v>567</v>
      </c>
      <c r="E87" s="25" t="s">
        <v>3584</v>
      </c>
      <c r="F87" s="25"/>
      <c r="G87" s="490"/>
    </row>
    <row r="88" spans="1:7">
      <c r="A88" s="464"/>
      <c r="B88" s="468"/>
      <c r="C88" s="2" t="s">
        <v>3595</v>
      </c>
      <c r="D88" s="2" t="s">
        <v>567</v>
      </c>
      <c r="E88" s="25" t="s">
        <v>3596</v>
      </c>
      <c r="F88" s="25"/>
      <c r="G88" s="490"/>
    </row>
    <row r="89" spans="1:7">
      <c r="A89" s="464"/>
      <c r="B89" s="468"/>
      <c r="C89" s="2" t="s">
        <v>3597</v>
      </c>
      <c r="D89" s="2" t="s">
        <v>567</v>
      </c>
      <c r="E89" s="25" t="s">
        <v>3598</v>
      </c>
      <c r="F89" s="25"/>
    </row>
    <row r="90" spans="1:7" ht="29.1">
      <c r="A90" s="464"/>
      <c r="B90" s="468"/>
      <c r="C90" s="2" t="s">
        <v>3471</v>
      </c>
      <c r="D90" s="2" t="s">
        <v>567</v>
      </c>
      <c r="E90" s="25" t="s">
        <v>3599</v>
      </c>
      <c r="F90" s="25" t="s">
        <v>3600</v>
      </c>
    </row>
    <row r="91" spans="1:7">
      <c r="A91" s="464"/>
      <c r="B91" s="468"/>
      <c r="C91" s="468" t="s">
        <v>376</v>
      </c>
      <c r="D91" s="2" t="s">
        <v>3492</v>
      </c>
      <c r="E91" s="25" t="s">
        <v>3601</v>
      </c>
      <c r="F91" s="25" t="s">
        <v>3602</v>
      </c>
    </row>
    <row r="92" spans="1:7" ht="43.5">
      <c r="A92" s="464"/>
      <c r="B92" s="468"/>
      <c r="C92" s="468"/>
      <c r="D92" s="2" t="s">
        <v>562</v>
      </c>
      <c r="E92" s="25" t="s">
        <v>3603</v>
      </c>
      <c r="F92" s="25" t="s">
        <v>3604</v>
      </c>
    </row>
    <row r="93" spans="1:7" ht="43.5">
      <c r="A93" s="464"/>
      <c r="B93" s="468"/>
      <c r="C93" s="468"/>
      <c r="D93" s="2" t="s">
        <v>3545</v>
      </c>
      <c r="E93" s="25" t="s">
        <v>3605</v>
      </c>
      <c r="F93" s="25" t="s">
        <v>3606</v>
      </c>
    </row>
    <row r="94" spans="1:7" ht="29.1">
      <c r="A94" s="464"/>
      <c r="B94" s="468"/>
      <c r="C94" s="2" t="s">
        <v>3560</v>
      </c>
      <c r="D94" s="2" t="s">
        <v>3545</v>
      </c>
      <c r="E94" s="25" t="s">
        <v>3607</v>
      </c>
      <c r="F94" s="25" t="s">
        <v>3608</v>
      </c>
    </row>
    <row r="95" spans="1:7" ht="43.5">
      <c r="A95" s="464"/>
      <c r="B95" s="468"/>
      <c r="C95" s="2" t="s">
        <v>3458</v>
      </c>
      <c r="D95" s="2" t="s">
        <v>567</v>
      </c>
      <c r="E95" s="2" t="s">
        <v>3609</v>
      </c>
      <c r="F95" s="25" t="s">
        <v>3610</v>
      </c>
    </row>
    <row r="96" spans="1:7">
      <c r="A96" s="464"/>
      <c r="B96" s="468"/>
      <c r="C96" s="2" t="s">
        <v>1638</v>
      </c>
      <c r="D96" s="2" t="s">
        <v>567</v>
      </c>
      <c r="E96" s="25" t="s">
        <v>3611</v>
      </c>
      <c r="F96" s="25"/>
    </row>
    <row r="97" spans="1:6" ht="29.1">
      <c r="A97" s="464" t="s">
        <v>3612</v>
      </c>
      <c r="B97" s="464" t="s">
        <v>424</v>
      </c>
      <c r="C97" s="464" t="s">
        <v>393</v>
      </c>
      <c r="D97" s="464" t="s">
        <v>567</v>
      </c>
      <c r="E97" s="25" t="s">
        <v>3613</v>
      </c>
      <c r="F97" s="25" t="s">
        <v>3614</v>
      </c>
    </row>
    <row r="98" spans="1:6" ht="29.1">
      <c r="A98" s="464"/>
      <c r="B98" s="464"/>
      <c r="C98" s="464"/>
      <c r="D98" s="464"/>
      <c r="E98" s="25" t="s">
        <v>1037</v>
      </c>
      <c r="F98" s="25" t="s">
        <v>3615</v>
      </c>
    </row>
    <row r="99" spans="1:6">
      <c r="A99" s="464"/>
      <c r="B99" s="464"/>
      <c r="C99" s="464"/>
      <c r="D99" s="2" t="s">
        <v>3545</v>
      </c>
      <c r="E99" s="25" t="s">
        <v>3616</v>
      </c>
      <c r="F99" s="25" t="s">
        <v>3617</v>
      </c>
    </row>
    <row r="100" spans="1:6">
      <c r="A100" s="464"/>
      <c r="B100" s="464"/>
      <c r="C100" s="2" t="s">
        <v>376</v>
      </c>
      <c r="D100" s="2" t="s">
        <v>567</v>
      </c>
      <c r="E100" s="25" t="s">
        <v>3618</v>
      </c>
      <c r="F100" s="25" t="s">
        <v>3619</v>
      </c>
    </row>
    <row r="101" spans="1:6">
      <c r="A101" s="464"/>
      <c r="B101" s="464"/>
      <c r="C101" s="2" t="s">
        <v>2667</v>
      </c>
      <c r="D101" s="2" t="s">
        <v>567</v>
      </c>
      <c r="E101" s="25" t="s">
        <v>3620</v>
      </c>
      <c r="F101" s="25"/>
    </row>
    <row r="102" spans="1:6">
      <c r="A102" s="464"/>
      <c r="B102" s="464"/>
      <c r="C102" s="2" t="s">
        <v>3621</v>
      </c>
      <c r="D102" s="2" t="s">
        <v>567</v>
      </c>
      <c r="E102" s="25" t="s">
        <v>3622</v>
      </c>
      <c r="F102" s="25"/>
    </row>
    <row r="103" spans="1:6">
      <c r="A103" s="464"/>
      <c r="B103" s="464"/>
      <c r="C103" s="2" t="s">
        <v>315</v>
      </c>
      <c r="D103" s="2" t="s">
        <v>567</v>
      </c>
      <c r="E103" s="25" t="s">
        <v>3623</v>
      </c>
      <c r="F103" s="25" t="s">
        <v>3624</v>
      </c>
    </row>
    <row r="104" spans="1:6">
      <c r="A104" s="464" t="s">
        <v>3625</v>
      </c>
      <c r="B104" s="464" t="s">
        <v>424</v>
      </c>
      <c r="C104" s="2" t="s">
        <v>376</v>
      </c>
      <c r="D104" s="2" t="s">
        <v>3492</v>
      </c>
      <c r="E104" s="25" t="s">
        <v>3626</v>
      </c>
      <c r="F104" s="25" t="s">
        <v>3627</v>
      </c>
    </row>
    <row r="105" spans="1:6">
      <c r="A105" s="464"/>
      <c r="B105" s="464"/>
      <c r="C105" s="2" t="s">
        <v>334</v>
      </c>
      <c r="D105" s="2" t="s">
        <v>567</v>
      </c>
      <c r="E105" s="25" t="s">
        <v>3628</v>
      </c>
      <c r="F105" s="25"/>
    </row>
    <row r="106" spans="1:6">
      <c r="A106" s="464"/>
      <c r="B106" s="464"/>
      <c r="C106" s="2" t="s">
        <v>339</v>
      </c>
      <c r="D106" s="2" t="s">
        <v>567</v>
      </c>
      <c r="E106" s="25" t="s">
        <v>3628</v>
      </c>
      <c r="F106" s="25"/>
    </row>
    <row r="107" spans="1:6">
      <c r="A107" s="464"/>
      <c r="B107" s="464"/>
      <c r="C107" s="2" t="s">
        <v>3560</v>
      </c>
      <c r="D107" s="2" t="s">
        <v>3492</v>
      </c>
      <c r="E107" s="25" t="s">
        <v>3629</v>
      </c>
      <c r="F107" s="25" t="s">
        <v>3630</v>
      </c>
    </row>
    <row r="108" spans="1:6">
      <c r="A108" s="464"/>
      <c r="B108" s="464"/>
      <c r="C108" s="2" t="s">
        <v>315</v>
      </c>
      <c r="E108" s="25" t="s">
        <v>3631</v>
      </c>
      <c r="F108" s="25"/>
    </row>
    <row r="109" spans="1:6">
      <c r="A109" s="468" t="s">
        <v>3632</v>
      </c>
      <c r="B109" s="464" t="s">
        <v>424</v>
      </c>
      <c r="C109" s="2" t="s">
        <v>339</v>
      </c>
      <c r="D109" s="2" t="s">
        <v>567</v>
      </c>
      <c r="E109" s="25" t="s">
        <v>3633</v>
      </c>
      <c r="F109" s="25"/>
    </row>
    <row r="110" spans="1:6">
      <c r="A110" s="468"/>
      <c r="B110" s="464"/>
      <c r="C110" s="2" t="s">
        <v>3634</v>
      </c>
      <c r="D110" s="2" t="s">
        <v>567</v>
      </c>
      <c r="E110" s="25" t="s">
        <v>3562</v>
      </c>
      <c r="F110" s="25" t="s">
        <v>3635</v>
      </c>
    </row>
    <row r="111" spans="1:6" ht="29.1">
      <c r="A111" s="468"/>
      <c r="B111" s="464"/>
      <c r="C111" s="2" t="s">
        <v>3636</v>
      </c>
      <c r="D111" s="2" t="s">
        <v>567</v>
      </c>
      <c r="E111" s="25" t="s">
        <v>3637</v>
      </c>
      <c r="F111" s="25"/>
    </row>
    <row r="112" spans="1:6">
      <c r="A112" s="468"/>
      <c r="B112" s="464"/>
      <c r="C112" s="2" t="s">
        <v>3638</v>
      </c>
      <c r="D112" s="2" t="s">
        <v>567</v>
      </c>
      <c r="E112" s="25" t="s">
        <v>3639</v>
      </c>
      <c r="F112" s="25" t="s">
        <v>3640</v>
      </c>
    </row>
    <row r="113" spans="1:7">
      <c r="A113" s="468"/>
      <c r="B113" s="464"/>
      <c r="C113" s="2" t="s">
        <v>3641</v>
      </c>
      <c r="D113" s="2" t="s">
        <v>567</v>
      </c>
      <c r="E113" s="25" t="s">
        <v>3642</v>
      </c>
      <c r="F113" s="25" t="s">
        <v>3643</v>
      </c>
    </row>
    <row r="114" spans="1:7">
      <c r="A114" s="468"/>
      <c r="B114" s="464"/>
      <c r="C114" s="2" t="s">
        <v>315</v>
      </c>
      <c r="D114" s="2" t="s">
        <v>567</v>
      </c>
      <c r="E114" s="25" t="s">
        <v>3642</v>
      </c>
      <c r="F114" s="25" t="s">
        <v>3644</v>
      </c>
    </row>
    <row r="115" spans="1:7">
      <c r="A115" s="468"/>
      <c r="B115" s="464"/>
      <c r="C115" s="2" t="s">
        <v>1813</v>
      </c>
      <c r="D115" s="2" t="s">
        <v>567</v>
      </c>
      <c r="E115" s="25" t="s">
        <v>3645</v>
      </c>
      <c r="F115" s="25"/>
    </row>
    <row r="116" spans="1:7">
      <c r="A116" s="468"/>
      <c r="B116" s="464"/>
      <c r="C116" s="2" t="s">
        <v>3646</v>
      </c>
      <c r="D116" s="2" t="s">
        <v>567</v>
      </c>
      <c r="E116" s="25" t="s">
        <v>3647</v>
      </c>
      <c r="F116" s="25"/>
    </row>
    <row r="117" spans="1:7">
      <c r="A117" s="468"/>
      <c r="B117" s="464"/>
      <c r="C117" s="2" t="s">
        <v>3648</v>
      </c>
      <c r="D117" s="2" t="s">
        <v>567</v>
      </c>
      <c r="E117" s="25" t="s">
        <v>3649</v>
      </c>
      <c r="F117" s="25"/>
    </row>
    <row r="118" spans="1:7">
      <c r="A118" s="464" t="s">
        <v>3650</v>
      </c>
      <c r="B118" s="464" t="s">
        <v>424</v>
      </c>
      <c r="C118" s="2" t="s">
        <v>368</v>
      </c>
      <c r="D118" s="2" t="s">
        <v>567</v>
      </c>
      <c r="E118" s="25" t="s">
        <v>3651</v>
      </c>
      <c r="F118" s="25" t="s">
        <v>3652</v>
      </c>
    </row>
    <row r="119" spans="1:7">
      <c r="A119" s="464"/>
      <c r="B119" s="464"/>
      <c r="C119" s="2" t="s">
        <v>3560</v>
      </c>
      <c r="D119" s="2" t="s">
        <v>3545</v>
      </c>
      <c r="E119" s="25" t="s">
        <v>3653</v>
      </c>
      <c r="F119" s="25" t="s">
        <v>3654</v>
      </c>
      <c r="G119" s="2" t="s">
        <v>3655</v>
      </c>
    </row>
    <row r="120" spans="1:7">
      <c r="A120" s="464"/>
      <c r="B120" s="464"/>
      <c r="C120" s="2" t="s">
        <v>3656</v>
      </c>
      <c r="D120" s="2" t="s">
        <v>567</v>
      </c>
      <c r="E120" s="25" t="s">
        <v>3657</v>
      </c>
      <c r="F120" s="25"/>
    </row>
    <row r="121" spans="1:7">
      <c r="A121" s="464"/>
      <c r="B121" s="464"/>
      <c r="C121" s="2" t="s">
        <v>3658</v>
      </c>
      <c r="D121" s="2" t="s">
        <v>567</v>
      </c>
      <c r="E121" s="25" t="s">
        <v>3657</v>
      </c>
      <c r="F121" s="25"/>
    </row>
    <row r="122" spans="1:7">
      <c r="A122" s="464"/>
      <c r="B122" s="464"/>
      <c r="C122" s="2" t="s">
        <v>3659</v>
      </c>
      <c r="D122" s="2" t="s">
        <v>567</v>
      </c>
      <c r="E122" s="25" t="s">
        <v>3657</v>
      </c>
      <c r="F122" s="25"/>
    </row>
    <row r="123" spans="1:7">
      <c r="A123" s="464"/>
      <c r="B123" s="464"/>
      <c r="C123" s="2" t="s">
        <v>3660</v>
      </c>
      <c r="D123" s="2" t="s">
        <v>567</v>
      </c>
      <c r="E123" s="25" t="s">
        <v>3657</v>
      </c>
      <c r="F123" s="25"/>
    </row>
    <row r="124" spans="1:7">
      <c r="A124" s="464"/>
      <c r="B124" s="464"/>
      <c r="C124" s="2" t="s">
        <v>3661</v>
      </c>
      <c r="D124" s="2" t="s">
        <v>567</v>
      </c>
      <c r="E124" s="25" t="s">
        <v>3657</v>
      </c>
      <c r="F124" s="25"/>
    </row>
    <row r="125" spans="1:7">
      <c r="A125" s="464"/>
      <c r="B125" s="464"/>
      <c r="C125" s="2" t="s">
        <v>3662</v>
      </c>
      <c r="D125" s="2" t="s">
        <v>567</v>
      </c>
      <c r="E125" s="25" t="s">
        <v>3657</v>
      </c>
      <c r="F125" s="25"/>
    </row>
    <row r="126" spans="1:7">
      <c r="A126" s="464"/>
      <c r="B126" s="464"/>
      <c r="C126" s="2" t="s">
        <v>3663</v>
      </c>
      <c r="D126" s="2" t="s">
        <v>567</v>
      </c>
      <c r="E126" s="25" t="s">
        <v>3664</v>
      </c>
      <c r="F126" s="25"/>
    </row>
    <row r="127" spans="1:7">
      <c r="A127" s="464"/>
      <c r="B127" s="464"/>
      <c r="C127" s="2" t="s">
        <v>3665</v>
      </c>
      <c r="D127" s="2" t="s">
        <v>567</v>
      </c>
      <c r="E127" s="25" t="s">
        <v>3666</v>
      </c>
      <c r="F127" s="25"/>
    </row>
    <row r="128" spans="1:7">
      <c r="A128" s="464" t="s">
        <v>3667</v>
      </c>
      <c r="B128" s="464" t="s">
        <v>424</v>
      </c>
      <c r="C128" s="2" t="s">
        <v>3668</v>
      </c>
      <c r="D128" s="2" t="s">
        <v>3492</v>
      </c>
      <c r="E128" s="25" t="s">
        <v>3669</v>
      </c>
      <c r="F128" s="25"/>
    </row>
    <row r="129" spans="1:6">
      <c r="A129" s="464"/>
      <c r="B129" s="464"/>
      <c r="C129" s="2" t="s">
        <v>2458</v>
      </c>
      <c r="D129" s="2" t="s">
        <v>3492</v>
      </c>
      <c r="E129" s="25" t="s">
        <v>3669</v>
      </c>
      <c r="F129" s="25"/>
    </row>
    <row r="130" spans="1:6">
      <c r="A130" s="464"/>
      <c r="B130" s="464"/>
      <c r="C130" s="2" t="s">
        <v>3670</v>
      </c>
      <c r="D130" s="2" t="s">
        <v>3492</v>
      </c>
      <c r="E130" s="25" t="s">
        <v>3669</v>
      </c>
      <c r="F130" s="25"/>
    </row>
    <row r="131" spans="1:6">
      <c r="A131" s="464"/>
      <c r="B131" s="464"/>
      <c r="C131" s="2" t="s">
        <v>3661</v>
      </c>
      <c r="D131" s="2" t="s">
        <v>3492</v>
      </c>
      <c r="E131" s="25" t="s">
        <v>3669</v>
      </c>
      <c r="F131" s="25"/>
    </row>
    <row r="132" spans="1:6">
      <c r="A132" s="464"/>
      <c r="B132" s="464"/>
      <c r="C132" s="2" t="s">
        <v>3671</v>
      </c>
      <c r="D132" s="2" t="s">
        <v>3492</v>
      </c>
      <c r="E132" s="25" t="s">
        <v>3669</v>
      </c>
      <c r="F132" s="25"/>
    </row>
    <row r="133" spans="1:6">
      <c r="A133" s="464"/>
      <c r="B133" s="464"/>
      <c r="C133" s="2" t="s">
        <v>3672</v>
      </c>
      <c r="D133" s="2" t="s">
        <v>3492</v>
      </c>
      <c r="E133" s="25" t="s">
        <v>3669</v>
      </c>
      <c r="F133" s="25"/>
    </row>
    <row r="134" spans="1:6">
      <c r="A134" s="464"/>
      <c r="B134" s="464"/>
      <c r="C134" s="2" t="s">
        <v>3673</v>
      </c>
      <c r="D134" s="2" t="s">
        <v>3492</v>
      </c>
      <c r="E134" s="25" t="s">
        <v>3669</v>
      </c>
      <c r="F134" s="25"/>
    </row>
    <row r="135" spans="1:6">
      <c r="A135" s="464"/>
      <c r="B135" s="464"/>
      <c r="C135" s="2" t="s">
        <v>315</v>
      </c>
      <c r="D135" s="2" t="s">
        <v>567</v>
      </c>
      <c r="E135" s="25" t="s">
        <v>3674</v>
      </c>
      <c r="F135" s="25" t="s">
        <v>3675</v>
      </c>
    </row>
    <row r="136" spans="1:6">
      <c r="A136" s="464"/>
      <c r="B136" s="464"/>
      <c r="C136" s="2" t="s">
        <v>348</v>
      </c>
      <c r="D136" s="2" t="s">
        <v>567</v>
      </c>
      <c r="E136" s="25" t="s">
        <v>3674</v>
      </c>
      <c r="F136" s="25" t="s">
        <v>3676</v>
      </c>
    </row>
    <row r="137" spans="1:6">
      <c r="A137" s="464"/>
      <c r="B137" s="464"/>
      <c r="C137" s="2" t="s">
        <v>339</v>
      </c>
      <c r="D137" s="2" t="s">
        <v>567</v>
      </c>
      <c r="E137" s="25" t="s">
        <v>3677</v>
      </c>
      <c r="F137" s="25"/>
    </row>
    <row r="138" spans="1:6">
      <c r="A138" s="2" t="s">
        <v>3678</v>
      </c>
      <c r="C138" s="2" t="s">
        <v>339</v>
      </c>
      <c r="D138" s="2" t="s">
        <v>567</v>
      </c>
      <c r="E138" s="25" t="s">
        <v>3679</v>
      </c>
      <c r="F138" s="25" t="s">
        <v>3680</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G42:G49"/>
    <mergeCell ref="A3:A15"/>
    <mergeCell ref="A16:A28"/>
    <mergeCell ref="A29:A35"/>
    <mergeCell ref="B42:B49"/>
    <mergeCell ref="A36:A54"/>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B128:B137"/>
    <mergeCell ref="A128:A137"/>
    <mergeCell ref="B118:B127"/>
    <mergeCell ref="A118:A127"/>
    <mergeCell ref="B61:B67"/>
    <mergeCell ref="A61:A67"/>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6" customWidth="1"/>
    <col min="2" max="2" width="28.25" style="276" bestFit="1" customWidth="1"/>
    <col min="3" max="3" width="36.375" style="276" customWidth="1"/>
    <col min="4" max="4" width="15" style="276" customWidth="1"/>
    <col min="5" max="5" width="65.125" style="276" bestFit="1" customWidth="1"/>
    <col min="6" max="6" width="79.125" style="276" bestFit="1" customWidth="1"/>
    <col min="7" max="7" width="23.375" style="276" customWidth="1"/>
    <col min="8" max="8" width="15.375" style="276" customWidth="1"/>
    <col min="9" max="9" width="9.375" style="276" customWidth="1"/>
    <col min="10" max="10" width="10.625" style="276" customWidth="1"/>
    <col min="11" max="11" width="11.125" style="276" customWidth="1"/>
    <col min="12" max="12" width="15.875" style="276" customWidth="1"/>
    <col min="13" max="13" width="16.875" style="276" customWidth="1"/>
    <col min="14" max="14" width="11.75" style="276" customWidth="1"/>
    <col min="15" max="15" width="20" style="276" customWidth="1"/>
    <col min="16" max="16384" width="27.125" style="276"/>
  </cols>
  <sheetData>
    <row r="1" spans="1:17" ht="24" customHeight="1">
      <c r="A1" s="274" t="s">
        <v>539</v>
      </c>
      <c r="B1" s="274" t="s">
        <v>540</v>
      </c>
      <c r="C1" s="274" t="s">
        <v>541</v>
      </c>
      <c r="D1" s="274" t="s">
        <v>542</v>
      </c>
      <c r="E1" s="274" t="s">
        <v>543</v>
      </c>
      <c r="F1" s="274" t="s">
        <v>544</v>
      </c>
      <c r="G1" s="274" t="s">
        <v>545</v>
      </c>
      <c r="H1" s="275"/>
      <c r="I1" s="275"/>
      <c r="J1" s="275"/>
      <c r="K1" s="275"/>
      <c r="L1" s="275"/>
      <c r="M1" s="275"/>
      <c r="N1" s="275"/>
      <c r="O1" s="275"/>
      <c r="P1" s="275"/>
      <c r="Q1" s="275"/>
    </row>
    <row r="2" spans="1:17" ht="32.25" customHeight="1">
      <c r="A2" s="277" t="s">
        <v>546</v>
      </c>
      <c r="B2" s="277" t="s">
        <v>547</v>
      </c>
      <c r="C2" s="277" t="s">
        <v>548</v>
      </c>
      <c r="D2" s="277" t="s">
        <v>549</v>
      </c>
      <c r="E2" s="277" t="s">
        <v>550</v>
      </c>
      <c r="F2" s="277" t="s">
        <v>551</v>
      </c>
      <c r="G2" s="278"/>
      <c r="H2" s="279"/>
      <c r="I2" s="279"/>
      <c r="J2" s="279"/>
      <c r="K2" s="279"/>
      <c r="L2" s="279"/>
      <c r="M2" s="279"/>
      <c r="N2" s="279"/>
      <c r="O2" s="279"/>
      <c r="P2" s="279"/>
      <c r="Q2" s="279"/>
    </row>
    <row r="3" spans="1:17" hidden="1">
      <c r="A3" s="494"/>
      <c r="B3" s="279"/>
      <c r="C3" s="279"/>
      <c r="D3" s="280"/>
      <c r="E3" s="281"/>
      <c r="F3" s="281"/>
      <c r="G3" s="282"/>
      <c r="H3" s="279"/>
      <c r="I3" s="279"/>
      <c r="J3" s="279"/>
      <c r="K3" s="279"/>
      <c r="L3" s="279"/>
      <c r="M3" s="279"/>
      <c r="N3" s="279"/>
      <c r="O3" s="279"/>
      <c r="P3" s="279"/>
      <c r="Q3" s="279"/>
    </row>
    <row r="4" spans="1:17" hidden="1">
      <c r="A4" s="494"/>
      <c r="B4" s="279"/>
      <c r="C4" s="279"/>
      <c r="D4" s="279"/>
      <c r="E4" s="275"/>
      <c r="F4" s="275"/>
      <c r="G4" s="279"/>
      <c r="H4" s="279"/>
      <c r="I4" s="279"/>
      <c r="J4" s="279"/>
      <c r="K4" s="279"/>
      <c r="L4" s="279"/>
      <c r="M4" s="279"/>
      <c r="N4" s="279"/>
      <c r="O4" s="279"/>
      <c r="P4" s="279"/>
      <c r="Q4" s="279"/>
    </row>
    <row r="5" spans="1:17" hidden="1">
      <c r="A5" s="494"/>
      <c r="B5" s="279"/>
      <c r="C5" s="279"/>
      <c r="D5" s="280"/>
      <c r="E5" s="275"/>
      <c r="F5" s="275"/>
      <c r="G5" s="279"/>
      <c r="H5" s="279"/>
      <c r="I5" s="279"/>
      <c r="J5" s="279"/>
      <c r="K5" s="279"/>
      <c r="L5" s="279"/>
      <c r="M5" s="279"/>
      <c r="N5" s="279"/>
      <c r="O5" s="279"/>
      <c r="P5" s="279"/>
      <c r="Q5" s="279"/>
    </row>
    <row r="6" spans="1:17" hidden="1">
      <c r="A6" s="494"/>
      <c r="B6" s="279"/>
      <c r="C6" s="279"/>
      <c r="D6" s="280"/>
      <c r="E6" s="281"/>
      <c r="F6" s="281"/>
      <c r="G6" s="279"/>
      <c r="H6" s="279"/>
      <c r="I6" s="279"/>
      <c r="J6" s="279"/>
      <c r="K6" s="279"/>
      <c r="L6" s="279"/>
      <c r="M6" s="279"/>
      <c r="N6" s="279"/>
      <c r="O6" s="279"/>
      <c r="P6" s="279"/>
      <c r="Q6" s="279"/>
    </row>
    <row r="7" spans="1:17" hidden="1">
      <c r="A7" s="494"/>
      <c r="B7" s="279"/>
      <c r="C7" s="279"/>
      <c r="D7" s="280"/>
      <c r="E7" s="281"/>
      <c r="F7" s="281"/>
      <c r="G7" s="279"/>
      <c r="H7" s="279"/>
      <c r="I7" s="279"/>
      <c r="J7" s="279"/>
      <c r="K7" s="279"/>
      <c r="L7" s="279"/>
      <c r="M7" s="279"/>
      <c r="N7" s="279"/>
      <c r="O7" s="279"/>
      <c r="P7" s="279"/>
      <c r="Q7" s="279"/>
    </row>
    <row r="8" spans="1:17" hidden="1">
      <c r="A8" s="494"/>
      <c r="B8" s="494"/>
      <c r="C8" s="279"/>
      <c r="D8" s="280"/>
      <c r="E8" s="281"/>
      <c r="F8" s="281"/>
      <c r="G8" s="501"/>
      <c r="H8" s="279"/>
      <c r="I8" s="279"/>
      <c r="J8" s="279"/>
      <c r="K8" s="279"/>
      <c r="L8" s="279"/>
      <c r="M8" s="279"/>
      <c r="N8" s="279"/>
      <c r="O8" s="279"/>
      <c r="P8" s="279"/>
      <c r="Q8" s="279"/>
    </row>
    <row r="9" spans="1:17" hidden="1">
      <c r="A9" s="494"/>
      <c r="B9" s="494"/>
      <c r="C9" s="279"/>
      <c r="D9" s="280"/>
      <c r="E9" s="281"/>
      <c r="F9" s="281"/>
      <c r="G9" s="501"/>
      <c r="H9" s="279"/>
      <c r="I9" s="279"/>
      <c r="J9" s="279"/>
      <c r="K9" s="279"/>
      <c r="L9" s="279"/>
      <c r="M9" s="279"/>
      <c r="N9" s="279"/>
      <c r="O9" s="279"/>
      <c r="P9" s="279"/>
      <c r="Q9" s="279"/>
    </row>
    <row r="10" spans="1:17" hidden="1">
      <c r="A10" s="494"/>
      <c r="B10" s="494"/>
      <c r="C10" s="279"/>
      <c r="D10" s="280"/>
      <c r="E10" s="281"/>
      <c r="F10" s="281"/>
      <c r="G10" s="501"/>
      <c r="H10" s="279"/>
      <c r="I10" s="279"/>
      <c r="J10" s="279"/>
      <c r="K10" s="279"/>
      <c r="L10" s="279"/>
      <c r="M10" s="279"/>
      <c r="N10" s="279"/>
      <c r="O10" s="279"/>
      <c r="P10" s="279"/>
      <c r="Q10" s="279"/>
    </row>
    <row r="11" spans="1:17" hidden="1">
      <c r="A11" s="494"/>
      <c r="B11" s="494"/>
      <c r="C11" s="279"/>
      <c r="D11" s="280"/>
      <c r="E11" s="281"/>
      <c r="F11" s="281"/>
      <c r="G11" s="501"/>
      <c r="H11" s="279"/>
      <c r="I11" s="279"/>
      <c r="J11" s="279"/>
      <c r="K11" s="279"/>
      <c r="L11" s="279"/>
      <c r="M11" s="279"/>
      <c r="N11" s="279"/>
      <c r="O11" s="279"/>
      <c r="P11" s="279"/>
      <c r="Q11" s="279"/>
    </row>
    <row r="12" spans="1:17" hidden="1">
      <c r="A12" s="494"/>
      <c r="B12" s="494"/>
      <c r="C12" s="279"/>
      <c r="D12" s="280"/>
      <c r="E12" s="281"/>
      <c r="F12" s="281"/>
      <c r="G12" s="501"/>
      <c r="H12" s="279"/>
      <c r="I12" s="279"/>
      <c r="J12" s="279"/>
      <c r="K12" s="279"/>
      <c r="L12" s="279"/>
      <c r="M12" s="279"/>
      <c r="N12" s="279"/>
      <c r="O12" s="279"/>
      <c r="P12" s="279"/>
      <c r="Q12" s="279"/>
    </row>
    <row r="13" spans="1:17" hidden="1">
      <c r="A13" s="494"/>
      <c r="B13" s="494"/>
      <c r="C13" s="279"/>
      <c r="D13" s="280"/>
      <c r="E13" s="281"/>
      <c r="F13" s="281"/>
      <c r="G13" s="501"/>
      <c r="H13" s="279"/>
      <c r="I13" s="279"/>
      <c r="J13" s="279"/>
      <c r="K13" s="279"/>
      <c r="L13" s="279"/>
      <c r="M13" s="279"/>
      <c r="N13" s="279"/>
      <c r="O13" s="279"/>
      <c r="P13" s="279"/>
      <c r="Q13" s="279"/>
    </row>
    <row r="14" spans="1:17" hidden="1">
      <c r="A14" s="494"/>
      <c r="B14" s="494"/>
      <c r="C14" s="279"/>
      <c r="D14" s="280"/>
      <c r="E14" s="281"/>
      <c r="F14" s="281"/>
      <c r="G14" s="501"/>
      <c r="H14" s="279"/>
      <c r="I14" s="279"/>
      <c r="J14" s="279"/>
      <c r="K14" s="279"/>
      <c r="L14" s="279"/>
      <c r="M14" s="279"/>
      <c r="N14" s="279"/>
      <c r="O14" s="279"/>
      <c r="P14" s="279"/>
      <c r="Q14" s="279"/>
    </row>
    <row r="15" spans="1:17" hidden="1">
      <c r="A15" s="494"/>
      <c r="B15" s="494"/>
      <c r="C15" s="279"/>
      <c r="D15" s="280"/>
      <c r="E15" s="281"/>
      <c r="F15" s="281"/>
      <c r="G15" s="501"/>
      <c r="H15" s="279"/>
      <c r="I15" s="279"/>
      <c r="J15" s="279"/>
      <c r="K15" s="279"/>
      <c r="L15" s="279"/>
      <c r="M15" s="279"/>
      <c r="N15" s="279"/>
      <c r="O15" s="279"/>
      <c r="P15" s="279"/>
      <c r="Q15" s="279"/>
    </row>
    <row r="16" spans="1:17" hidden="1">
      <c r="A16" s="494"/>
      <c r="B16" s="279"/>
      <c r="C16" s="279"/>
      <c r="D16" s="279"/>
      <c r="E16" s="275"/>
      <c r="F16" s="275"/>
      <c r="G16" s="279"/>
      <c r="H16" s="279"/>
      <c r="I16" s="279"/>
      <c r="J16" s="279"/>
      <c r="K16" s="279"/>
      <c r="L16" s="279"/>
      <c r="M16" s="279"/>
      <c r="N16" s="279"/>
      <c r="O16" s="279"/>
      <c r="P16" s="279"/>
      <c r="Q16" s="279"/>
    </row>
    <row r="17" spans="1:17" hidden="1">
      <c r="A17" s="494"/>
      <c r="B17" s="279"/>
      <c r="C17" s="279"/>
      <c r="D17" s="279"/>
      <c r="E17" s="275"/>
      <c r="F17" s="275"/>
      <c r="G17" s="279"/>
      <c r="H17" s="279"/>
      <c r="I17" s="279"/>
      <c r="J17" s="279"/>
      <c r="K17" s="279"/>
      <c r="L17" s="279"/>
      <c r="M17" s="279"/>
      <c r="N17" s="279"/>
      <c r="O17" s="279"/>
      <c r="P17" s="279"/>
      <c r="Q17" s="279"/>
    </row>
    <row r="18" spans="1:17" hidden="1">
      <c r="A18" s="494"/>
      <c r="B18" s="279"/>
      <c r="C18" s="279"/>
      <c r="D18" s="279"/>
      <c r="E18" s="275"/>
      <c r="F18" s="275"/>
      <c r="G18" s="279"/>
      <c r="H18" s="279"/>
      <c r="I18" s="279"/>
      <c r="J18" s="279"/>
      <c r="K18" s="279"/>
      <c r="L18" s="279"/>
      <c r="M18" s="279"/>
      <c r="N18" s="279"/>
      <c r="O18" s="279"/>
      <c r="P18" s="279"/>
      <c r="Q18" s="279"/>
    </row>
    <row r="19" spans="1:17" hidden="1">
      <c r="A19" s="494"/>
      <c r="B19" s="279"/>
      <c r="C19" s="279"/>
      <c r="D19" s="279"/>
      <c r="E19" s="281"/>
      <c r="F19" s="281"/>
      <c r="G19" s="279"/>
      <c r="H19" s="279"/>
      <c r="I19" s="279"/>
      <c r="J19" s="279"/>
      <c r="K19" s="279"/>
      <c r="L19" s="279"/>
      <c r="M19" s="279"/>
      <c r="N19" s="279"/>
      <c r="O19" s="279"/>
      <c r="P19" s="279"/>
      <c r="Q19" s="279"/>
    </row>
    <row r="20" spans="1:17" hidden="1">
      <c r="A20" s="494"/>
      <c r="B20" s="279"/>
      <c r="C20" s="279"/>
      <c r="D20" s="279"/>
      <c r="E20" s="275"/>
      <c r="F20" s="275"/>
      <c r="G20" s="279"/>
      <c r="H20" s="279"/>
      <c r="I20" s="279"/>
      <c r="J20" s="279"/>
      <c r="K20" s="279"/>
      <c r="L20" s="279"/>
      <c r="M20" s="279"/>
      <c r="N20" s="279"/>
      <c r="O20" s="279"/>
      <c r="P20" s="279"/>
      <c r="Q20" s="279"/>
    </row>
    <row r="21" spans="1:17" hidden="1">
      <c r="A21" s="503"/>
      <c r="B21" s="279"/>
      <c r="C21" s="279"/>
      <c r="D21" s="279"/>
      <c r="E21" s="275"/>
      <c r="F21" s="275"/>
      <c r="G21" s="279"/>
      <c r="H21" s="279"/>
      <c r="I21" s="279"/>
      <c r="J21" s="279"/>
      <c r="K21" s="279"/>
      <c r="L21" s="279"/>
      <c r="M21" s="279"/>
      <c r="N21" s="279"/>
      <c r="O21" s="279"/>
      <c r="P21" s="279"/>
      <c r="Q21" s="279"/>
    </row>
    <row r="22" spans="1:17" hidden="1">
      <c r="A22" s="494"/>
      <c r="B22" s="279"/>
      <c r="C22" s="279"/>
      <c r="D22" s="279"/>
      <c r="E22" s="275"/>
      <c r="F22" s="275"/>
      <c r="G22" s="502"/>
      <c r="H22" s="279"/>
      <c r="I22" s="279"/>
      <c r="J22" s="279"/>
      <c r="K22" s="279"/>
      <c r="L22" s="279"/>
      <c r="M22" s="279"/>
      <c r="N22" s="279"/>
      <c r="O22" s="279"/>
      <c r="P22" s="279"/>
      <c r="Q22" s="279"/>
    </row>
    <row r="23" spans="1:17" hidden="1">
      <c r="A23" s="494"/>
      <c r="B23" s="279"/>
      <c r="C23" s="279"/>
      <c r="D23" s="279"/>
      <c r="E23" s="275"/>
      <c r="F23" s="275"/>
      <c r="G23" s="502"/>
      <c r="H23" s="279"/>
      <c r="I23" s="279"/>
      <c r="J23" s="279"/>
      <c r="K23" s="279"/>
      <c r="L23" s="279"/>
      <c r="M23" s="279"/>
      <c r="N23" s="279"/>
      <c r="O23" s="279"/>
      <c r="P23" s="279"/>
      <c r="Q23" s="279"/>
    </row>
    <row r="24" spans="1:17" hidden="1">
      <c r="A24" s="494"/>
      <c r="B24" s="279"/>
      <c r="C24" s="279"/>
      <c r="D24" s="279"/>
      <c r="E24" s="275"/>
      <c r="F24" s="275"/>
      <c r="G24" s="279"/>
      <c r="H24" s="279"/>
      <c r="I24" s="279"/>
      <c r="J24" s="279"/>
      <c r="K24" s="279"/>
      <c r="L24" s="279"/>
      <c r="M24" s="279"/>
      <c r="N24" s="279"/>
      <c r="O24" s="279"/>
      <c r="P24" s="279"/>
      <c r="Q24" s="279"/>
    </row>
    <row r="25" spans="1:17" hidden="1">
      <c r="A25" s="494"/>
      <c r="B25" s="279"/>
      <c r="C25" s="279"/>
      <c r="D25" s="279"/>
      <c r="E25" s="275"/>
      <c r="F25" s="275"/>
      <c r="G25" s="279"/>
      <c r="H25" s="279"/>
      <c r="I25" s="279"/>
      <c r="J25" s="279"/>
      <c r="K25" s="279"/>
      <c r="L25" s="279"/>
      <c r="M25" s="279"/>
      <c r="N25" s="279"/>
      <c r="O25" s="279"/>
      <c r="P25" s="279"/>
      <c r="Q25" s="279"/>
    </row>
    <row r="26" spans="1:17" hidden="1">
      <c r="A26" s="494"/>
      <c r="B26" s="279"/>
      <c r="C26" s="279"/>
      <c r="D26" s="279"/>
      <c r="E26" s="275"/>
      <c r="F26" s="275"/>
      <c r="G26" s="279"/>
      <c r="H26" s="279"/>
      <c r="I26" s="279"/>
      <c r="J26" s="279"/>
      <c r="K26" s="279"/>
      <c r="L26" s="279"/>
      <c r="M26" s="279"/>
      <c r="N26" s="279"/>
      <c r="O26" s="279"/>
      <c r="P26" s="279"/>
      <c r="Q26" s="279"/>
    </row>
    <row r="27" spans="1:17" hidden="1">
      <c r="A27" s="494"/>
      <c r="B27" s="494"/>
      <c r="C27" s="279"/>
      <c r="D27" s="279"/>
      <c r="E27" s="275"/>
      <c r="F27" s="275"/>
      <c r="G27" s="275"/>
      <c r="H27" s="279"/>
      <c r="I27" s="279"/>
      <c r="J27" s="279"/>
      <c r="K27" s="279"/>
      <c r="L27" s="279"/>
      <c r="M27" s="279"/>
      <c r="N27" s="279"/>
      <c r="O27" s="279"/>
      <c r="P27" s="279"/>
      <c r="Q27" s="279"/>
    </row>
    <row r="28" spans="1:17" hidden="1">
      <c r="A28" s="494"/>
      <c r="B28" s="494"/>
      <c r="C28" s="279"/>
      <c r="D28" s="279"/>
      <c r="E28" s="275"/>
      <c r="F28" s="275"/>
      <c r="G28" s="279"/>
      <c r="H28" s="279"/>
      <c r="I28" s="279"/>
      <c r="J28" s="279"/>
      <c r="K28" s="279"/>
      <c r="L28" s="279"/>
      <c r="M28" s="279"/>
      <c r="N28" s="279"/>
      <c r="O28" s="279"/>
      <c r="P28" s="279"/>
      <c r="Q28" s="279"/>
    </row>
    <row r="29" spans="1:17" hidden="1">
      <c r="A29" s="494"/>
      <c r="B29" s="494"/>
      <c r="C29" s="279"/>
      <c r="D29" s="279"/>
      <c r="E29" s="275"/>
      <c r="F29" s="275"/>
      <c r="G29" s="279"/>
      <c r="H29" s="279"/>
      <c r="I29" s="279"/>
      <c r="J29" s="279"/>
      <c r="K29" s="279"/>
      <c r="L29" s="279"/>
      <c r="M29" s="279"/>
      <c r="N29" s="279"/>
      <c r="O29" s="279"/>
      <c r="P29" s="279"/>
      <c r="Q29" s="279"/>
    </row>
    <row r="30" spans="1:17" hidden="1">
      <c r="A30" s="494"/>
      <c r="B30" s="494"/>
      <c r="C30" s="279"/>
      <c r="D30" s="279"/>
      <c r="E30" s="275"/>
      <c r="F30" s="275"/>
      <c r="G30" s="279"/>
      <c r="H30" s="279"/>
      <c r="I30" s="279"/>
      <c r="J30" s="279"/>
      <c r="K30" s="279"/>
      <c r="L30" s="279"/>
      <c r="M30" s="279"/>
      <c r="N30" s="279"/>
      <c r="O30" s="279"/>
      <c r="P30" s="279"/>
      <c r="Q30" s="279"/>
    </row>
    <row r="31" spans="1:17" hidden="1">
      <c r="A31" s="494"/>
      <c r="B31" s="494"/>
      <c r="C31" s="279"/>
      <c r="D31" s="279"/>
      <c r="E31" s="275"/>
      <c r="F31" s="275"/>
      <c r="G31" s="279"/>
      <c r="H31" s="279"/>
      <c r="I31" s="279"/>
      <c r="J31" s="279"/>
      <c r="K31" s="279"/>
      <c r="L31" s="279"/>
      <c r="M31" s="279"/>
      <c r="N31" s="279"/>
      <c r="O31" s="279"/>
      <c r="P31" s="279"/>
      <c r="Q31" s="279"/>
    </row>
    <row r="32" spans="1:17" hidden="1">
      <c r="A32" s="494"/>
      <c r="B32" s="494"/>
      <c r="C32" s="279"/>
      <c r="D32" s="279"/>
      <c r="E32" s="275"/>
      <c r="F32" s="275"/>
      <c r="G32" s="279"/>
      <c r="H32" s="279"/>
      <c r="I32" s="279"/>
      <c r="J32" s="279"/>
      <c r="K32" s="279"/>
      <c r="L32" s="279"/>
      <c r="M32" s="279"/>
      <c r="N32" s="279"/>
      <c r="O32" s="279"/>
      <c r="P32" s="279"/>
      <c r="Q32" s="279"/>
    </row>
    <row r="33" spans="1:17" hidden="1">
      <c r="A33" s="494"/>
      <c r="B33" s="494"/>
      <c r="C33" s="279"/>
      <c r="D33" s="279"/>
      <c r="E33" s="275"/>
      <c r="F33" s="275"/>
      <c r="G33" s="279"/>
      <c r="H33" s="279"/>
      <c r="I33" s="279"/>
      <c r="J33" s="279"/>
      <c r="K33" s="279"/>
      <c r="L33" s="279"/>
      <c r="M33" s="279"/>
      <c r="N33" s="279"/>
      <c r="O33" s="279"/>
      <c r="P33" s="279"/>
      <c r="Q33" s="279"/>
    </row>
    <row r="34" spans="1:17" hidden="1">
      <c r="A34" s="494"/>
      <c r="B34" s="502"/>
      <c r="C34" s="279"/>
      <c r="D34" s="279"/>
      <c r="E34" s="275"/>
      <c r="F34" s="275"/>
      <c r="G34" s="279"/>
      <c r="H34" s="279"/>
      <c r="I34" s="279"/>
      <c r="J34" s="279"/>
      <c r="K34" s="279"/>
      <c r="L34" s="279"/>
      <c r="M34" s="279"/>
      <c r="N34" s="279"/>
      <c r="O34" s="279"/>
      <c r="P34" s="279"/>
      <c r="Q34" s="279"/>
    </row>
    <row r="35" spans="1:17" hidden="1">
      <c r="A35" s="494"/>
      <c r="B35" s="502"/>
      <c r="C35" s="279"/>
      <c r="D35" s="279"/>
      <c r="E35" s="275"/>
      <c r="F35" s="275"/>
      <c r="G35" s="504"/>
      <c r="H35" s="279"/>
      <c r="I35" s="279"/>
      <c r="J35" s="279"/>
      <c r="K35" s="279"/>
      <c r="L35" s="279"/>
      <c r="M35" s="279"/>
      <c r="N35" s="279"/>
      <c r="O35" s="279"/>
      <c r="P35" s="279"/>
      <c r="Q35" s="279"/>
    </row>
    <row r="36" spans="1:17" hidden="1">
      <c r="A36" s="494"/>
      <c r="B36" s="502"/>
      <c r="C36" s="279"/>
      <c r="D36" s="279"/>
      <c r="E36" s="275"/>
      <c r="F36" s="275"/>
      <c r="G36" s="504"/>
      <c r="H36" s="279"/>
      <c r="I36" s="279"/>
      <c r="J36" s="279"/>
      <c r="K36" s="279"/>
      <c r="L36" s="279"/>
      <c r="M36" s="279"/>
      <c r="N36" s="279"/>
      <c r="O36" s="279"/>
      <c r="P36" s="279"/>
      <c r="Q36" s="279"/>
    </row>
    <row r="37" spans="1:17">
      <c r="A37" s="502" t="s">
        <v>3681</v>
      </c>
      <c r="B37" s="494" t="s">
        <v>1283</v>
      </c>
      <c r="C37" s="283" t="s">
        <v>3682</v>
      </c>
      <c r="D37" s="284" t="s">
        <v>3683</v>
      </c>
      <c r="E37" s="283" t="s">
        <v>3684</v>
      </c>
      <c r="F37" s="283" t="s">
        <v>3685</v>
      </c>
      <c r="G37" s="279"/>
      <c r="H37" s="279"/>
      <c r="I37" s="279"/>
      <c r="J37" s="279"/>
      <c r="K37" s="279"/>
      <c r="L37" s="279"/>
      <c r="M37" s="279"/>
      <c r="N37" s="279"/>
      <c r="O37" s="279"/>
      <c r="P37" s="279"/>
      <c r="Q37" s="279"/>
    </row>
    <row r="38" spans="1:17">
      <c r="A38" s="502"/>
      <c r="B38" s="494"/>
      <c r="C38" s="283" t="s">
        <v>3686</v>
      </c>
      <c r="D38" s="284" t="s">
        <v>3683</v>
      </c>
      <c r="E38" s="283" t="s">
        <v>3687</v>
      </c>
      <c r="F38" s="283" t="s">
        <v>3688</v>
      </c>
      <c r="G38" s="279"/>
      <c r="H38" s="279"/>
      <c r="I38" s="279"/>
      <c r="J38" s="279"/>
      <c r="K38" s="279"/>
      <c r="L38" s="279"/>
      <c r="M38" s="279"/>
      <c r="N38" s="279"/>
      <c r="O38" s="279"/>
      <c r="P38" s="279"/>
      <c r="Q38" s="279"/>
    </row>
    <row r="39" spans="1:17">
      <c r="A39" s="502"/>
      <c r="B39" s="494"/>
      <c r="C39" s="283" t="s">
        <v>3689</v>
      </c>
      <c r="D39" s="284" t="s">
        <v>3683</v>
      </c>
      <c r="E39" s="283" t="s">
        <v>3687</v>
      </c>
      <c r="F39" s="283" t="s">
        <v>3688</v>
      </c>
      <c r="G39" s="279"/>
      <c r="H39" s="279"/>
      <c r="I39" s="279"/>
      <c r="J39" s="279"/>
      <c r="K39" s="279"/>
      <c r="L39" s="279"/>
      <c r="M39" s="279"/>
      <c r="N39" s="279"/>
      <c r="O39" s="279"/>
      <c r="P39" s="279"/>
      <c r="Q39" s="279"/>
    </row>
    <row r="40" spans="1:17">
      <c r="A40" s="502"/>
      <c r="B40" s="494"/>
      <c r="C40" s="283" t="s">
        <v>2961</v>
      </c>
      <c r="D40" s="284" t="s">
        <v>3683</v>
      </c>
      <c r="E40" s="283" t="s">
        <v>3690</v>
      </c>
      <c r="F40" s="283" t="s">
        <v>3688</v>
      </c>
      <c r="G40" s="279"/>
      <c r="H40" s="279"/>
      <c r="I40" s="279"/>
      <c r="J40" s="279"/>
      <c r="K40" s="279"/>
      <c r="L40" s="279"/>
      <c r="M40" s="279"/>
      <c r="N40" s="279"/>
      <c r="O40" s="279"/>
      <c r="P40" s="279"/>
      <c r="Q40" s="279"/>
    </row>
    <row r="41" spans="1:17">
      <c r="A41" s="502"/>
      <c r="B41" s="494"/>
      <c r="C41" s="283" t="s">
        <v>2120</v>
      </c>
      <c r="D41" s="284" t="s">
        <v>3683</v>
      </c>
      <c r="E41" s="283" t="s">
        <v>3691</v>
      </c>
      <c r="F41" s="283" t="s">
        <v>3688</v>
      </c>
      <c r="G41" s="279"/>
      <c r="H41" s="279"/>
      <c r="I41" s="279"/>
      <c r="J41" s="279"/>
      <c r="K41" s="279"/>
      <c r="L41" s="279"/>
      <c r="M41" s="279"/>
      <c r="N41" s="279"/>
      <c r="O41" s="279"/>
      <c r="P41" s="279"/>
      <c r="Q41" s="279"/>
    </row>
    <row r="42" spans="1:17">
      <c r="A42" s="502"/>
      <c r="B42" s="494"/>
      <c r="C42" s="283" t="s">
        <v>2968</v>
      </c>
      <c r="D42" s="284" t="s">
        <v>3683</v>
      </c>
      <c r="E42" s="283" t="s">
        <v>3692</v>
      </c>
      <c r="F42" s="283" t="s">
        <v>3693</v>
      </c>
      <c r="G42" s="279"/>
      <c r="H42" s="279"/>
      <c r="I42" s="279"/>
      <c r="J42" s="279"/>
      <c r="K42" s="279"/>
      <c r="L42" s="279"/>
      <c r="M42" s="279"/>
      <c r="N42" s="279"/>
      <c r="O42" s="279"/>
      <c r="P42" s="279"/>
      <c r="Q42" s="279"/>
    </row>
    <row r="43" spans="1:17">
      <c r="A43" s="502"/>
      <c r="B43" s="494"/>
      <c r="C43" s="283" t="s">
        <v>3694</v>
      </c>
      <c r="D43" s="284" t="s">
        <v>3683</v>
      </c>
      <c r="E43" s="283" t="s">
        <v>3695</v>
      </c>
      <c r="F43" s="283" t="s">
        <v>3696</v>
      </c>
      <c r="G43" s="279"/>
      <c r="H43" s="279"/>
      <c r="I43" s="279"/>
      <c r="J43" s="279"/>
      <c r="K43" s="279"/>
      <c r="L43" s="279"/>
      <c r="M43" s="279"/>
      <c r="N43" s="279"/>
      <c r="O43" s="279"/>
      <c r="P43" s="279"/>
      <c r="Q43" s="279"/>
    </row>
    <row r="44" spans="1:17" ht="49.5" customHeight="1">
      <c r="A44" s="502"/>
      <c r="B44" s="494"/>
      <c r="C44" s="285" t="s">
        <v>3697</v>
      </c>
      <c r="D44" s="284" t="s">
        <v>3683</v>
      </c>
      <c r="E44" s="286" t="s">
        <v>3698</v>
      </c>
      <c r="F44" s="286" t="s">
        <v>3699</v>
      </c>
      <c r="G44" s="279"/>
      <c r="H44" s="279"/>
      <c r="I44" s="279"/>
      <c r="J44" s="279"/>
      <c r="K44" s="279"/>
      <c r="L44" s="279"/>
      <c r="M44" s="279"/>
      <c r="N44" s="279"/>
      <c r="O44" s="279"/>
      <c r="P44" s="279"/>
      <c r="Q44" s="279"/>
    </row>
    <row r="45" spans="1:17">
      <c r="A45" s="502"/>
      <c r="B45" s="494"/>
      <c r="C45" s="283" t="s">
        <v>2990</v>
      </c>
      <c r="D45" s="284" t="s">
        <v>3683</v>
      </c>
      <c r="E45" s="283" t="s">
        <v>3700</v>
      </c>
      <c r="F45" s="283" t="s">
        <v>3701</v>
      </c>
      <c r="G45" s="279"/>
      <c r="H45" s="279"/>
      <c r="I45" s="279"/>
      <c r="J45" s="279"/>
      <c r="K45" s="279"/>
      <c r="L45" s="279"/>
      <c r="M45" s="279"/>
      <c r="N45" s="279"/>
      <c r="O45" s="279"/>
      <c r="P45" s="279"/>
      <c r="Q45" s="279"/>
    </row>
    <row r="46" spans="1:17">
      <c r="A46" s="502"/>
      <c r="B46" s="494"/>
      <c r="C46" s="283" t="s">
        <v>3702</v>
      </c>
      <c r="D46" s="284" t="s">
        <v>3683</v>
      </c>
      <c r="E46" s="287" t="s">
        <v>3703</v>
      </c>
      <c r="F46" s="283" t="s">
        <v>3704</v>
      </c>
      <c r="G46" s="279"/>
      <c r="H46" s="279"/>
      <c r="I46" s="279"/>
      <c r="J46" s="279"/>
      <c r="K46" s="279"/>
      <c r="L46" s="279"/>
      <c r="M46" s="279"/>
      <c r="N46" s="279"/>
      <c r="O46" s="279"/>
      <c r="P46" s="279"/>
      <c r="Q46" s="279"/>
    </row>
    <row r="47" spans="1:17">
      <c r="A47" s="502"/>
      <c r="B47" s="494"/>
      <c r="C47" s="285" t="s">
        <v>2997</v>
      </c>
      <c r="D47" s="284" t="s">
        <v>3683</v>
      </c>
      <c r="E47" s="287" t="s">
        <v>3705</v>
      </c>
      <c r="F47" s="283" t="s">
        <v>3706</v>
      </c>
      <c r="G47" s="279"/>
      <c r="H47" s="279"/>
      <c r="I47" s="279"/>
      <c r="J47" s="279"/>
      <c r="K47" s="279"/>
      <c r="L47" s="279"/>
      <c r="M47" s="279"/>
      <c r="N47" s="279"/>
      <c r="O47" s="279"/>
      <c r="P47" s="279"/>
      <c r="Q47" s="279"/>
    </row>
    <row r="48" spans="1:17">
      <c r="A48" s="502"/>
      <c r="B48" s="494"/>
      <c r="C48" s="283" t="s">
        <v>3003</v>
      </c>
      <c r="D48" s="284" t="s">
        <v>3683</v>
      </c>
      <c r="E48" s="288" t="s">
        <v>3707</v>
      </c>
      <c r="F48" s="283" t="s">
        <v>1272</v>
      </c>
      <c r="G48" s="279"/>
      <c r="H48" s="279"/>
      <c r="I48" s="279"/>
      <c r="J48" s="279"/>
      <c r="K48" s="279"/>
      <c r="L48" s="279"/>
      <c r="M48" s="279"/>
      <c r="N48" s="279"/>
      <c r="O48" s="279"/>
      <c r="P48" s="279"/>
      <c r="Q48" s="279"/>
    </row>
    <row r="49" spans="1:17">
      <c r="A49" s="502"/>
      <c r="B49" s="494"/>
      <c r="C49" s="283" t="s">
        <v>3708</v>
      </c>
      <c r="D49" s="284" t="s">
        <v>3683</v>
      </c>
      <c r="E49" s="283" t="s">
        <v>3709</v>
      </c>
      <c r="F49" s="283"/>
      <c r="G49" s="279"/>
      <c r="H49" s="279"/>
      <c r="I49" s="279"/>
      <c r="J49" s="279"/>
      <c r="K49" s="279"/>
      <c r="L49" s="279"/>
      <c r="M49" s="279"/>
      <c r="N49" s="279"/>
      <c r="O49" s="279"/>
      <c r="P49" s="279"/>
      <c r="Q49" s="279"/>
    </row>
    <row r="50" spans="1:17">
      <c r="A50" s="502"/>
      <c r="B50" s="494"/>
      <c r="C50" s="283" t="s">
        <v>3710</v>
      </c>
      <c r="D50" s="284" t="s">
        <v>3683</v>
      </c>
      <c r="E50" s="283" t="s">
        <v>3711</v>
      </c>
      <c r="F50" s="283" t="s">
        <v>3712</v>
      </c>
      <c r="G50" s="279"/>
      <c r="H50" s="279"/>
      <c r="I50" s="279"/>
      <c r="J50" s="279"/>
      <c r="K50" s="279"/>
      <c r="L50" s="279"/>
      <c r="M50" s="279"/>
      <c r="N50" s="279"/>
      <c r="O50" s="279"/>
      <c r="P50" s="279"/>
      <c r="Q50" s="279"/>
    </row>
    <row r="51" spans="1:17">
      <c r="A51" s="502"/>
      <c r="B51" s="494"/>
      <c r="C51" s="289" t="s">
        <v>3018</v>
      </c>
      <c r="D51" s="284" t="s">
        <v>3683</v>
      </c>
      <c r="E51" s="283" t="s">
        <v>3713</v>
      </c>
      <c r="F51" s="283"/>
      <c r="G51" s="279"/>
      <c r="H51" s="279"/>
      <c r="I51" s="279"/>
      <c r="J51" s="279"/>
      <c r="K51" s="279"/>
      <c r="L51" s="279"/>
      <c r="M51" s="279"/>
      <c r="N51" s="279"/>
      <c r="O51" s="279"/>
      <c r="P51" s="279"/>
      <c r="Q51" s="279"/>
    </row>
    <row r="52" spans="1:17">
      <c r="A52" s="502"/>
      <c r="B52" s="494"/>
      <c r="C52" s="289" t="s">
        <v>2018</v>
      </c>
      <c r="D52" s="284" t="s">
        <v>3683</v>
      </c>
      <c r="E52" s="283" t="s">
        <v>3714</v>
      </c>
      <c r="F52" s="283" t="s">
        <v>3715</v>
      </c>
      <c r="G52" s="279"/>
      <c r="H52" s="279"/>
      <c r="I52" s="279"/>
      <c r="J52" s="279"/>
      <c r="K52" s="279"/>
      <c r="L52" s="279"/>
      <c r="M52" s="279"/>
      <c r="N52" s="279"/>
      <c r="O52" s="279"/>
      <c r="P52" s="279"/>
      <c r="Q52" s="279"/>
    </row>
    <row r="53" spans="1:17">
      <c r="A53" s="502"/>
      <c r="B53" s="494"/>
      <c r="C53" s="289" t="s">
        <v>3716</v>
      </c>
      <c r="D53" s="284" t="s">
        <v>3683</v>
      </c>
      <c r="E53" s="283" t="s">
        <v>3717</v>
      </c>
      <c r="F53" s="283" t="s">
        <v>3718</v>
      </c>
      <c r="G53" s="279"/>
      <c r="H53" s="279"/>
      <c r="I53" s="279"/>
      <c r="J53" s="279"/>
      <c r="K53" s="279"/>
      <c r="L53" s="279"/>
      <c r="M53" s="279"/>
      <c r="N53" s="279"/>
      <c r="O53" s="279"/>
      <c r="P53" s="279"/>
      <c r="Q53" s="279"/>
    </row>
    <row r="54" spans="1:17">
      <c r="A54" s="502"/>
      <c r="B54" s="494"/>
      <c r="C54" s="283" t="s">
        <v>3719</v>
      </c>
      <c r="D54" s="284" t="s">
        <v>3683</v>
      </c>
      <c r="E54" s="283" t="s">
        <v>3720</v>
      </c>
      <c r="F54" s="283"/>
      <c r="G54" s="279"/>
      <c r="H54" s="279"/>
      <c r="I54" s="279"/>
      <c r="J54" s="279"/>
      <c r="K54" s="279"/>
      <c r="L54" s="279"/>
      <c r="M54" s="279"/>
      <c r="N54" s="279"/>
      <c r="O54" s="279"/>
      <c r="P54" s="279"/>
      <c r="Q54" s="279"/>
    </row>
    <row r="55" spans="1:17">
      <c r="A55" s="502"/>
      <c r="B55" s="494"/>
      <c r="C55" s="290" t="s">
        <v>3030</v>
      </c>
      <c r="D55" s="284" t="s">
        <v>3683</v>
      </c>
      <c r="E55" s="283" t="s">
        <v>3721</v>
      </c>
      <c r="F55" s="283" t="s">
        <v>3693</v>
      </c>
      <c r="G55" s="279"/>
      <c r="H55" s="279"/>
      <c r="I55" s="279"/>
      <c r="J55" s="279"/>
      <c r="K55" s="279"/>
      <c r="L55" s="279"/>
      <c r="M55" s="279"/>
      <c r="N55" s="279"/>
      <c r="O55" s="279"/>
      <c r="P55" s="279"/>
      <c r="Q55" s="279"/>
    </row>
    <row r="56" spans="1:17">
      <c r="A56" s="502"/>
      <c r="B56" s="494"/>
      <c r="C56" s="290" t="s">
        <v>3034</v>
      </c>
      <c r="D56" s="284" t="s">
        <v>3683</v>
      </c>
      <c r="E56" s="283" t="s">
        <v>3722</v>
      </c>
      <c r="F56" s="283" t="s">
        <v>3693</v>
      </c>
      <c r="G56" s="279"/>
      <c r="H56" s="279"/>
      <c r="I56" s="279"/>
      <c r="J56" s="279"/>
      <c r="K56" s="279"/>
      <c r="L56" s="279"/>
      <c r="M56" s="279"/>
      <c r="N56" s="279"/>
      <c r="O56" s="279"/>
      <c r="P56" s="279"/>
      <c r="Q56" s="279"/>
    </row>
    <row r="57" spans="1:17">
      <c r="A57" s="502"/>
      <c r="B57" s="494"/>
      <c r="C57" s="290" t="s">
        <v>3039</v>
      </c>
      <c r="D57" s="284" t="s">
        <v>3683</v>
      </c>
      <c r="E57" s="283" t="s">
        <v>3721</v>
      </c>
      <c r="F57" s="283" t="s">
        <v>3688</v>
      </c>
      <c r="G57" s="279"/>
      <c r="H57" s="279"/>
      <c r="I57" s="279"/>
      <c r="J57" s="279"/>
      <c r="K57" s="279"/>
      <c r="L57" s="279"/>
      <c r="M57" s="279"/>
      <c r="N57" s="279"/>
      <c r="O57" s="279"/>
      <c r="P57" s="279"/>
      <c r="Q57" s="279"/>
    </row>
    <row r="58" spans="1:17">
      <c r="A58" s="502"/>
      <c r="B58" s="494"/>
      <c r="C58" s="290" t="s">
        <v>3043</v>
      </c>
      <c r="D58" s="284" t="s">
        <v>3683</v>
      </c>
      <c r="E58" s="283" t="s">
        <v>3723</v>
      </c>
      <c r="F58" s="283" t="s">
        <v>3724</v>
      </c>
      <c r="G58" s="279"/>
      <c r="H58" s="279"/>
      <c r="I58" s="279"/>
      <c r="J58" s="279"/>
      <c r="K58" s="279"/>
      <c r="L58" s="279"/>
      <c r="M58" s="279"/>
      <c r="N58" s="279"/>
      <c r="O58" s="279"/>
      <c r="P58" s="279"/>
      <c r="Q58" s="279"/>
    </row>
    <row r="59" spans="1:17">
      <c r="A59" s="502"/>
      <c r="B59" s="494"/>
      <c r="C59" s="290" t="s">
        <v>2102</v>
      </c>
      <c r="D59" s="284" t="s">
        <v>3683</v>
      </c>
      <c r="E59" s="283" t="s">
        <v>3725</v>
      </c>
      <c r="F59" s="283" t="s">
        <v>3726</v>
      </c>
      <c r="G59" s="279"/>
      <c r="H59" s="279"/>
      <c r="I59" s="279"/>
      <c r="J59" s="279"/>
      <c r="K59" s="279"/>
      <c r="L59" s="279"/>
      <c r="M59" s="279"/>
      <c r="N59" s="279"/>
      <c r="O59" s="279"/>
      <c r="P59" s="279"/>
      <c r="Q59" s="279"/>
    </row>
    <row r="60" spans="1:17">
      <c r="A60" s="502"/>
      <c r="B60" s="494"/>
      <c r="C60" s="285" t="s">
        <v>3048</v>
      </c>
      <c r="D60" s="284" t="s">
        <v>3683</v>
      </c>
      <c r="E60" s="287" t="s">
        <v>3727</v>
      </c>
      <c r="F60" s="283" t="s">
        <v>3728</v>
      </c>
      <c r="G60" s="279"/>
      <c r="H60" s="279"/>
      <c r="I60" s="279"/>
      <c r="J60" s="279"/>
      <c r="K60" s="279"/>
      <c r="L60" s="279"/>
      <c r="M60" s="279"/>
      <c r="N60" s="279"/>
      <c r="O60" s="279"/>
      <c r="P60" s="279"/>
      <c r="Q60" s="279"/>
    </row>
    <row r="61" spans="1:17">
      <c r="A61" s="502"/>
      <c r="B61" s="494"/>
      <c r="C61" s="283" t="s">
        <v>3729</v>
      </c>
      <c r="D61" s="284" t="s">
        <v>3683</v>
      </c>
      <c r="E61" s="283" t="s">
        <v>3730</v>
      </c>
      <c r="F61" s="283"/>
      <c r="G61" s="279"/>
      <c r="H61" s="279"/>
      <c r="I61" s="279"/>
      <c r="J61" s="279"/>
      <c r="K61" s="279"/>
      <c r="L61" s="279"/>
      <c r="M61" s="279"/>
      <c r="N61" s="279"/>
      <c r="O61" s="279"/>
      <c r="P61" s="279"/>
      <c r="Q61" s="279"/>
    </row>
    <row r="62" spans="1:17">
      <c r="A62" s="502"/>
      <c r="B62" s="494"/>
      <c r="C62" s="285" t="s">
        <v>3731</v>
      </c>
      <c r="D62" s="284" t="s">
        <v>3683</v>
      </c>
      <c r="E62" s="287" t="s">
        <v>3732</v>
      </c>
      <c r="F62" s="283" t="s">
        <v>3733</v>
      </c>
      <c r="G62" s="279"/>
      <c r="H62" s="279"/>
      <c r="I62" s="279"/>
      <c r="J62" s="279"/>
      <c r="K62" s="279"/>
      <c r="L62" s="279"/>
      <c r="M62" s="279"/>
      <c r="N62" s="279"/>
      <c r="O62" s="279"/>
      <c r="P62" s="279"/>
      <c r="Q62" s="279"/>
    </row>
    <row r="63" spans="1:17" ht="214.5" customHeight="1">
      <c r="A63" s="502"/>
      <c r="B63" s="494"/>
      <c r="C63" s="289" t="s">
        <v>3057</v>
      </c>
      <c r="D63" s="284" t="s">
        <v>3683</v>
      </c>
      <c r="E63" s="286" t="s">
        <v>3734</v>
      </c>
      <c r="F63" s="283" t="s">
        <v>3735</v>
      </c>
      <c r="G63" s="279"/>
      <c r="H63" s="279"/>
      <c r="I63" s="279"/>
      <c r="J63" s="279"/>
      <c r="K63" s="279"/>
      <c r="L63" s="279"/>
      <c r="M63" s="279"/>
      <c r="N63" s="279"/>
      <c r="O63" s="279"/>
      <c r="P63" s="279"/>
      <c r="Q63" s="279"/>
    </row>
    <row r="64" spans="1:17" ht="62.25" customHeight="1">
      <c r="A64" s="502"/>
      <c r="B64" s="494"/>
      <c r="C64" s="291" t="s">
        <v>3736</v>
      </c>
      <c r="D64" s="284" t="s">
        <v>3683</v>
      </c>
      <c r="E64" s="292" t="s">
        <v>3737</v>
      </c>
      <c r="F64" s="283" t="s">
        <v>3738</v>
      </c>
      <c r="G64" s="279"/>
      <c r="H64" s="279"/>
      <c r="I64" s="279"/>
      <c r="J64" s="279"/>
      <c r="K64" s="279"/>
      <c r="L64" s="279"/>
      <c r="M64" s="279"/>
      <c r="N64" s="279"/>
      <c r="O64" s="279"/>
      <c r="P64" s="279"/>
      <c r="Q64" s="279"/>
    </row>
    <row r="65" spans="1:17">
      <c r="A65" s="502"/>
      <c r="B65" s="494"/>
      <c r="C65" s="290" t="s">
        <v>3065</v>
      </c>
      <c r="D65" s="284" t="s">
        <v>3683</v>
      </c>
      <c r="E65" s="283" t="s">
        <v>3739</v>
      </c>
      <c r="F65" s="283" t="s">
        <v>3740</v>
      </c>
      <c r="G65" s="279"/>
      <c r="H65" s="279"/>
      <c r="I65" s="279"/>
      <c r="J65" s="279"/>
      <c r="K65" s="279"/>
      <c r="L65" s="279"/>
      <c r="M65" s="279"/>
      <c r="N65" s="279"/>
      <c r="O65" s="279"/>
      <c r="P65" s="279"/>
      <c r="Q65" s="279"/>
    </row>
    <row r="66" spans="1:17">
      <c r="A66" s="502"/>
      <c r="B66" s="494"/>
      <c r="C66" s="293" t="s">
        <v>3068</v>
      </c>
      <c r="D66" s="284" t="s">
        <v>3683</v>
      </c>
      <c r="E66" s="283" t="s">
        <v>3741</v>
      </c>
      <c r="F66" s="283" t="s">
        <v>3726</v>
      </c>
      <c r="G66" s="279"/>
      <c r="H66" s="279"/>
      <c r="I66" s="279"/>
      <c r="J66" s="279"/>
      <c r="K66" s="279"/>
      <c r="L66" s="279"/>
      <c r="M66" s="279"/>
      <c r="N66" s="279"/>
      <c r="O66" s="279"/>
      <c r="P66" s="279"/>
      <c r="Q66" s="279"/>
    </row>
    <row r="67" spans="1:17">
      <c r="A67" s="502"/>
      <c r="B67" s="494"/>
      <c r="C67" s="290" t="s">
        <v>3072</v>
      </c>
      <c r="D67" s="284" t="s">
        <v>3683</v>
      </c>
      <c r="E67" s="283" t="s">
        <v>3741</v>
      </c>
      <c r="F67" s="283" t="s">
        <v>3742</v>
      </c>
      <c r="G67" s="279"/>
      <c r="H67" s="279"/>
      <c r="I67" s="279"/>
      <c r="J67" s="279"/>
      <c r="K67" s="279"/>
      <c r="L67" s="279"/>
      <c r="M67" s="279"/>
      <c r="N67" s="279"/>
      <c r="O67" s="279"/>
      <c r="P67" s="279"/>
      <c r="Q67" s="279"/>
    </row>
    <row r="68" spans="1:17">
      <c r="A68" s="502"/>
      <c r="B68" s="494"/>
      <c r="C68" s="290" t="s">
        <v>3076</v>
      </c>
      <c r="D68" s="284" t="s">
        <v>3683</v>
      </c>
      <c r="E68" s="283" t="s">
        <v>3739</v>
      </c>
      <c r="F68" s="283" t="s">
        <v>3688</v>
      </c>
      <c r="G68" s="279"/>
      <c r="H68" s="279"/>
      <c r="I68" s="279"/>
      <c r="J68" s="279"/>
      <c r="K68" s="279"/>
      <c r="L68" s="279"/>
      <c r="M68" s="279"/>
      <c r="N68" s="279"/>
      <c r="O68" s="279"/>
      <c r="P68" s="279"/>
      <c r="Q68" s="279"/>
    </row>
    <row r="69" spans="1:17">
      <c r="A69" s="502"/>
      <c r="B69" s="494"/>
      <c r="C69" s="293" t="s">
        <v>3743</v>
      </c>
      <c r="D69" s="284" t="s">
        <v>3683</v>
      </c>
      <c r="E69" s="283" t="s">
        <v>3744</v>
      </c>
      <c r="F69" s="283" t="s">
        <v>3745</v>
      </c>
      <c r="G69" s="279"/>
      <c r="H69" s="279"/>
      <c r="I69" s="279"/>
      <c r="J69" s="279"/>
      <c r="K69" s="279"/>
      <c r="L69" s="279"/>
      <c r="M69" s="279"/>
      <c r="N69" s="279"/>
      <c r="O69" s="279"/>
      <c r="P69" s="279"/>
      <c r="Q69" s="279"/>
    </row>
    <row r="70" spans="1:17" ht="37.5">
      <c r="A70" s="502"/>
      <c r="B70" s="494"/>
      <c r="C70" s="293" t="s">
        <v>376</v>
      </c>
      <c r="D70" s="284" t="s">
        <v>3746</v>
      </c>
      <c r="E70" s="286" t="s">
        <v>3747</v>
      </c>
      <c r="F70" s="283" t="s">
        <v>3748</v>
      </c>
      <c r="G70" s="279"/>
      <c r="H70" s="279"/>
      <c r="I70" s="279"/>
      <c r="J70" s="279"/>
      <c r="K70" s="279"/>
      <c r="L70" s="279"/>
      <c r="M70" s="279"/>
      <c r="N70" s="279"/>
      <c r="O70" s="279"/>
      <c r="P70" s="279"/>
      <c r="Q70" s="279"/>
    </row>
    <row r="71" spans="1:17">
      <c r="A71" s="502"/>
      <c r="B71" s="494"/>
      <c r="C71" s="294" t="s">
        <v>314</v>
      </c>
      <c r="D71" s="284" t="s">
        <v>3683</v>
      </c>
      <c r="E71" s="283" t="s">
        <v>3749</v>
      </c>
      <c r="F71" s="283" t="s">
        <v>2974</v>
      </c>
      <c r="G71" s="279"/>
      <c r="H71" s="279"/>
      <c r="I71" s="279"/>
      <c r="J71" s="279"/>
      <c r="K71" s="279"/>
      <c r="L71" s="279"/>
      <c r="M71" s="279"/>
      <c r="N71" s="279"/>
      <c r="O71" s="279"/>
      <c r="P71" s="279"/>
      <c r="Q71" s="279"/>
    </row>
    <row r="72" spans="1:17" ht="24.75">
      <c r="A72" s="502"/>
      <c r="B72" s="494"/>
      <c r="C72" s="293" t="s">
        <v>301</v>
      </c>
      <c r="D72" s="284" t="s">
        <v>3683</v>
      </c>
      <c r="E72" s="286" t="s">
        <v>3750</v>
      </c>
      <c r="F72" s="283" t="s">
        <v>3751</v>
      </c>
      <c r="G72" s="279"/>
      <c r="H72" s="279"/>
      <c r="I72" s="279"/>
      <c r="J72" s="279"/>
      <c r="K72" s="279"/>
      <c r="L72" s="279"/>
      <c r="M72" s="279"/>
      <c r="N72" s="279"/>
      <c r="O72" s="279"/>
      <c r="P72" s="279"/>
      <c r="Q72" s="279"/>
    </row>
    <row r="73" spans="1:17" ht="73.5" customHeight="1">
      <c r="A73" s="502"/>
      <c r="B73" s="494"/>
      <c r="C73" s="293" t="s">
        <v>3080</v>
      </c>
      <c r="D73" s="284" t="s">
        <v>3683</v>
      </c>
      <c r="E73" s="292" t="s">
        <v>3752</v>
      </c>
      <c r="F73" s="283" t="s">
        <v>3738</v>
      </c>
      <c r="G73" s="279"/>
      <c r="H73" s="279"/>
      <c r="I73" s="279"/>
      <c r="J73" s="279"/>
      <c r="K73" s="279"/>
      <c r="L73" s="279"/>
      <c r="M73" s="279"/>
      <c r="N73" s="279"/>
      <c r="O73" s="279"/>
      <c r="P73" s="279"/>
      <c r="Q73" s="279"/>
    </row>
    <row r="74" spans="1:17">
      <c r="A74" s="502"/>
      <c r="B74" s="494"/>
      <c r="C74" s="295" t="s">
        <v>3753</v>
      </c>
      <c r="D74" s="284" t="s">
        <v>3683</v>
      </c>
      <c r="E74" s="296" t="s">
        <v>3754</v>
      </c>
      <c r="F74" s="296" t="s">
        <v>1272</v>
      </c>
      <c r="G74" s="279"/>
      <c r="H74" s="279"/>
      <c r="I74" s="279"/>
      <c r="J74" s="279"/>
      <c r="K74" s="279"/>
      <c r="L74" s="279"/>
      <c r="M74" s="279"/>
      <c r="N74" s="279"/>
      <c r="O74" s="279"/>
      <c r="P74" s="279"/>
      <c r="Q74" s="279"/>
    </row>
    <row r="75" spans="1:17">
      <c r="A75" s="502"/>
      <c r="B75" s="494"/>
      <c r="C75" s="297" t="s">
        <v>2107</v>
      </c>
      <c r="D75" s="284" t="s">
        <v>3683</v>
      </c>
      <c r="E75" s="296" t="s">
        <v>3755</v>
      </c>
      <c r="F75" s="283" t="s">
        <v>3693</v>
      </c>
      <c r="G75" s="279"/>
      <c r="H75" s="279"/>
      <c r="I75" s="279"/>
      <c r="J75" s="279"/>
      <c r="K75" s="279"/>
      <c r="L75" s="279"/>
      <c r="M75" s="279"/>
      <c r="N75" s="279"/>
      <c r="O75" s="279"/>
      <c r="P75" s="279"/>
      <c r="Q75" s="279"/>
    </row>
    <row r="76" spans="1:17">
      <c r="A76" s="502"/>
      <c r="B76" s="494"/>
      <c r="C76" s="297" t="s">
        <v>2097</v>
      </c>
      <c r="D76" s="284" t="s">
        <v>3683</v>
      </c>
      <c r="E76" s="296" t="s">
        <v>3756</v>
      </c>
      <c r="F76" s="296" t="s">
        <v>2982</v>
      </c>
      <c r="G76" s="279"/>
      <c r="H76" s="279"/>
      <c r="I76" s="279"/>
      <c r="J76" s="279"/>
      <c r="K76" s="279"/>
      <c r="L76" s="279"/>
      <c r="M76" s="279"/>
      <c r="N76" s="279"/>
      <c r="O76" s="279"/>
      <c r="P76" s="279"/>
      <c r="Q76" s="279"/>
    </row>
    <row r="77" spans="1:17">
      <c r="A77" s="502"/>
      <c r="B77" s="494"/>
      <c r="C77" s="297" t="s">
        <v>3092</v>
      </c>
      <c r="D77" s="284" t="s">
        <v>3683</v>
      </c>
      <c r="E77" s="296" t="s">
        <v>3756</v>
      </c>
      <c r="F77" s="296" t="s">
        <v>3091</v>
      </c>
      <c r="G77" s="279"/>
      <c r="H77" s="279"/>
      <c r="I77" s="279"/>
      <c r="J77" s="279"/>
      <c r="K77" s="279"/>
      <c r="L77" s="279"/>
      <c r="M77" s="279"/>
      <c r="N77" s="279"/>
      <c r="O77" s="279"/>
      <c r="P77" s="279"/>
      <c r="Q77" s="279"/>
    </row>
    <row r="78" spans="1:17">
      <c r="A78" s="502"/>
      <c r="B78" s="494"/>
      <c r="C78" s="298" t="s">
        <v>3757</v>
      </c>
      <c r="D78" s="284" t="s">
        <v>3683</v>
      </c>
      <c r="E78" s="296" t="s">
        <v>3754</v>
      </c>
      <c r="F78" s="296" t="s">
        <v>2982</v>
      </c>
      <c r="G78" s="279"/>
      <c r="H78" s="279"/>
      <c r="I78" s="279"/>
      <c r="J78" s="279"/>
      <c r="K78" s="279"/>
      <c r="L78" s="279"/>
      <c r="M78" s="279"/>
      <c r="N78" s="279"/>
      <c r="O78" s="279"/>
      <c r="P78" s="279"/>
      <c r="Q78" s="279"/>
    </row>
    <row r="79" spans="1:17">
      <c r="A79" s="502"/>
      <c r="B79" s="494"/>
      <c r="C79" s="299" t="s">
        <v>3758</v>
      </c>
      <c r="D79" s="284" t="s">
        <v>3683</v>
      </c>
      <c r="E79" s="296" t="s">
        <v>3759</v>
      </c>
      <c r="F79" s="283" t="s">
        <v>3760</v>
      </c>
      <c r="G79" s="279"/>
      <c r="H79" s="279"/>
      <c r="I79" s="279"/>
      <c r="J79" s="279"/>
      <c r="K79" s="279"/>
      <c r="L79" s="279"/>
      <c r="M79" s="279"/>
      <c r="N79" s="279"/>
      <c r="O79" s="279"/>
      <c r="P79" s="279"/>
      <c r="Q79" s="279"/>
    </row>
    <row r="80" spans="1:17">
      <c r="A80" s="502"/>
      <c r="B80" s="494"/>
      <c r="C80" s="296" t="s">
        <v>3761</v>
      </c>
      <c r="D80" s="284" t="s">
        <v>3683</v>
      </c>
      <c r="E80" s="296" t="s">
        <v>3762</v>
      </c>
      <c r="F80" s="283" t="s">
        <v>3760</v>
      </c>
      <c r="G80" s="279"/>
      <c r="H80" s="279"/>
      <c r="I80" s="279"/>
      <c r="J80" s="279"/>
      <c r="K80" s="279"/>
      <c r="L80" s="279"/>
      <c r="M80" s="279"/>
      <c r="N80" s="279"/>
      <c r="O80" s="279"/>
      <c r="P80" s="279"/>
      <c r="Q80" s="279"/>
    </row>
    <row r="81" spans="1:17">
      <c r="A81" s="502"/>
      <c r="B81" s="494"/>
      <c r="C81" s="296" t="s">
        <v>3763</v>
      </c>
      <c r="D81" s="284" t="s">
        <v>3683</v>
      </c>
      <c r="E81" s="296" t="s">
        <v>3762</v>
      </c>
      <c r="F81" s="283" t="s">
        <v>3760</v>
      </c>
      <c r="G81" s="279"/>
      <c r="H81" s="279"/>
      <c r="I81" s="279"/>
      <c r="J81" s="279"/>
      <c r="K81" s="279"/>
      <c r="L81" s="279"/>
      <c r="M81" s="279"/>
      <c r="N81" s="279"/>
      <c r="O81" s="279"/>
      <c r="P81" s="279"/>
      <c r="Q81" s="279"/>
    </row>
    <row r="82" spans="1:17">
      <c r="A82" s="502"/>
      <c r="B82" s="494"/>
      <c r="C82" s="296" t="s">
        <v>3764</v>
      </c>
      <c r="D82" s="284" t="s">
        <v>3683</v>
      </c>
      <c r="E82" s="296" t="s">
        <v>3762</v>
      </c>
      <c r="F82" s="283" t="s">
        <v>3760</v>
      </c>
      <c r="G82" s="279"/>
      <c r="H82" s="279"/>
      <c r="I82" s="279"/>
      <c r="J82" s="279"/>
      <c r="K82" s="279"/>
      <c r="L82" s="279"/>
      <c r="M82" s="279"/>
      <c r="N82" s="279"/>
      <c r="O82" s="279"/>
      <c r="P82" s="279"/>
      <c r="Q82" s="279"/>
    </row>
    <row r="83" spans="1:17">
      <c r="A83" s="502"/>
      <c r="B83" s="494"/>
      <c r="C83" s="300" t="s">
        <v>3765</v>
      </c>
      <c r="D83" s="284" t="s">
        <v>3683</v>
      </c>
      <c r="E83" s="296" t="s">
        <v>3766</v>
      </c>
      <c r="F83" s="283" t="s">
        <v>3760</v>
      </c>
    </row>
    <row r="84" spans="1:17">
      <c r="A84" s="502"/>
      <c r="B84" s="494"/>
      <c r="C84" s="296" t="s">
        <v>3767</v>
      </c>
      <c r="D84" s="284" t="s">
        <v>3683</v>
      </c>
      <c r="E84" s="296" t="s">
        <v>3766</v>
      </c>
      <c r="F84" s="283" t="s">
        <v>3760</v>
      </c>
    </row>
    <row r="85" spans="1:17">
      <c r="A85" s="502"/>
      <c r="B85" s="494"/>
      <c r="C85" s="296" t="s">
        <v>3768</v>
      </c>
      <c r="D85" s="284" t="s">
        <v>3683</v>
      </c>
      <c r="E85" s="296" t="s">
        <v>3769</v>
      </c>
      <c r="F85" s="283" t="s">
        <v>3760</v>
      </c>
    </row>
    <row r="86" spans="1:17">
      <c r="A86" s="502"/>
      <c r="B86" s="494"/>
      <c r="C86" s="296" t="s">
        <v>3770</v>
      </c>
      <c r="D86" s="284" t="s">
        <v>3683</v>
      </c>
      <c r="E86" s="296" t="s">
        <v>3769</v>
      </c>
      <c r="F86" s="283" t="s">
        <v>3760</v>
      </c>
    </row>
    <row r="87" spans="1:17">
      <c r="A87" s="502"/>
      <c r="B87" s="494"/>
      <c r="C87" s="283" t="s">
        <v>3771</v>
      </c>
      <c r="D87" s="284" t="s">
        <v>3683</v>
      </c>
      <c r="E87" s="296" t="s">
        <v>3766</v>
      </c>
      <c r="F87" s="283" t="s">
        <v>3760</v>
      </c>
    </row>
    <row r="88" spans="1:17">
      <c r="A88" s="502"/>
      <c r="B88" s="494"/>
      <c r="C88" s="283" t="s">
        <v>3772</v>
      </c>
      <c r="D88" s="284" t="s">
        <v>3683</v>
      </c>
      <c r="E88" s="296" t="s">
        <v>3773</v>
      </c>
      <c r="F88" s="283" t="s">
        <v>3760</v>
      </c>
    </row>
    <row r="89" spans="1:17">
      <c r="A89" s="502"/>
      <c r="B89" s="494"/>
      <c r="C89" s="283" t="s">
        <v>3774</v>
      </c>
      <c r="D89" s="284" t="s">
        <v>3683</v>
      </c>
      <c r="E89" s="296" t="s">
        <v>3773</v>
      </c>
      <c r="F89" s="283" t="s">
        <v>3760</v>
      </c>
    </row>
    <row r="90" spans="1:17">
      <c r="A90" s="502"/>
      <c r="B90" s="494"/>
      <c r="C90" s="283" t="s">
        <v>3775</v>
      </c>
      <c r="D90" s="284" t="s">
        <v>3683</v>
      </c>
      <c r="E90" s="296" t="s">
        <v>3773</v>
      </c>
      <c r="F90" s="283" t="s">
        <v>3760</v>
      </c>
    </row>
    <row r="91" spans="1:17">
      <c r="A91" s="502"/>
      <c r="B91" s="494"/>
      <c r="C91" s="283" t="s">
        <v>3776</v>
      </c>
      <c r="D91" s="284" t="s">
        <v>3683</v>
      </c>
      <c r="E91" s="296" t="s">
        <v>3773</v>
      </c>
      <c r="F91" s="283" t="s">
        <v>3760</v>
      </c>
    </row>
    <row r="92" spans="1:17" ht="72.75" customHeight="1">
      <c r="A92" s="502"/>
      <c r="B92" s="494"/>
      <c r="C92" s="285" t="s">
        <v>3777</v>
      </c>
      <c r="D92" s="284" t="s">
        <v>3683</v>
      </c>
      <c r="E92" s="301" t="s">
        <v>3778</v>
      </c>
      <c r="F92" s="283" t="s">
        <v>3779</v>
      </c>
    </row>
    <row r="93" spans="1:17">
      <c r="A93" s="502"/>
      <c r="B93" s="494"/>
      <c r="C93" s="300" t="s">
        <v>3780</v>
      </c>
      <c r="D93" s="284" t="s">
        <v>3683</v>
      </c>
      <c r="E93" s="296" t="s">
        <v>3773</v>
      </c>
      <c r="F93" s="283" t="s">
        <v>3760</v>
      </c>
    </row>
    <row r="94" spans="1:17">
      <c r="A94" s="275"/>
      <c r="B94" s="279"/>
      <c r="C94" s="300"/>
      <c r="D94" s="284"/>
      <c r="E94" s="296"/>
      <c r="F94" s="283"/>
    </row>
    <row r="95" spans="1:17" ht="206.25" customHeight="1">
      <c r="A95" s="495" t="s">
        <v>3781</v>
      </c>
      <c r="B95" s="506" t="s">
        <v>3782</v>
      </c>
      <c r="C95" s="302" t="s">
        <v>3783</v>
      </c>
      <c r="D95" s="303"/>
      <c r="E95" s="304" t="s">
        <v>3784</v>
      </c>
      <c r="F95" s="305" t="s">
        <v>3785</v>
      </c>
    </row>
    <row r="96" spans="1:17">
      <c r="A96" s="496"/>
      <c r="B96" s="507"/>
      <c r="C96" s="306" t="s">
        <v>315</v>
      </c>
      <c r="D96" s="306"/>
      <c r="E96" s="306" t="s">
        <v>3786</v>
      </c>
    </row>
    <row r="97" spans="1:6" ht="50.25">
      <c r="A97" s="496"/>
      <c r="B97" s="507"/>
      <c r="C97" s="306" t="s">
        <v>3787</v>
      </c>
      <c r="D97" s="306"/>
      <c r="E97" s="292" t="s">
        <v>3788</v>
      </c>
      <c r="F97" s="306" t="s">
        <v>3789</v>
      </c>
    </row>
    <row r="98" spans="1:6" ht="63.75" customHeight="1">
      <c r="A98" s="496"/>
      <c r="B98" s="507"/>
      <c r="C98" s="307" t="s">
        <v>3790</v>
      </c>
      <c r="D98" s="306"/>
      <c r="E98" s="292" t="s">
        <v>3791</v>
      </c>
      <c r="F98" s="283" t="s">
        <v>3792</v>
      </c>
    </row>
    <row r="99" spans="1:6" ht="24.75">
      <c r="A99" s="496"/>
      <c r="B99" s="507"/>
      <c r="C99" s="307" t="s">
        <v>315</v>
      </c>
      <c r="D99" s="284" t="s">
        <v>3683</v>
      </c>
      <c r="E99" s="300" t="s">
        <v>3793</v>
      </c>
    </row>
    <row r="100" spans="1:6">
      <c r="A100" s="496"/>
      <c r="B100" s="507"/>
      <c r="C100" s="285" t="s">
        <v>3048</v>
      </c>
      <c r="D100" s="284" t="s">
        <v>3683</v>
      </c>
      <c r="E100" s="287" t="s">
        <v>3794</v>
      </c>
      <c r="F100" s="283" t="s">
        <v>3733</v>
      </c>
    </row>
    <row r="101" spans="1:6">
      <c r="A101" s="496"/>
      <c r="B101" s="507"/>
      <c r="C101" s="283" t="s">
        <v>3795</v>
      </c>
      <c r="D101" s="284" t="s">
        <v>3683</v>
      </c>
      <c r="E101" s="283" t="s">
        <v>3796</v>
      </c>
      <c r="F101" s="283" t="s">
        <v>1272</v>
      </c>
    </row>
    <row r="102" spans="1:6" ht="24.75">
      <c r="A102" s="496"/>
      <c r="B102" s="507"/>
      <c r="C102" s="308" t="s">
        <v>3768</v>
      </c>
      <c r="D102" s="284" t="s">
        <v>3683</v>
      </c>
      <c r="E102" s="292" t="s">
        <v>3797</v>
      </c>
      <c r="F102" s="283" t="s">
        <v>3798</v>
      </c>
    </row>
    <row r="103" spans="1:6" ht="50.25">
      <c r="A103" s="496"/>
      <c r="B103" s="507"/>
      <c r="C103" s="307" t="s">
        <v>3799</v>
      </c>
      <c r="D103" s="284" t="s">
        <v>3683</v>
      </c>
      <c r="E103" s="292" t="s">
        <v>3800</v>
      </c>
      <c r="F103" s="283" t="s">
        <v>3801</v>
      </c>
    </row>
    <row r="104" spans="1:6" ht="61.5" customHeight="1">
      <c r="A104" s="496"/>
      <c r="B104" s="507"/>
      <c r="C104" s="307" t="s">
        <v>3802</v>
      </c>
      <c r="D104" s="284" t="s">
        <v>3683</v>
      </c>
      <c r="E104" s="292" t="s">
        <v>3803</v>
      </c>
      <c r="F104" s="283" t="s">
        <v>3801</v>
      </c>
    </row>
    <row r="105" spans="1:6" ht="212.25" customHeight="1">
      <c r="A105" s="496"/>
      <c r="B105" s="507"/>
      <c r="C105" s="309" t="s">
        <v>3804</v>
      </c>
      <c r="D105" s="284" t="s">
        <v>3683</v>
      </c>
      <c r="E105" s="310" t="s">
        <v>3805</v>
      </c>
    </row>
    <row r="106" spans="1:6" ht="37.5">
      <c r="A106" s="496"/>
      <c r="B106" s="507"/>
      <c r="C106" s="311" t="s">
        <v>3806</v>
      </c>
      <c r="D106" s="284" t="s">
        <v>3683</v>
      </c>
      <c r="E106" s="312" t="s">
        <v>3807</v>
      </c>
      <c r="F106" s="283" t="s">
        <v>3801</v>
      </c>
    </row>
    <row r="107" spans="1:6">
      <c r="A107" s="496"/>
      <c r="B107" s="507"/>
      <c r="C107" s="313" t="s">
        <v>3808</v>
      </c>
      <c r="D107" s="284" t="s">
        <v>3683</v>
      </c>
      <c r="E107" s="296" t="s">
        <v>3766</v>
      </c>
      <c r="F107" s="283" t="s">
        <v>3801</v>
      </c>
    </row>
    <row r="108" spans="1:6" ht="100.5">
      <c r="A108" s="496"/>
      <c r="B108" s="507"/>
      <c r="C108" s="307" t="s">
        <v>3809</v>
      </c>
      <c r="D108" s="284" t="s">
        <v>3683</v>
      </c>
      <c r="E108" s="292" t="s">
        <v>3810</v>
      </c>
      <c r="F108" s="283" t="s">
        <v>3801</v>
      </c>
    </row>
    <row r="109" spans="1:6" ht="37.5">
      <c r="A109" s="496"/>
      <c r="B109" s="507"/>
      <c r="C109" s="306" t="s">
        <v>2018</v>
      </c>
      <c r="D109" s="284" t="s">
        <v>3683</v>
      </c>
      <c r="E109" s="292" t="s">
        <v>3811</v>
      </c>
      <c r="F109" s="283" t="s">
        <v>3812</v>
      </c>
    </row>
    <row r="110" spans="1:6" ht="108.75" customHeight="1">
      <c r="A110" s="495" t="s">
        <v>3813</v>
      </c>
      <c r="B110" s="495" t="s">
        <v>3782</v>
      </c>
      <c r="C110" s="302" t="s">
        <v>3814</v>
      </c>
      <c r="D110" s="314" t="s">
        <v>3683</v>
      </c>
      <c r="E110" s="318" t="s">
        <v>3815</v>
      </c>
      <c r="F110" s="305" t="s">
        <v>3816</v>
      </c>
    </row>
    <row r="111" spans="1:6">
      <c r="A111" s="496"/>
      <c r="B111" s="496"/>
      <c r="C111" s="306" t="s">
        <v>3817</v>
      </c>
      <c r="D111" s="284" t="s">
        <v>3683</v>
      </c>
      <c r="E111" s="296" t="s">
        <v>3818</v>
      </c>
      <c r="F111" s="283" t="s">
        <v>3819</v>
      </c>
    </row>
    <row r="112" spans="1:6" ht="135.75" customHeight="1">
      <c r="A112" s="496"/>
      <c r="B112" s="496"/>
      <c r="C112" s="307" t="s">
        <v>3820</v>
      </c>
      <c r="D112" s="284" t="s">
        <v>3683</v>
      </c>
      <c r="E112" s="315" t="s">
        <v>3821</v>
      </c>
      <c r="F112" s="287" t="s">
        <v>3822</v>
      </c>
    </row>
    <row r="113" spans="1:6">
      <c r="A113" s="496"/>
      <c r="B113" s="496"/>
      <c r="C113" s="306" t="s">
        <v>3823</v>
      </c>
      <c r="D113" s="284" t="s">
        <v>3683</v>
      </c>
      <c r="E113" s="296" t="s">
        <v>3818</v>
      </c>
      <c r="F113" s="283" t="s">
        <v>3819</v>
      </c>
    </row>
    <row r="114" spans="1:6">
      <c r="A114" s="496"/>
      <c r="B114" s="496"/>
      <c r="C114" s="306" t="s">
        <v>3824</v>
      </c>
      <c r="D114" s="284" t="s">
        <v>3683</v>
      </c>
      <c r="E114" s="296" t="s">
        <v>3818</v>
      </c>
      <c r="F114" s="283"/>
    </row>
    <row r="115" spans="1:6">
      <c r="A115" s="496"/>
      <c r="B115" s="496"/>
      <c r="C115" s="306" t="s">
        <v>3825</v>
      </c>
      <c r="D115" s="284" t="s">
        <v>3683</v>
      </c>
      <c r="E115" s="296" t="s">
        <v>3818</v>
      </c>
      <c r="F115" s="283"/>
    </row>
    <row r="116" spans="1:6">
      <c r="A116" s="496"/>
      <c r="B116" s="496"/>
      <c r="C116" s="306" t="s">
        <v>3826</v>
      </c>
      <c r="D116" s="284" t="s">
        <v>3683</v>
      </c>
      <c r="E116" s="296" t="s">
        <v>3818</v>
      </c>
      <c r="F116" s="283"/>
    </row>
    <row r="117" spans="1:6">
      <c r="A117" s="496"/>
      <c r="B117" s="496"/>
      <c r="C117" s="306" t="s">
        <v>3827</v>
      </c>
      <c r="D117" s="284" t="s">
        <v>3683</v>
      </c>
      <c r="E117" s="296" t="s">
        <v>3818</v>
      </c>
      <c r="F117" s="283"/>
    </row>
    <row r="118" spans="1:6">
      <c r="A118" s="496"/>
      <c r="B118" s="496"/>
      <c r="C118" s="306" t="s">
        <v>3828</v>
      </c>
      <c r="D118" s="284" t="s">
        <v>3683</v>
      </c>
      <c r="E118" s="296" t="s">
        <v>3818</v>
      </c>
    </row>
    <row r="119" spans="1:6">
      <c r="A119" s="496"/>
      <c r="B119" s="496"/>
      <c r="C119" s="306" t="s">
        <v>3829</v>
      </c>
      <c r="D119" s="284" t="s">
        <v>3683</v>
      </c>
      <c r="E119" s="296" t="s">
        <v>3830</v>
      </c>
    </row>
    <row r="120" spans="1:6">
      <c r="A120" s="496"/>
      <c r="B120" s="496"/>
      <c r="C120" s="316" t="s">
        <v>3831</v>
      </c>
      <c r="D120" s="284" t="s">
        <v>3683</v>
      </c>
      <c r="E120" s="296" t="s">
        <v>3830</v>
      </c>
    </row>
    <row r="121" spans="1:6">
      <c r="A121" s="496"/>
      <c r="B121" s="496"/>
      <c r="C121" s="306" t="s">
        <v>3832</v>
      </c>
      <c r="D121" s="284" t="s">
        <v>3683</v>
      </c>
      <c r="E121" s="296" t="s">
        <v>3830</v>
      </c>
    </row>
    <row r="122" spans="1:6">
      <c r="A122" s="496"/>
      <c r="B122" s="496"/>
      <c r="C122" s="306" t="s">
        <v>3833</v>
      </c>
      <c r="D122" s="284" t="s">
        <v>3683</v>
      </c>
      <c r="E122" s="296" t="s">
        <v>3830</v>
      </c>
    </row>
    <row r="123" spans="1:6">
      <c r="A123" s="496"/>
      <c r="B123" s="496" t="s">
        <v>3782</v>
      </c>
      <c r="C123" s="283" t="s">
        <v>3689</v>
      </c>
      <c r="D123" s="284" t="s">
        <v>3683</v>
      </c>
      <c r="E123" s="283" t="s">
        <v>3834</v>
      </c>
      <c r="F123" s="283" t="s">
        <v>3688</v>
      </c>
    </row>
    <row r="124" spans="1:6">
      <c r="A124" s="496"/>
      <c r="B124" s="496"/>
      <c r="C124" s="283" t="s">
        <v>2120</v>
      </c>
      <c r="D124" s="284" t="s">
        <v>3683</v>
      </c>
      <c r="E124" s="283" t="s">
        <v>3834</v>
      </c>
      <c r="F124" s="283" t="s">
        <v>3688</v>
      </c>
    </row>
    <row r="125" spans="1:6">
      <c r="A125" s="496"/>
      <c r="B125" s="496"/>
      <c r="C125" s="283" t="s">
        <v>3682</v>
      </c>
      <c r="D125" s="284" t="s">
        <v>3683</v>
      </c>
      <c r="E125" s="283" t="s">
        <v>3835</v>
      </c>
      <c r="F125" s="283" t="s">
        <v>3685</v>
      </c>
    </row>
    <row r="126" spans="1:6" ht="74.25" customHeight="1">
      <c r="A126" s="496"/>
      <c r="B126" s="496"/>
      <c r="C126" s="306" t="s">
        <v>3836</v>
      </c>
      <c r="D126" s="284" t="s">
        <v>3683</v>
      </c>
      <c r="E126" s="292" t="s">
        <v>3837</v>
      </c>
      <c r="F126" s="306" t="s">
        <v>3838</v>
      </c>
    </row>
    <row r="127" spans="1:6" ht="75.75">
      <c r="A127" s="496"/>
      <c r="B127" s="496"/>
      <c r="C127" s="306" t="s">
        <v>3839</v>
      </c>
      <c r="D127" s="284" t="s">
        <v>3683</v>
      </c>
      <c r="E127" s="301" t="s">
        <v>3840</v>
      </c>
      <c r="F127" s="306" t="s">
        <v>3841</v>
      </c>
    </row>
    <row r="128" spans="1:6" ht="168" customHeight="1">
      <c r="A128" s="496"/>
      <c r="B128" s="496"/>
      <c r="C128" s="283" t="s">
        <v>3694</v>
      </c>
      <c r="D128" s="284" t="s">
        <v>3683</v>
      </c>
      <c r="E128" s="292" t="s">
        <v>3842</v>
      </c>
      <c r="F128" s="283" t="s">
        <v>3843</v>
      </c>
    </row>
    <row r="129" spans="1:6" ht="231" customHeight="1">
      <c r="A129" s="496"/>
      <c r="B129" s="496"/>
      <c r="C129" s="306" t="s">
        <v>309</v>
      </c>
      <c r="D129" s="284" t="s">
        <v>3683</v>
      </c>
      <c r="E129" s="292" t="s">
        <v>3844</v>
      </c>
      <c r="F129" s="306"/>
    </row>
    <row r="130" spans="1:6">
      <c r="A130" s="496"/>
      <c r="B130" s="496"/>
      <c r="C130" s="313" t="s">
        <v>3845</v>
      </c>
      <c r="D130" s="284" t="s">
        <v>3683</v>
      </c>
      <c r="E130" s="287" t="s">
        <v>3846</v>
      </c>
      <c r="F130" s="306" t="s">
        <v>3847</v>
      </c>
    </row>
    <row r="131" spans="1:6">
      <c r="A131" s="496"/>
      <c r="B131" s="496"/>
      <c r="C131" s="306" t="s">
        <v>3848</v>
      </c>
      <c r="D131" s="284" t="s">
        <v>3683</v>
      </c>
      <c r="E131" s="287" t="s">
        <v>3846</v>
      </c>
      <c r="F131" s="306"/>
    </row>
    <row r="132" spans="1:6">
      <c r="A132" s="496"/>
      <c r="B132" s="496"/>
      <c r="C132" s="306" t="s">
        <v>3849</v>
      </c>
      <c r="D132" s="284" t="s">
        <v>3683</v>
      </c>
      <c r="E132" s="287" t="s">
        <v>3846</v>
      </c>
      <c r="F132" s="306"/>
    </row>
    <row r="133" spans="1:6">
      <c r="A133" s="496"/>
      <c r="B133" s="496"/>
      <c r="C133" s="306" t="s">
        <v>3850</v>
      </c>
      <c r="D133" s="284" t="s">
        <v>3683</v>
      </c>
      <c r="E133" s="287" t="s">
        <v>3846</v>
      </c>
      <c r="F133" s="306"/>
    </row>
    <row r="134" spans="1:6">
      <c r="A134" s="496"/>
      <c r="B134" s="496"/>
      <c r="C134" s="306" t="s">
        <v>3851</v>
      </c>
      <c r="D134" s="284" t="s">
        <v>3683</v>
      </c>
      <c r="E134" s="287" t="s">
        <v>3852</v>
      </c>
    </row>
    <row r="135" spans="1:6" ht="75" customHeight="1">
      <c r="A135" s="496"/>
      <c r="B135" s="496"/>
      <c r="C135" s="306" t="s">
        <v>3853</v>
      </c>
      <c r="D135" s="284" t="s">
        <v>3683</v>
      </c>
      <c r="E135" s="317" t="s">
        <v>3854</v>
      </c>
      <c r="F135" s="306" t="s">
        <v>3855</v>
      </c>
    </row>
    <row r="136" spans="1:6">
      <c r="A136" s="505">
        <v>37810</v>
      </c>
      <c r="B136" s="495" t="s">
        <v>3782</v>
      </c>
      <c r="C136" s="319" t="s">
        <v>3853</v>
      </c>
      <c r="D136" s="314" t="s">
        <v>3683</v>
      </c>
      <c r="E136" s="319" t="s">
        <v>3856</v>
      </c>
      <c r="F136" s="303"/>
    </row>
    <row r="137" spans="1:6">
      <c r="A137" s="496"/>
      <c r="B137" s="496"/>
      <c r="C137" s="306" t="s">
        <v>3857</v>
      </c>
      <c r="D137" s="284" t="s">
        <v>3683</v>
      </c>
      <c r="E137" s="296" t="s">
        <v>3858</v>
      </c>
    </row>
    <row r="138" spans="1:6" ht="62.25">
      <c r="A138" s="496"/>
      <c r="B138" s="496"/>
      <c r="C138" s="291" t="s">
        <v>3736</v>
      </c>
      <c r="D138" s="284" t="s">
        <v>3683</v>
      </c>
      <c r="E138" s="292" t="s">
        <v>3859</v>
      </c>
      <c r="F138" s="283" t="s">
        <v>3738</v>
      </c>
    </row>
    <row r="139" spans="1:6" ht="88.5">
      <c r="A139" s="496"/>
      <c r="B139" s="496"/>
      <c r="C139" s="293" t="s">
        <v>3080</v>
      </c>
      <c r="D139" s="284" t="s">
        <v>3683</v>
      </c>
      <c r="E139" s="292" t="s">
        <v>3860</v>
      </c>
      <c r="F139" s="283" t="s">
        <v>3738</v>
      </c>
    </row>
    <row r="140" spans="1:6">
      <c r="A140" s="496"/>
      <c r="B140" s="496"/>
      <c r="C140" s="306" t="s">
        <v>3861</v>
      </c>
      <c r="D140" s="284" t="s">
        <v>3683</v>
      </c>
      <c r="E140" s="287" t="s">
        <v>3862</v>
      </c>
    </row>
    <row r="141" spans="1:6" ht="50.25">
      <c r="A141" s="496"/>
      <c r="B141" s="496"/>
      <c r="C141" s="307" t="s">
        <v>3799</v>
      </c>
      <c r="D141" s="284" t="s">
        <v>3683</v>
      </c>
      <c r="E141" s="292" t="s">
        <v>3863</v>
      </c>
      <c r="F141" s="283" t="s">
        <v>3801</v>
      </c>
    </row>
    <row r="142" spans="1:6" ht="208.5" customHeight="1">
      <c r="A142" s="496"/>
      <c r="B142" s="496"/>
      <c r="C142" s="309" t="s">
        <v>3804</v>
      </c>
      <c r="D142" s="284" t="s">
        <v>3683</v>
      </c>
      <c r="E142" s="310" t="s">
        <v>3864</v>
      </c>
    </row>
    <row r="143" spans="1:6" ht="36.75" customHeight="1">
      <c r="A143" s="496"/>
      <c r="B143" s="496"/>
      <c r="C143" s="311" t="s">
        <v>3806</v>
      </c>
      <c r="D143" s="284" t="s">
        <v>3683</v>
      </c>
      <c r="E143" s="310" t="s">
        <v>3865</v>
      </c>
      <c r="F143" s="283"/>
    </row>
    <row r="144" spans="1:6" ht="98.25" customHeight="1">
      <c r="A144" s="496"/>
      <c r="B144" s="496"/>
      <c r="C144" s="307" t="s">
        <v>3866</v>
      </c>
      <c r="D144" s="284" t="s">
        <v>3683</v>
      </c>
      <c r="E144" s="292" t="s">
        <v>3867</v>
      </c>
      <c r="F144" s="283" t="s">
        <v>3868</v>
      </c>
    </row>
    <row r="145" spans="1:6">
      <c r="A145" s="496"/>
      <c r="B145" s="496"/>
      <c r="C145" s="296" t="s">
        <v>2961</v>
      </c>
      <c r="D145" s="284" t="s">
        <v>3683</v>
      </c>
      <c r="E145" s="283" t="s">
        <v>3869</v>
      </c>
      <c r="F145" s="283" t="s">
        <v>3870</v>
      </c>
    </row>
    <row r="146" spans="1:6">
      <c r="A146" s="496"/>
      <c r="B146" s="496"/>
      <c r="C146" s="297" t="s">
        <v>2102</v>
      </c>
      <c r="D146" s="284" t="s">
        <v>3683</v>
      </c>
      <c r="E146" s="283" t="s">
        <v>3871</v>
      </c>
      <c r="F146" s="283" t="s">
        <v>3870</v>
      </c>
    </row>
    <row r="147" spans="1:6">
      <c r="A147" s="496"/>
      <c r="B147" s="496"/>
      <c r="C147" s="297" t="s">
        <v>2097</v>
      </c>
      <c r="D147" s="284" t="s">
        <v>3683</v>
      </c>
      <c r="E147" s="296" t="s">
        <v>3872</v>
      </c>
      <c r="F147" s="283" t="s">
        <v>3870</v>
      </c>
    </row>
    <row r="148" spans="1:6">
      <c r="A148" s="496"/>
      <c r="B148" s="496"/>
      <c r="C148" s="296" t="s">
        <v>3689</v>
      </c>
      <c r="D148" s="284" t="s">
        <v>3683</v>
      </c>
      <c r="E148" s="283" t="s">
        <v>3873</v>
      </c>
      <c r="F148" s="283" t="s">
        <v>3870</v>
      </c>
    </row>
    <row r="149" spans="1:6">
      <c r="A149" s="496"/>
      <c r="B149" s="496"/>
      <c r="C149" s="297" t="s">
        <v>3874</v>
      </c>
      <c r="D149" s="284" t="s">
        <v>3683</v>
      </c>
      <c r="E149" s="283" t="s">
        <v>3875</v>
      </c>
      <c r="F149" s="283" t="s">
        <v>3870</v>
      </c>
    </row>
    <row r="150" spans="1:6">
      <c r="A150" s="496"/>
      <c r="B150" s="496"/>
      <c r="C150" s="306" t="s">
        <v>3876</v>
      </c>
      <c r="D150" s="284" t="s">
        <v>3683</v>
      </c>
      <c r="E150" s="283" t="s">
        <v>3875</v>
      </c>
      <c r="F150" s="283" t="s">
        <v>3870</v>
      </c>
    </row>
    <row r="151" spans="1:6">
      <c r="A151" s="496"/>
      <c r="B151" s="496"/>
      <c r="C151" s="306" t="s">
        <v>3877</v>
      </c>
      <c r="D151" s="284" t="s">
        <v>3683</v>
      </c>
      <c r="E151" s="283" t="s">
        <v>3875</v>
      </c>
      <c r="F151" s="283" t="s">
        <v>3870</v>
      </c>
    </row>
    <row r="152" spans="1:6">
      <c r="A152" s="496"/>
      <c r="B152" s="496"/>
      <c r="C152" s="306" t="s">
        <v>3878</v>
      </c>
      <c r="D152" s="284" t="s">
        <v>3683</v>
      </c>
      <c r="E152" s="283" t="s">
        <v>3875</v>
      </c>
      <c r="F152" s="283" t="s">
        <v>3870</v>
      </c>
    </row>
    <row r="153" spans="1:6">
      <c r="A153" s="496"/>
      <c r="B153" s="496"/>
      <c r="C153" s="316" t="s">
        <v>3831</v>
      </c>
      <c r="D153" s="284" t="s">
        <v>3683</v>
      </c>
      <c r="E153" s="296" t="s">
        <v>3879</v>
      </c>
      <c r="F153" s="283" t="s">
        <v>3870</v>
      </c>
    </row>
    <row r="154" spans="1:6" ht="50.25">
      <c r="A154" s="496"/>
      <c r="B154" s="496"/>
      <c r="C154" s="307" t="s">
        <v>3799</v>
      </c>
      <c r="D154" s="284" t="s">
        <v>3683</v>
      </c>
      <c r="E154" s="292" t="s">
        <v>3880</v>
      </c>
      <c r="F154" s="283"/>
    </row>
    <row r="155" spans="1:6" ht="213.75">
      <c r="A155" s="496"/>
      <c r="B155" s="496"/>
      <c r="C155" s="307" t="s">
        <v>3820</v>
      </c>
      <c r="D155" s="284" t="s">
        <v>3683</v>
      </c>
      <c r="E155" s="315" t="s">
        <v>3881</v>
      </c>
    </row>
    <row r="156" spans="1:6">
      <c r="A156" s="496"/>
      <c r="B156" s="496"/>
      <c r="C156" s="297" t="s">
        <v>3882</v>
      </c>
      <c r="D156" s="284" t="s">
        <v>3683</v>
      </c>
      <c r="E156" s="283" t="s">
        <v>3875</v>
      </c>
      <c r="F156" s="283" t="s">
        <v>3870</v>
      </c>
    </row>
    <row r="157" spans="1:6">
      <c r="A157" s="496"/>
      <c r="B157" s="496"/>
      <c r="C157" s="306" t="s">
        <v>3883</v>
      </c>
      <c r="D157" s="284" t="s">
        <v>3683</v>
      </c>
      <c r="E157" s="283" t="s">
        <v>3875</v>
      </c>
      <c r="F157" s="283" t="s">
        <v>3870</v>
      </c>
    </row>
    <row r="158" spans="1:6">
      <c r="A158" s="496"/>
      <c r="B158" s="496"/>
      <c r="C158" s="306" t="s">
        <v>3884</v>
      </c>
      <c r="D158" s="284" t="s">
        <v>3683</v>
      </c>
      <c r="E158" s="283" t="s">
        <v>3875</v>
      </c>
      <c r="F158" s="283" t="s">
        <v>3870</v>
      </c>
    </row>
    <row r="159" spans="1:6">
      <c r="A159" s="496"/>
      <c r="B159" s="496"/>
      <c r="C159" s="306" t="s">
        <v>3885</v>
      </c>
      <c r="D159" s="284" t="s">
        <v>3683</v>
      </c>
      <c r="E159" s="283" t="s">
        <v>3875</v>
      </c>
      <c r="F159" s="283" t="s">
        <v>3688</v>
      </c>
    </row>
    <row r="160" spans="1:6">
      <c r="A160" s="496"/>
      <c r="B160" s="496"/>
      <c r="C160" s="306" t="s">
        <v>3886</v>
      </c>
      <c r="D160" s="284" t="s">
        <v>3683</v>
      </c>
      <c r="E160" s="283" t="s">
        <v>3875</v>
      </c>
      <c r="F160" s="283" t="s">
        <v>3688</v>
      </c>
    </row>
    <row r="161" spans="1:6">
      <c r="A161" s="496"/>
      <c r="B161" s="496"/>
      <c r="C161" s="306" t="s">
        <v>3887</v>
      </c>
      <c r="D161" s="284" t="s">
        <v>3683</v>
      </c>
      <c r="E161" s="283" t="s">
        <v>3875</v>
      </c>
      <c r="F161" s="283" t="s">
        <v>3688</v>
      </c>
    </row>
    <row r="162" spans="1:6">
      <c r="B162" s="496"/>
      <c r="C162" s="306" t="s">
        <v>3888</v>
      </c>
      <c r="D162" s="284" t="s">
        <v>3683</v>
      </c>
      <c r="E162" s="283" t="s">
        <v>3875</v>
      </c>
    </row>
    <row r="163" spans="1:6">
      <c r="B163" s="496"/>
      <c r="C163" s="306" t="s">
        <v>3889</v>
      </c>
      <c r="D163" s="284" t="s">
        <v>3683</v>
      </c>
      <c r="E163" s="283" t="s">
        <v>3875</v>
      </c>
    </row>
    <row r="164" spans="1:6">
      <c r="B164" s="496"/>
      <c r="C164" s="306" t="s">
        <v>3890</v>
      </c>
      <c r="D164" s="284" t="s">
        <v>3683</v>
      </c>
      <c r="E164" s="283" t="s">
        <v>3875</v>
      </c>
    </row>
    <row r="165" spans="1:6" ht="82.5">
      <c r="B165" s="496"/>
      <c r="C165" s="307" t="s">
        <v>3814</v>
      </c>
      <c r="D165" s="284" t="s">
        <v>3683</v>
      </c>
      <c r="E165" s="320" t="s">
        <v>3891</v>
      </c>
      <c r="F165" s="306" t="s">
        <v>3892</v>
      </c>
    </row>
    <row r="166" spans="1:6">
      <c r="B166" s="496"/>
      <c r="C166" s="306" t="s">
        <v>3893</v>
      </c>
      <c r="D166" s="284" t="s">
        <v>3683</v>
      </c>
      <c r="E166" s="283" t="s">
        <v>3894</v>
      </c>
      <c r="F166" s="306" t="s">
        <v>3895</v>
      </c>
    </row>
    <row r="167" spans="1:6">
      <c r="B167" s="496"/>
      <c r="C167" s="309" t="s">
        <v>3896</v>
      </c>
      <c r="D167" s="284" t="s">
        <v>3683</v>
      </c>
      <c r="E167" s="283" t="s">
        <v>3894</v>
      </c>
      <c r="F167" s="306" t="s">
        <v>3895</v>
      </c>
    </row>
    <row r="168" spans="1:6" ht="246.75" customHeight="1">
      <c r="B168" s="496"/>
      <c r="C168" s="321" t="s">
        <v>368</v>
      </c>
      <c r="D168" s="284" t="s">
        <v>3897</v>
      </c>
      <c r="E168" s="315" t="s">
        <v>3898</v>
      </c>
      <c r="F168" s="306" t="s">
        <v>3899</v>
      </c>
    </row>
    <row r="169" spans="1:6" ht="219.75" customHeight="1">
      <c r="B169" s="496"/>
      <c r="C169" s="309" t="s">
        <v>376</v>
      </c>
      <c r="D169" s="284" t="s">
        <v>3897</v>
      </c>
      <c r="E169" s="315" t="s">
        <v>3900</v>
      </c>
    </row>
    <row r="170" spans="1:6" ht="407.25" customHeight="1">
      <c r="B170" s="496"/>
      <c r="C170" s="307" t="s">
        <v>3809</v>
      </c>
      <c r="D170" s="284" t="s">
        <v>3683</v>
      </c>
      <c r="E170" s="315" t="s">
        <v>3901</v>
      </c>
    </row>
    <row r="171" spans="1:6">
      <c r="B171" s="496"/>
      <c r="C171" s="287" t="s">
        <v>3902</v>
      </c>
      <c r="D171" s="322" t="s">
        <v>3683</v>
      </c>
      <c r="E171" s="296" t="s">
        <v>3903</v>
      </c>
      <c r="F171" s="323" t="s">
        <v>3904</v>
      </c>
    </row>
    <row r="172" spans="1:6">
      <c r="B172" s="496"/>
      <c r="C172" s="306" t="s">
        <v>3905</v>
      </c>
      <c r="D172" s="322" t="s">
        <v>3683</v>
      </c>
      <c r="E172" s="296" t="s">
        <v>3903</v>
      </c>
      <c r="F172" s="323" t="s">
        <v>3904</v>
      </c>
    </row>
    <row r="173" spans="1:6">
      <c r="B173" s="496"/>
      <c r="C173" s="306" t="s">
        <v>3906</v>
      </c>
      <c r="D173" s="322" t="s">
        <v>3683</v>
      </c>
      <c r="E173" s="296" t="s">
        <v>3903</v>
      </c>
      <c r="F173" s="323" t="s">
        <v>3904</v>
      </c>
    </row>
    <row r="174" spans="1:6" ht="75.75">
      <c r="B174" s="496"/>
      <c r="C174" s="306" t="s">
        <v>3907</v>
      </c>
      <c r="D174" s="322" t="s">
        <v>3683</v>
      </c>
      <c r="E174" s="296" t="s">
        <v>3903</v>
      </c>
      <c r="F174" s="292" t="s">
        <v>3908</v>
      </c>
    </row>
    <row r="175" spans="1:6" ht="90.75" customHeight="1">
      <c r="B175" s="496"/>
      <c r="C175" s="306" t="s">
        <v>353</v>
      </c>
      <c r="D175" s="322" t="s">
        <v>3683</v>
      </c>
      <c r="E175" s="296" t="s">
        <v>3903</v>
      </c>
      <c r="F175" s="315" t="s">
        <v>3909</v>
      </c>
    </row>
    <row r="176" spans="1:6" ht="62.25">
      <c r="B176" s="497"/>
      <c r="C176" s="283" t="s">
        <v>2018</v>
      </c>
      <c r="D176" s="284" t="s">
        <v>3683</v>
      </c>
      <c r="E176" s="315" t="s">
        <v>3910</v>
      </c>
    </row>
    <row r="177" spans="1:6">
      <c r="A177" s="495" t="s">
        <v>3911</v>
      </c>
      <c r="B177" s="498" t="s">
        <v>3782</v>
      </c>
      <c r="C177" s="319" t="s">
        <v>3912</v>
      </c>
      <c r="D177" s="314" t="s">
        <v>3683</v>
      </c>
      <c r="E177" s="305" t="s">
        <v>3913</v>
      </c>
      <c r="F177" s="303"/>
    </row>
    <row r="178" spans="1:6" ht="125.25">
      <c r="A178" s="496"/>
      <c r="B178" s="499"/>
      <c r="C178" s="306" t="s">
        <v>3914</v>
      </c>
      <c r="D178" s="306" t="s">
        <v>3915</v>
      </c>
      <c r="E178" s="312" t="s">
        <v>3916</v>
      </c>
    </row>
    <row r="179" spans="1:6" ht="188.25">
      <c r="A179" s="496"/>
      <c r="B179" s="499"/>
      <c r="C179" s="307" t="s">
        <v>3790</v>
      </c>
      <c r="D179" s="306"/>
      <c r="E179" s="324" t="s">
        <v>3917</v>
      </c>
      <c r="F179" s="283" t="s">
        <v>3918</v>
      </c>
    </row>
    <row r="180" spans="1:6">
      <c r="A180" s="496"/>
      <c r="B180" s="499"/>
      <c r="C180" s="306" t="s">
        <v>3919</v>
      </c>
      <c r="D180" s="284" t="s">
        <v>3683</v>
      </c>
      <c r="E180" s="283" t="s">
        <v>3920</v>
      </c>
    </row>
    <row r="181" spans="1:6">
      <c r="A181" s="496"/>
      <c r="B181" s="499"/>
      <c r="C181" s="306" t="s">
        <v>3921</v>
      </c>
      <c r="D181" s="284" t="s">
        <v>3683</v>
      </c>
      <c r="E181" s="283" t="s">
        <v>3920</v>
      </c>
    </row>
    <row r="182" spans="1:6">
      <c r="A182" s="496"/>
      <c r="B182" s="499"/>
      <c r="C182" s="306" t="s">
        <v>3922</v>
      </c>
      <c r="D182" s="284" t="s">
        <v>3683</v>
      </c>
      <c r="E182" s="283" t="s">
        <v>3920</v>
      </c>
      <c r="F182" s="306" t="s">
        <v>3923</v>
      </c>
    </row>
    <row r="183" spans="1:6" ht="37.5">
      <c r="A183" s="496"/>
      <c r="B183" s="499"/>
      <c r="C183" s="306" t="s">
        <v>3924</v>
      </c>
      <c r="D183" s="284" t="s">
        <v>3683</v>
      </c>
      <c r="E183" s="286" t="s">
        <v>3925</v>
      </c>
      <c r="F183" s="283" t="s">
        <v>3870</v>
      </c>
    </row>
    <row r="184" spans="1:6">
      <c r="A184" s="496"/>
      <c r="B184" s="499"/>
      <c r="C184" s="306" t="s">
        <v>3926</v>
      </c>
      <c r="D184" s="284" t="s">
        <v>3683</v>
      </c>
      <c r="E184" s="283" t="s">
        <v>3927</v>
      </c>
    </row>
    <row r="185" spans="1:6">
      <c r="A185" s="496"/>
      <c r="B185" s="499"/>
      <c r="C185" s="306" t="s">
        <v>3928</v>
      </c>
      <c r="D185" s="284" t="s">
        <v>3683</v>
      </c>
      <c r="E185" s="283" t="s">
        <v>3927</v>
      </c>
    </row>
    <row r="186" spans="1:6">
      <c r="A186" s="496"/>
      <c r="B186" s="499"/>
      <c r="C186" s="306" t="s">
        <v>3929</v>
      </c>
      <c r="D186" s="284" t="s">
        <v>3683</v>
      </c>
      <c r="E186" s="283" t="s">
        <v>3927</v>
      </c>
    </row>
    <row r="187" spans="1:6" ht="162.75">
      <c r="A187" s="496"/>
      <c r="B187" s="499"/>
      <c r="C187" s="307" t="s">
        <v>3848</v>
      </c>
      <c r="D187" s="284" t="s">
        <v>3683</v>
      </c>
      <c r="E187" s="312" t="s">
        <v>3930</v>
      </c>
      <c r="F187" s="306" t="s">
        <v>3931</v>
      </c>
    </row>
    <row r="188" spans="1:6">
      <c r="A188" s="496"/>
      <c r="B188" s="499"/>
      <c r="C188" s="306" t="s">
        <v>3932</v>
      </c>
      <c r="D188" s="284" t="s">
        <v>3683</v>
      </c>
      <c r="E188" s="283" t="s">
        <v>3933</v>
      </c>
    </row>
    <row r="189" spans="1:6">
      <c r="A189" s="496"/>
      <c r="B189" s="499"/>
      <c r="C189" s="306" t="s">
        <v>3934</v>
      </c>
      <c r="D189" s="284" t="s">
        <v>3683</v>
      </c>
      <c r="E189" s="283" t="s">
        <v>3933</v>
      </c>
    </row>
    <row r="190" spans="1:6">
      <c r="A190" s="496"/>
      <c r="B190" s="499"/>
      <c r="C190" s="306" t="s">
        <v>3935</v>
      </c>
      <c r="D190" s="284" t="s">
        <v>3683</v>
      </c>
      <c r="E190" s="283" t="s">
        <v>3933</v>
      </c>
    </row>
    <row r="191" spans="1:6">
      <c r="A191" s="496"/>
      <c r="B191" s="499"/>
      <c r="C191" s="306" t="s">
        <v>3936</v>
      </c>
      <c r="D191" s="284" t="s">
        <v>3683</v>
      </c>
      <c r="E191" s="283" t="s">
        <v>3933</v>
      </c>
    </row>
    <row r="192" spans="1:6">
      <c r="A192" s="496"/>
      <c r="B192" s="499"/>
      <c r="C192" s="306" t="s">
        <v>3937</v>
      </c>
      <c r="D192" s="284" t="s">
        <v>3683</v>
      </c>
      <c r="E192" s="283" t="s">
        <v>3933</v>
      </c>
    </row>
    <row r="193" spans="1:6">
      <c r="A193" s="496"/>
      <c r="B193" s="499"/>
      <c r="C193" s="306" t="s">
        <v>3938</v>
      </c>
      <c r="D193" s="284" t="s">
        <v>3683</v>
      </c>
      <c r="E193" s="283" t="s">
        <v>3933</v>
      </c>
    </row>
    <row r="194" spans="1:6">
      <c r="A194" s="496"/>
      <c r="B194" s="499"/>
      <c r="C194" s="306" t="s">
        <v>3939</v>
      </c>
      <c r="D194" s="284" t="s">
        <v>3683</v>
      </c>
      <c r="E194" s="283" t="s">
        <v>3933</v>
      </c>
    </row>
    <row r="195" spans="1:6" ht="117.75" customHeight="1">
      <c r="A195" s="496"/>
      <c r="B195" s="499"/>
      <c r="C195" s="283" t="s">
        <v>3694</v>
      </c>
      <c r="D195" s="284" t="s">
        <v>3683</v>
      </c>
      <c r="E195" s="315" t="s">
        <v>3940</v>
      </c>
      <c r="F195" s="306" t="s">
        <v>3941</v>
      </c>
    </row>
    <row r="196" spans="1:6">
      <c r="A196" s="496"/>
      <c r="B196" s="499"/>
      <c r="C196" s="306" t="s">
        <v>3942</v>
      </c>
      <c r="D196" s="284" t="s">
        <v>3683</v>
      </c>
      <c r="E196" s="283" t="s">
        <v>3933</v>
      </c>
    </row>
    <row r="197" spans="1:6" ht="162.75">
      <c r="A197" s="496"/>
      <c r="B197" s="499"/>
      <c r="C197" s="307" t="s">
        <v>3814</v>
      </c>
      <c r="D197" s="284" t="s">
        <v>3683</v>
      </c>
      <c r="E197" s="315" t="s">
        <v>3943</v>
      </c>
    </row>
    <row r="198" spans="1:6" ht="115.5" customHeight="1">
      <c r="A198" s="497"/>
      <c r="B198" s="500"/>
      <c r="C198" s="306" t="s">
        <v>2691</v>
      </c>
      <c r="D198" s="284" t="s">
        <v>3683</v>
      </c>
      <c r="E198" s="315" t="s">
        <v>3944</v>
      </c>
    </row>
    <row r="199" spans="1:6">
      <c r="A199" s="303"/>
      <c r="B199" s="303"/>
      <c r="C199" s="303"/>
      <c r="D199" s="303"/>
      <c r="E199" s="303"/>
      <c r="F199" s="303"/>
    </row>
  </sheetData>
  <mergeCells count="21">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 ref="A3:A20"/>
    <mergeCell ref="B8:B15"/>
    <mergeCell ref="A110:A135"/>
    <mergeCell ref="B123:B135"/>
    <mergeCell ref="B136:B176"/>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Yun Hye Yeong ̣(Jane)</cp:lastModifiedBy>
  <cp:revision/>
  <dcterms:created xsi:type="dcterms:W3CDTF">2025-11-13T03:28:02Z</dcterms:created>
  <dcterms:modified xsi:type="dcterms:W3CDTF">2026-08-28T05:25:12Z</dcterms:modified>
  <cp:category/>
  <cp:contentStatus/>
</cp:coreProperties>
</file>