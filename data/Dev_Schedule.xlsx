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ohmylab-my.sharepoint.com/personal/cb_park_ohmyhotel_com/Documents/Microsoft Teams 채팅 파일/"/>
    </mc:Choice>
  </mc:AlternateContent>
  <xr:revisionPtr revIDLastSave="553" documentId="13_ncr:1_{0F904C33-17B9-4CDF-A4CC-3C44E91FED1A}" xr6:coauthVersionLast="47" xr6:coauthVersionMax="47" xr10:uidLastSave="{35532CF3-9D65-46BA-885B-91D553C21AF5}"/>
  <bookViews>
    <workbookView xWindow="-38400" yWindow="0" windowWidth="29250" windowHeight="15480" firstSheet="1" activeTab="1" xr2:uid="{00000000-000D-0000-FFFF-FFFF00000000}"/>
  </bookViews>
  <sheets>
    <sheet name="대시보드 Dashboard" sheetId="1" r:id="rId1"/>
    <sheet name="개발 간트 Dev Gantt" sheetId="9" r:id="rId2"/>
    <sheet name="스위칭 업체 Switch vendors" sheetId="2" r:id="rId3"/>
    <sheet name="스위칭 연동 Switching" sheetId="3" r:id="rId4"/>
    <sheet name="서드파티 연동 3rd Party" sheetId="4" r:id="rId5"/>
    <sheet name="우리가 공급사 OMH Supply" sheetId="5" r:id="rId6"/>
    <sheet name="상호연동 Two-way" sheetId="6" r:id="rId7"/>
    <sheet name="Chase Log" sheetId="7" r:id="rId8"/>
    <sheet name="안내 Guide" sheetId="8" r:id="rId9"/>
  </sheets>
  <definedNames>
    <definedName name="_xlnm._FilterDatabase" localSheetId="7" hidden="1">'Chase Log'!$A$3:$K$28</definedName>
    <definedName name="_xlnm._FilterDatabase" localSheetId="6" hidden="1">'상호연동 Two-way'!$A$4:$AX$24</definedName>
    <definedName name="_xlnm._FilterDatabase" localSheetId="4" hidden="1">'서드파티 연동 3rd Party'!$A$4:$AU$8</definedName>
    <definedName name="_xlnm._FilterDatabase" localSheetId="2" hidden="1">'스위칭 업체 Switch vendors'!$A$4:$AX$12</definedName>
    <definedName name="_xlnm._FilterDatabase" localSheetId="3" hidden="1">'스위칭 연동 Switching'!$A$4:$AU$20</definedName>
    <definedName name="_xlnm._FilterDatabase" localSheetId="5" hidden="1">'우리가 공급사 OMH Supply'!$A$4:$AU$98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5" l="1"/>
  <c r="B5" i="5"/>
  <c r="P9" i="5" a="1"/>
  <c r="P9" i="5"/>
  <c r="B9" i="5"/>
  <c r="B2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B10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J9" i="9"/>
  <c r="B9" i="9"/>
  <c r="E4" i="9"/>
  <c r="K8" i="9" s="1"/>
  <c r="K7" i="9" s="1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Y24" i="6"/>
  <c r="Z24" i="6" s="1"/>
  <c r="AB24" i="6" s="1"/>
  <c r="X24" i="6"/>
  <c r="W24" i="6"/>
  <c r="T24" i="6"/>
  <c r="V24" i="6" s="1"/>
  <c r="S24" i="6"/>
  <c r="AC24" i="6" s="1"/>
  <c r="B24" i="6"/>
  <c r="A24" i="6"/>
  <c r="Y23" i="6"/>
  <c r="Z23" i="6" s="1"/>
  <c r="W23" i="6"/>
  <c r="T23" i="6"/>
  <c r="S23" i="6"/>
  <c r="AC23" i="6" s="1"/>
  <c r="A23" i="6"/>
  <c r="Y22" i="6"/>
  <c r="Z22" i="6" s="1"/>
  <c r="W22" i="6"/>
  <c r="T22" i="6"/>
  <c r="U22" i="6" s="1"/>
  <c r="S22" i="6"/>
  <c r="A22" i="6"/>
  <c r="Y21" i="6"/>
  <c r="Z21" i="6" s="1"/>
  <c r="W21" i="6"/>
  <c r="T21" i="6"/>
  <c r="U21" i="6" s="1"/>
  <c r="S21" i="6"/>
  <c r="AC21" i="6" s="1"/>
  <c r="A21" i="6"/>
  <c r="Y20" i="6"/>
  <c r="Z20" i="6" s="1"/>
  <c r="AB20" i="6" s="1"/>
  <c r="X20" i="6"/>
  <c r="W20" i="6"/>
  <c r="T20" i="6"/>
  <c r="U20" i="6" s="1"/>
  <c r="S20" i="6"/>
  <c r="A20" i="6"/>
  <c r="Y19" i="6"/>
  <c r="Z19" i="6" s="1"/>
  <c r="X19" i="6"/>
  <c r="W19" i="6"/>
  <c r="U19" i="6"/>
  <c r="T19" i="6"/>
  <c r="V19" i="6" s="1"/>
  <c r="S19" i="6"/>
  <c r="B19" i="6"/>
  <c r="A19" i="6"/>
  <c r="Y18" i="6"/>
  <c r="Z18" i="6" s="1"/>
  <c r="X18" i="6"/>
  <c r="W18" i="6"/>
  <c r="T18" i="6"/>
  <c r="V18" i="6" s="1"/>
  <c r="S18" i="6"/>
  <c r="B18" i="6"/>
  <c r="A18" i="6"/>
  <c r="Y17" i="6"/>
  <c r="Z17" i="6" s="1"/>
  <c r="X17" i="6"/>
  <c r="W17" i="6"/>
  <c r="T17" i="6"/>
  <c r="U17" i="6" s="1"/>
  <c r="S17" i="6"/>
  <c r="A17" i="6"/>
  <c r="Y16" i="6"/>
  <c r="Z16" i="6" s="1"/>
  <c r="X16" i="6"/>
  <c r="W16" i="6"/>
  <c r="T16" i="6"/>
  <c r="U16" i="6" s="1"/>
  <c r="S16" i="6"/>
  <c r="A16" i="6"/>
  <c r="Y15" i="6"/>
  <c r="Z15" i="6" s="1"/>
  <c r="AA15" i="6" s="1"/>
  <c r="X15" i="6"/>
  <c r="W15" i="6"/>
  <c r="V15" i="6"/>
  <c r="T15" i="6"/>
  <c r="U15" i="6" s="1"/>
  <c r="S15" i="6"/>
  <c r="A15" i="6"/>
  <c r="Y14" i="6"/>
  <c r="Z14" i="6" s="1"/>
  <c r="AB14" i="6" s="1"/>
  <c r="W14" i="6"/>
  <c r="T14" i="6"/>
  <c r="S14" i="6"/>
  <c r="X14" i="6" s="1"/>
  <c r="A14" i="6"/>
  <c r="Y13" i="6"/>
  <c r="Z13" i="6" s="1"/>
  <c r="X13" i="6"/>
  <c r="W13" i="6"/>
  <c r="T13" i="6"/>
  <c r="S13" i="6"/>
  <c r="A13" i="6"/>
  <c r="Y12" i="6"/>
  <c r="Z12" i="6" s="1"/>
  <c r="W12" i="6"/>
  <c r="T12" i="6"/>
  <c r="U12" i="6" s="1"/>
  <c r="S12" i="6"/>
  <c r="A12" i="6"/>
  <c r="Y11" i="6"/>
  <c r="Z11" i="6" s="1"/>
  <c r="AB11" i="6" s="1"/>
  <c r="W11" i="6"/>
  <c r="T11" i="6"/>
  <c r="S11" i="6"/>
  <c r="X11" i="6" s="1"/>
  <c r="B11" i="6"/>
  <c r="A11" i="6"/>
  <c r="Y10" i="6"/>
  <c r="Z10" i="6" s="1"/>
  <c r="AA10" i="6" s="1"/>
  <c r="W10" i="6"/>
  <c r="T10" i="6"/>
  <c r="S10" i="6"/>
  <c r="X10" i="6" s="1"/>
  <c r="A10" i="6"/>
  <c r="Y9" i="6"/>
  <c r="Z9" i="6" s="1"/>
  <c r="AA9" i="6" s="1"/>
  <c r="W9" i="6"/>
  <c r="T9" i="6"/>
  <c r="S9" i="6"/>
  <c r="X9" i="6" s="1"/>
  <c r="A9" i="6"/>
  <c r="Y8" i="6"/>
  <c r="Z8" i="6" s="1"/>
  <c r="AB8" i="6" s="1"/>
  <c r="W8" i="6"/>
  <c r="T8" i="6"/>
  <c r="U8" i="6" s="1"/>
  <c r="S8" i="6"/>
  <c r="B8" i="6"/>
  <c r="A8" i="6"/>
  <c r="Y7" i="6"/>
  <c r="Z7" i="6" s="1"/>
  <c r="W7" i="6"/>
  <c r="T7" i="6"/>
  <c r="S7" i="6"/>
  <c r="X7" i="6" s="1"/>
  <c r="A7" i="6"/>
  <c r="Y6" i="6"/>
  <c r="Z6" i="6" s="1"/>
  <c r="AA6" i="6" s="1"/>
  <c r="W6" i="6"/>
  <c r="T6" i="6"/>
  <c r="U6" i="6" s="1"/>
  <c r="S6" i="6"/>
  <c r="X6" i="6" s="1"/>
  <c r="A6" i="6"/>
  <c r="Y5" i="6"/>
  <c r="Z5" i="6" s="1"/>
  <c r="AA5" i="6" s="1"/>
  <c r="W5" i="6"/>
  <c r="T5" i="6"/>
  <c r="U5" i="6" s="1"/>
  <c r="S5" i="6"/>
  <c r="B5" i="6"/>
  <c r="A5" i="6"/>
  <c r="V98" i="5"/>
  <c r="W98" i="5" s="1"/>
  <c r="X98" i="5" s="1"/>
  <c r="T98" i="5"/>
  <c r="Q98" i="5"/>
  <c r="R98" i="5" s="1"/>
  <c r="P98" i="5"/>
  <c r="Z98" i="5" s="1"/>
  <c r="A98" i="5"/>
  <c r="V97" i="5"/>
  <c r="W97" i="5" s="1"/>
  <c r="Y97" i="5" s="1"/>
  <c r="T97" i="5"/>
  <c r="Q97" i="5"/>
  <c r="P97" i="5"/>
  <c r="Z97" i="5" s="1"/>
  <c r="A97" i="5"/>
  <c r="Z96" i="5"/>
  <c r="W28" i="1" s="1"/>
  <c r="V96" i="5"/>
  <c r="W96" i="5" s="1"/>
  <c r="T96" i="5"/>
  <c r="Q96" i="5"/>
  <c r="B96" i="5" s="1"/>
  <c r="S28" i="1" s="1"/>
  <c r="P96" i="5"/>
  <c r="U96" i="5" s="1"/>
  <c r="A96" i="5"/>
  <c r="V95" i="5"/>
  <c r="W95" i="5" s="1"/>
  <c r="T95" i="5"/>
  <c r="Q95" i="5"/>
  <c r="R95" i="5" s="1"/>
  <c r="P95" i="5"/>
  <c r="B95" i="5" s="1"/>
  <c r="A95" i="5"/>
  <c r="V94" i="5"/>
  <c r="W94" i="5" s="1"/>
  <c r="T94" i="5"/>
  <c r="Q94" i="5"/>
  <c r="P94" i="5"/>
  <c r="Z94" i="5" s="1"/>
  <c r="B94" i="5"/>
  <c r="A94" i="5"/>
  <c r="V93" i="5"/>
  <c r="W93" i="5" s="1"/>
  <c r="Y93" i="5" s="1"/>
  <c r="T93" i="5"/>
  <c r="Q93" i="5"/>
  <c r="P93" i="5"/>
  <c r="Z93" i="5" s="1"/>
  <c r="B93" i="5"/>
  <c r="A93" i="5"/>
  <c r="V92" i="5"/>
  <c r="W92" i="5" s="1"/>
  <c r="T92" i="5"/>
  <c r="Q92" i="5"/>
  <c r="R92" i="5" s="1"/>
  <c r="P92" i="5"/>
  <c r="Z92" i="5" s="1"/>
  <c r="A92" i="5"/>
  <c r="V91" i="5"/>
  <c r="W91" i="5" s="1"/>
  <c r="X91" i="5" s="1"/>
  <c r="T91" i="5"/>
  <c r="Q91" i="5"/>
  <c r="R91" i="5" s="1"/>
  <c r="P91" i="5"/>
  <c r="S91" i="5" s="1"/>
  <c r="B91" i="5"/>
  <c r="A91" i="5"/>
  <c r="V90" i="5"/>
  <c r="W90" i="5" s="1"/>
  <c r="Y90" i="5" s="1"/>
  <c r="T90" i="5"/>
  <c r="Q90" i="5"/>
  <c r="P90" i="5"/>
  <c r="Z90" i="5" s="1"/>
  <c r="A90" i="5"/>
  <c r="V89" i="5"/>
  <c r="W89" i="5" s="1"/>
  <c r="X89" i="5" s="1"/>
  <c r="T89" i="5"/>
  <c r="Q89" i="5"/>
  <c r="R89" i="5" s="1"/>
  <c r="P89" i="5"/>
  <c r="A89" i="5"/>
  <c r="V88" i="5"/>
  <c r="W88" i="5" s="1"/>
  <c r="T88" i="5"/>
  <c r="Q88" i="5"/>
  <c r="R88" i="5" s="1"/>
  <c r="P88" i="5"/>
  <c r="Z88" i="5" s="1"/>
  <c r="A88" i="5"/>
  <c r="V87" i="5"/>
  <c r="W87" i="5" s="1"/>
  <c r="T87" i="5"/>
  <c r="Q87" i="5"/>
  <c r="R87" i="5" s="1"/>
  <c r="P87" i="5"/>
  <c r="U87" i="5" s="1"/>
  <c r="B87" i="5"/>
  <c r="A87" i="5"/>
  <c r="V86" i="5"/>
  <c r="W86" i="5" s="1"/>
  <c r="X86" i="5" s="1"/>
  <c r="T86" i="5"/>
  <c r="Q86" i="5"/>
  <c r="R86" i="5" s="1"/>
  <c r="P86" i="5"/>
  <c r="A86" i="5"/>
  <c r="V85" i="5"/>
  <c r="W85" i="5" s="1"/>
  <c r="T85" i="5"/>
  <c r="Q85" i="5"/>
  <c r="P85" i="5"/>
  <c r="A85" i="5"/>
  <c r="V84" i="5"/>
  <c r="W84" i="5" s="1"/>
  <c r="U84" i="5"/>
  <c r="T84" i="5"/>
  <c r="Q84" i="5"/>
  <c r="R84" i="5" s="1"/>
  <c r="P84" i="5"/>
  <c r="Z84" i="5" s="1"/>
  <c r="A84" i="5"/>
  <c r="V83" i="5"/>
  <c r="W83" i="5" s="1"/>
  <c r="T83" i="5"/>
  <c r="Q83" i="5"/>
  <c r="P83" i="5"/>
  <c r="U83" i="5" s="1"/>
  <c r="A83" i="5"/>
  <c r="V82" i="5"/>
  <c r="W82" i="5" s="1"/>
  <c r="T82" i="5"/>
  <c r="Q82" i="5"/>
  <c r="R82" i="5" s="1"/>
  <c r="P82" i="5"/>
  <c r="Z82" i="5" s="1"/>
  <c r="A82" i="5"/>
  <c r="V81" i="5"/>
  <c r="W81" i="5" s="1"/>
  <c r="Y81" i="5" s="1"/>
  <c r="T81" i="5"/>
  <c r="Q81" i="5"/>
  <c r="R81" i="5" s="1"/>
  <c r="P81" i="5"/>
  <c r="Z81" i="5" s="1"/>
  <c r="A81" i="5"/>
  <c r="V80" i="5"/>
  <c r="W80" i="5" s="1"/>
  <c r="Y80" i="5" s="1"/>
  <c r="T80" i="5"/>
  <c r="Q80" i="5"/>
  <c r="P80" i="5"/>
  <c r="U80" i="5" s="1"/>
  <c r="B80" i="5"/>
  <c r="A80" i="5"/>
  <c r="Z79" i="5"/>
  <c r="V79" i="5"/>
  <c r="W79" i="5" s="1"/>
  <c r="T79" i="5"/>
  <c r="Q79" i="5"/>
  <c r="R79" i="5" s="1"/>
  <c r="P79" i="5"/>
  <c r="S79" i="5" s="1"/>
  <c r="A79" i="5"/>
  <c r="V78" i="5"/>
  <c r="W78" i="5" s="1"/>
  <c r="X78" i="5" s="1"/>
  <c r="T78" i="5"/>
  <c r="Q78" i="5"/>
  <c r="R78" i="5" s="1"/>
  <c r="P78" i="5"/>
  <c r="Z78" i="5" s="1"/>
  <c r="B78" i="5"/>
  <c r="A78" i="5"/>
  <c r="V77" i="5"/>
  <c r="W77" i="5" s="1"/>
  <c r="Y77" i="5" s="1"/>
  <c r="T77" i="5"/>
  <c r="Q77" i="5"/>
  <c r="B77" i="5" s="1"/>
  <c r="P77" i="5"/>
  <c r="Z77" i="5" s="1"/>
  <c r="A77" i="5"/>
  <c r="V76" i="5"/>
  <c r="W76" i="5" s="1"/>
  <c r="X76" i="5" s="1"/>
  <c r="T76" i="5"/>
  <c r="Q76" i="5"/>
  <c r="P76" i="5"/>
  <c r="Z76" i="5" s="1"/>
  <c r="A76" i="5"/>
  <c r="V75" i="5"/>
  <c r="W75" i="5" s="1"/>
  <c r="Y75" i="5" s="1"/>
  <c r="T75" i="5"/>
  <c r="Q75" i="5"/>
  <c r="R75" i="5" s="1"/>
  <c r="P75" i="5"/>
  <c r="B75" i="5"/>
  <c r="A75" i="5"/>
  <c r="V74" i="5"/>
  <c r="W74" i="5" s="1"/>
  <c r="Y74" i="5" s="1"/>
  <c r="T74" i="5"/>
  <c r="Q74" i="5"/>
  <c r="R74" i="5" s="1"/>
  <c r="P74" i="5"/>
  <c r="Z74" i="5" s="1"/>
  <c r="A74" i="5"/>
  <c r="V73" i="5"/>
  <c r="W73" i="5" s="1"/>
  <c r="T73" i="5"/>
  <c r="Q73" i="5"/>
  <c r="R73" i="5" s="1"/>
  <c r="P73" i="5"/>
  <c r="A73" i="5"/>
  <c r="V72" i="5"/>
  <c r="W72" i="5" s="1"/>
  <c r="T72" i="5"/>
  <c r="Q72" i="5"/>
  <c r="R72" i="5" s="1"/>
  <c r="P72" i="5"/>
  <c r="A72" i="5"/>
  <c r="V71" i="5"/>
  <c r="W71" i="5" s="1"/>
  <c r="T71" i="5"/>
  <c r="Q71" i="5"/>
  <c r="B71" i="5" s="1"/>
  <c r="P71" i="5"/>
  <c r="U71" i="5" s="1"/>
  <c r="A71" i="5"/>
  <c r="V70" i="5"/>
  <c r="W70" i="5" s="1"/>
  <c r="T70" i="5"/>
  <c r="Q70" i="5"/>
  <c r="P70" i="5"/>
  <c r="A70" i="5"/>
  <c r="V69" i="5"/>
  <c r="W69" i="5" s="1"/>
  <c r="U69" i="5"/>
  <c r="T69" i="5"/>
  <c r="Q69" i="5"/>
  <c r="P69" i="5"/>
  <c r="A69" i="5"/>
  <c r="V68" i="5"/>
  <c r="W68" i="5" s="1"/>
  <c r="X68" i="5" s="1"/>
  <c r="U68" i="5"/>
  <c r="T68" i="5"/>
  <c r="Q68" i="5"/>
  <c r="R68" i="5" s="1"/>
  <c r="P68" i="5"/>
  <c r="B68" i="5"/>
  <c r="A68" i="5"/>
  <c r="V67" i="5"/>
  <c r="W67" i="5" s="1"/>
  <c r="U67" i="5"/>
  <c r="T67" i="5"/>
  <c r="Q67" i="5"/>
  <c r="P67" i="5"/>
  <c r="A67" i="5"/>
  <c r="V66" i="5"/>
  <c r="W66" i="5" s="1"/>
  <c r="U66" i="5"/>
  <c r="T66" i="5"/>
  <c r="Q66" i="5"/>
  <c r="R66" i="5" s="1"/>
  <c r="P66" i="5"/>
  <c r="A66" i="5"/>
  <c r="V65" i="5"/>
  <c r="W65" i="5" s="1"/>
  <c r="Y65" i="5" s="1"/>
  <c r="U65" i="5"/>
  <c r="T65" i="5"/>
  <c r="Q65" i="5"/>
  <c r="P65" i="5"/>
  <c r="A65" i="5"/>
  <c r="V64" i="5"/>
  <c r="W64" i="5" s="1"/>
  <c r="Y64" i="5" s="1"/>
  <c r="U64" i="5"/>
  <c r="T64" i="5"/>
  <c r="S64" i="5"/>
  <c r="Q64" i="5"/>
  <c r="R64" i="5" s="1"/>
  <c r="P64" i="5"/>
  <c r="B64" i="5"/>
  <c r="A64" i="5"/>
  <c r="V63" i="5"/>
  <c r="W63" i="5" s="1"/>
  <c r="U63" i="5"/>
  <c r="T63" i="5"/>
  <c r="Q63" i="5"/>
  <c r="R63" i="5" s="1"/>
  <c r="P63" i="5"/>
  <c r="B63" i="5"/>
  <c r="A63" i="5"/>
  <c r="V62" i="5"/>
  <c r="W62" i="5" s="1"/>
  <c r="U62" i="5"/>
  <c r="T62" i="5"/>
  <c r="Q62" i="5"/>
  <c r="S62" i="5" s="1"/>
  <c r="P62" i="5"/>
  <c r="A62" i="5"/>
  <c r="V61" i="5"/>
  <c r="W61" i="5" s="1"/>
  <c r="Y61" i="5" s="1"/>
  <c r="U61" i="5"/>
  <c r="T61" i="5"/>
  <c r="Q61" i="5"/>
  <c r="P61" i="5"/>
  <c r="B61" i="5"/>
  <c r="A61" i="5"/>
  <c r="V60" i="5"/>
  <c r="W60" i="5" s="1"/>
  <c r="X60" i="5" s="1"/>
  <c r="U60" i="5"/>
  <c r="T60" i="5"/>
  <c r="Q60" i="5"/>
  <c r="B60" i="5" s="1"/>
  <c r="P60" i="5"/>
  <c r="A60" i="5"/>
  <c r="V59" i="5"/>
  <c r="W59" i="5" s="1"/>
  <c r="Y59" i="5" s="1"/>
  <c r="U59" i="5"/>
  <c r="T59" i="5"/>
  <c r="Q59" i="5"/>
  <c r="S59" i="5" s="1"/>
  <c r="P59" i="5"/>
  <c r="A59" i="5"/>
  <c r="V58" i="5"/>
  <c r="W58" i="5" s="1"/>
  <c r="Y58" i="5" s="1"/>
  <c r="U58" i="5"/>
  <c r="T58" i="5"/>
  <c r="Q58" i="5"/>
  <c r="R58" i="5" s="1"/>
  <c r="P58" i="5"/>
  <c r="A58" i="5"/>
  <c r="V57" i="5"/>
  <c r="W57" i="5" s="1"/>
  <c r="Y57" i="5" s="1"/>
  <c r="U57" i="5"/>
  <c r="T57" i="5"/>
  <c r="Q57" i="5"/>
  <c r="B57" i="5" s="1"/>
  <c r="P57" i="5"/>
  <c r="A57" i="5"/>
  <c r="V56" i="5"/>
  <c r="W56" i="5" s="1"/>
  <c r="U56" i="5"/>
  <c r="T56" i="5"/>
  <c r="Q56" i="5"/>
  <c r="R56" i="5" s="1"/>
  <c r="P56" i="5"/>
  <c r="B56" i="5"/>
  <c r="A56" i="5"/>
  <c r="V55" i="5"/>
  <c r="W55" i="5" s="1"/>
  <c r="U55" i="5"/>
  <c r="T55" i="5"/>
  <c r="Q55" i="5"/>
  <c r="S55" i="5" s="1"/>
  <c r="P55" i="5"/>
  <c r="A55" i="5"/>
  <c r="V54" i="5"/>
  <c r="W54" i="5" s="1"/>
  <c r="U54" i="5"/>
  <c r="T54" i="5"/>
  <c r="Q54" i="5"/>
  <c r="R54" i="5" s="1"/>
  <c r="P54" i="5"/>
  <c r="A54" i="5"/>
  <c r="V53" i="5"/>
  <c r="W53" i="5" s="1"/>
  <c r="X53" i="5" s="1"/>
  <c r="U53" i="5"/>
  <c r="T53" i="5"/>
  <c r="Q53" i="5"/>
  <c r="P53" i="5"/>
  <c r="A53" i="5"/>
  <c r="V52" i="5"/>
  <c r="W52" i="5" s="1"/>
  <c r="Y52" i="5" s="1"/>
  <c r="U52" i="5"/>
  <c r="T52" i="5"/>
  <c r="Q52" i="5"/>
  <c r="P52" i="5"/>
  <c r="A52" i="5"/>
  <c r="V51" i="5"/>
  <c r="W51" i="5" s="1"/>
  <c r="U51" i="5"/>
  <c r="T51" i="5"/>
  <c r="Q51" i="5"/>
  <c r="R51" i="5" s="1"/>
  <c r="P51" i="5"/>
  <c r="A51" i="5"/>
  <c r="V50" i="5"/>
  <c r="W50" i="5" s="1"/>
  <c r="Y50" i="5" s="1"/>
  <c r="U50" i="5"/>
  <c r="T50" i="5"/>
  <c r="Q50" i="5"/>
  <c r="P50" i="5"/>
  <c r="A50" i="5"/>
  <c r="V49" i="5"/>
  <c r="W49" i="5" s="1"/>
  <c r="U49" i="5"/>
  <c r="T49" i="5"/>
  <c r="Q49" i="5"/>
  <c r="S49" i="5" s="1"/>
  <c r="P49" i="5"/>
  <c r="B49" i="5"/>
  <c r="A49" i="5"/>
  <c r="V48" i="5"/>
  <c r="W48" i="5" s="1"/>
  <c r="U48" i="5"/>
  <c r="T48" i="5"/>
  <c r="Q48" i="5"/>
  <c r="S48" i="5" s="1"/>
  <c r="P48" i="5"/>
  <c r="A48" i="5"/>
  <c r="V47" i="5"/>
  <c r="W47" i="5" s="1"/>
  <c r="Y47" i="5" s="1"/>
  <c r="U47" i="5"/>
  <c r="T47" i="5"/>
  <c r="Q47" i="5"/>
  <c r="S47" i="5" s="1"/>
  <c r="P47" i="5"/>
  <c r="A47" i="5"/>
  <c r="V46" i="5"/>
  <c r="W46" i="5" s="1"/>
  <c r="X46" i="5" s="1"/>
  <c r="U46" i="5"/>
  <c r="T46" i="5"/>
  <c r="Q46" i="5"/>
  <c r="B46" i="5" s="1"/>
  <c r="P46" i="5"/>
  <c r="A46" i="5"/>
  <c r="V45" i="5"/>
  <c r="W45" i="5" s="1"/>
  <c r="U45" i="5"/>
  <c r="T45" i="5"/>
  <c r="Q45" i="5"/>
  <c r="P45" i="5"/>
  <c r="A45" i="5"/>
  <c r="V44" i="5"/>
  <c r="W44" i="5" s="1"/>
  <c r="X44" i="5" s="1"/>
  <c r="U44" i="5"/>
  <c r="T44" i="5"/>
  <c r="Q44" i="5"/>
  <c r="S44" i="5" s="1"/>
  <c r="P44" i="5"/>
  <c r="A44" i="5"/>
  <c r="V43" i="5"/>
  <c r="W43" i="5" s="1"/>
  <c r="U43" i="5"/>
  <c r="T43" i="5"/>
  <c r="Q43" i="5"/>
  <c r="R43" i="5" s="1"/>
  <c r="P43" i="5"/>
  <c r="A43" i="5"/>
  <c r="V42" i="5"/>
  <c r="W42" i="5" s="1"/>
  <c r="X42" i="5" s="1"/>
  <c r="U42" i="5"/>
  <c r="T42" i="5"/>
  <c r="Q42" i="5"/>
  <c r="B42" i="5" s="1"/>
  <c r="P42" i="5"/>
  <c r="A42" i="5"/>
  <c r="V41" i="5"/>
  <c r="W41" i="5" s="1"/>
  <c r="U41" i="5"/>
  <c r="T41" i="5"/>
  <c r="Q41" i="5"/>
  <c r="R41" i="5" s="1"/>
  <c r="P41" i="5"/>
  <c r="B41" i="5"/>
  <c r="A41" i="5"/>
  <c r="V40" i="5"/>
  <c r="W40" i="5" s="1"/>
  <c r="U40" i="5"/>
  <c r="T40" i="5"/>
  <c r="Q40" i="5"/>
  <c r="S40" i="5" s="1"/>
  <c r="P40" i="5"/>
  <c r="A40" i="5"/>
  <c r="V39" i="5"/>
  <c r="W39" i="5" s="1"/>
  <c r="U39" i="5"/>
  <c r="T39" i="5"/>
  <c r="Q39" i="5"/>
  <c r="S39" i="5" s="1"/>
  <c r="P39" i="5"/>
  <c r="A39" i="5"/>
  <c r="V38" i="5"/>
  <c r="W38" i="5" s="1"/>
  <c r="U38" i="5"/>
  <c r="T38" i="5"/>
  <c r="Q38" i="5"/>
  <c r="P38" i="5"/>
  <c r="A38" i="5"/>
  <c r="V37" i="5"/>
  <c r="W37" i="5" s="1"/>
  <c r="X37" i="5" s="1"/>
  <c r="U37" i="5"/>
  <c r="T37" i="5"/>
  <c r="Q37" i="5"/>
  <c r="R37" i="5" s="1"/>
  <c r="P37" i="5"/>
  <c r="B37" i="5"/>
  <c r="A37" i="5"/>
  <c r="V36" i="5"/>
  <c r="W36" i="5" s="1"/>
  <c r="U36" i="5"/>
  <c r="T36" i="5"/>
  <c r="Q36" i="5"/>
  <c r="P36" i="5"/>
  <c r="A36" i="5"/>
  <c r="V35" i="5"/>
  <c r="W35" i="5" s="1"/>
  <c r="U35" i="5"/>
  <c r="T35" i="5"/>
  <c r="Q35" i="5"/>
  <c r="R35" i="5" s="1"/>
  <c r="P35" i="5"/>
  <c r="A35" i="5"/>
  <c r="V34" i="5"/>
  <c r="W34" i="5" s="1"/>
  <c r="Y34" i="5" s="1"/>
  <c r="U34" i="5"/>
  <c r="T34" i="5"/>
  <c r="Q34" i="5"/>
  <c r="P34" i="5"/>
  <c r="A34" i="5"/>
  <c r="V33" i="5"/>
  <c r="W33" i="5" s="1"/>
  <c r="Y33" i="5" s="1"/>
  <c r="U33" i="5"/>
  <c r="T33" i="5"/>
  <c r="Q33" i="5"/>
  <c r="S33" i="5" s="1"/>
  <c r="P33" i="5"/>
  <c r="B33" i="5"/>
  <c r="A33" i="5"/>
  <c r="V32" i="5"/>
  <c r="W32" i="5" s="1"/>
  <c r="U32" i="5"/>
  <c r="T32" i="5"/>
  <c r="Q32" i="5"/>
  <c r="S32" i="5" s="1"/>
  <c r="P32" i="5"/>
  <c r="A32" i="5"/>
  <c r="V31" i="5"/>
  <c r="W31" i="5" s="1"/>
  <c r="U31" i="5"/>
  <c r="T31" i="5"/>
  <c r="Q31" i="5"/>
  <c r="S31" i="5" s="1"/>
  <c r="P31" i="5"/>
  <c r="A31" i="5"/>
  <c r="V30" i="5"/>
  <c r="W30" i="5" s="1"/>
  <c r="Y30" i="5" s="1"/>
  <c r="U30" i="5"/>
  <c r="T30" i="5"/>
  <c r="Q30" i="5"/>
  <c r="B30" i="5" s="1"/>
  <c r="P30" i="5"/>
  <c r="A30" i="5"/>
  <c r="V29" i="5"/>
  <c r="W29" i="5" s="1"/>
  <c r="U29" i="5"/>
  <c r="T29" i="5"/>
  <c r="Q29" i="5"/>
  <c r="B29" i="5" s="1"/>
  <c r="P29" i="5"/>
  <c r="A29" i="5"/>
  <c r="V28" i="5"/>
  <c r="W28" i="5" s="1"/>
  <c r="Y28" i="5" s="1"/>
  <c r="U28" i="5"/>
  <c r="T28" i="5"/>
  <c r="Q28" i="5"/>
  <c r="S28" i="5" s="1"/>
  <c r="P28" i="5"/>
  <c r="B28" i="5"/>
  <c r="A28" i="5"/>
  <c r="V27" i="5"/>
  <c r="W27" i="5" s="1"/>
  <c r="Y27" i="5" s="1"/>
  <c r="U27" i="5"/>
  <c r="T27" i="5"/>
  <c r="Q27" i="5"/>
  <c r="P27" i="5"/>
  <c r="A27" i="5"/>
  <c r="V26" i="5"/>
  <c r="W26" i="5" s="1"/>
  <c r="Y26" i="5" s="1"/>
  <c r="U26" i="5"/>
  <c r="T26" i="5"/>
  <c r="Q26" i="5"/>
  <c r="B26" i="5" s="1"/>
  <c r="P26" i="5"/>
  <c r="A26" i="5"/>
  <c r="V25" i="5"/>
  <c r="W25" i="5" s="1"/>
  <c r="X25" i="5" s="1"/>
  <c r="U25" i="5"/>
  <c r="T25" i="5"/>
  <c r="Q25" i="5"/>
  <c r="R25" i="5" s="1"/>
  <c r="P25" i="5"/>
  <c r="B25" i="5"/>
  <c r="A25" i="5"/>
  <c r="V24" i="5"/>
  <c r="W24" i="5" s="1"/>
  <c r="U24" i="5"/>
  <c r="T24" i="5"/>
  <c r="Q24" i="5"/>
  <c r="S24" i="5" s="1"/>
  <c r="P24" i="5"/>
  <c r="B24" i="5"/>
  <c r="A24" i="5"/>
  <c r="V23" i="5"/>
  <c r="W23" i="5" s="1"/>
  <c r="U23" i="5"/>
  <c r="T23" i="5"/>
  <c r="Q23" i="5"/>
  <c r="R23" i="5" s="1"/>
  <c r="P23" i="5"/>
  <c r="A23" i="5"/>
  <c r="V22" i="5"/>
  <c r="W22" i="5" s="1"/>
  <c r="U22" i="5"/>
  <c r="T22" i="5"/>
  <c r="Q22" i="5"/>
  <c r="R22" i="5" s="1"/>
  <c r="P22" i="5"/>
  <c r="A22" i="5"/>
  <c r="V21" i="5"/>
  <c r="W21" i="5" s="1"/>
  <c r="X21" i="5" s="1"/>
  <c r="T21" i="5"/>
  <c r="Q21" i="5"/>
  <c r="P21" i="5"/>
  <c r="U21" i="5" s="1"/>
  <c r="A21" i="5"/>
  <c r="V20" i="5"/>
  <c r="W20" i="5" s="1"/>
  <c r="Y20" i="5" s="1"/>
  <c r="T20" i="5"/>
  <c r="Q20" i="5"/>
  <c r="P20" i="5"/>
  <c r="U20" i="5" s="1"/>
  <c r="A20" i="5"/>
  <c r="V19" i="5"/>
  <c r="W19" i="5" s="1"/>
  <c r="X19" i="5" s="1"/>
  <c r="T19" i="5"/>
  <c r="Q19" i="5"/>
  <c r="R19" i="5" s="1"/>
  <c r="P19" i="5"/>
  <c r="U19" i="5" s="1"/>
  <c r="A19" i="5"/>
  <c r="V18" i="5"/>
  <c r="W18" i="5" s="1"/>
  <c r="X18" i="5" s="1"/>
  <c r="T18" i="5"/>
  <c r="Q18" i="5"/>
  <c r="P18" i="5"/>
  <c r="U18" i="5" s="1"/>
  <c r="A18" i="5"/>
  <c r="V17" i="5"/>
  <c r="W17" i="5" s="1"/>
  <c r="T17" i="5"/>
  <c r="Q17" i="5"/>
  <c r="R17" i="5" s="1"/>
  <c r="S17" i="5" s="1"/>
  <c r="P17" i="5"/>
  <c r="U17" i="5" s="1"/>
  <c r="A17" i="5"/>
  <c r="V16" i="5"/>
  <c r="W16" i="5" s="1"/>
  <c r="T16" i="5"/>
  <c r="Q16" i="5"/>
  <c r="R16" i="5" s="1"/>
  <c r="P16" i="5"/>
  <c r="U16" i="5" s="1"/>
  <c r="A16" i="5"/>
  <c r="V15" i="5"/>
  <c r="W15" i="5" s="1"/>
  <c r="T15" i="5"/>
  <c r="Q15" i="5"/>
  <c r="P15" i="5"/>
  <c r="U15" i="5" s="1"/>
  <c r="A15" i="5"/>
  <c r="V14" i="5"/>
  <c r="W14" i="5" s="1"/>
  <c r="T14" i="5"/>
  <c r="Q14" i="5"/>
  <c r="P14" i="5"/>
  <c r="U14" i="5" s="1"/>
  <c r="A14" i="5"/>
  <c r="V13" i="5"/>
  <c r="W13" i="5" s="1"/>
  <c r="T13" i="5"/>
  <c r="Q13" i="5"/>
  <c r="P13" i="5"/>
  <c r="U13" i="5" s="1"/>
  <c r="A13" i="5"/>
  <c r="V12" i="5"/>
  <c r="W12" i="5" s="1"/>
  <c r="X12" i="5" s="1"/>
  <c r="T12" i="5"/>
  <c r="Q12" i="5"/>
  <c r="R12" i="5" s="1"/>
  <c r="P12" i="5"/>
  <c r="A12" i="5"/>
  <c r="V11" i="5"/>
  <c r="W11" i="5" s="1"/>
  <c r="T11" i="5"/>
  <c r="Q11" i="5"/>
  <c r="P11" i="5"/>
  <c r="U11" i="5" s="1"/>
  <c r="A11" i="5"/>
  <c r="V10" i="5"/>
  <c r="W10" i="5" s="1"/>
  <c r="T10" i="5"/>
  <c r="Q10" i="5"/>
  <c r="R10" i="5" s="1"/>
  <c r="P10" i="5"/>
  <c r="A10" i="5"/>
  <c r="V9" i="5"/>
  <c r="W9" i="5" s="1"/>
  <c r="T9" i="5"/>
  <c r="Q9" i="5"/>
  <c r="U9" i="5"/>
  <c r="A9" i="5"/>
  <c r="V8" i="5"/>
  <c r="W8" i="5" s="1"/>
  <c r="T8" i="5"/>
  <c r="Q8" i="5"/>
  <c r="B8" i="5" s="1"/>
  <c r="P8" i="5"/>
  <c r="U8" i="5" s="1"/>
  <c r="A8" i="5"/>
  <c r="V7" i="5"/>
  <c r="W7" i="5" s="1"/>
  <c r="X7" i="5" s="1"/>
  <c r="T7" i="5"/>
  <c r="Q7" i="5"/>
  <c r="P7" i="5"/>
  <c r="A7" i="5"/>
  <c r="V6" i="5"/>
  <c r="W6" i="5" s="1"/>
  <c r="T6" i="5"/>
  <c r="Q6" i="5"/>
  <c r="R6" i="5" s="1"/>
  <c r="P6" i="5"/>
  <c r="A6" i="5"/>
  <c r="V5" i="5"/>
  <c r="W5" i="5" s="1"/>
  <c r="X5" i="5" s="1"/>
  <c r="T5" i="5"/>
  <c r="Q5" i="5"/>
  <c r="P5" i="5"/>
  <c r="U5" i="5" s="1"/>
  <c r="A5" i="5"/>
  <c r="W27" i="1"/>
  <c r="R27" i="1"/>
  <c r="V8" i="4"/>
  <c r="W8" i="4" s="1"/>
  <c r="U8" i="4"/>
  <c r="T8" i="4"/>
  <c r="Q8" i="4"/>
  <c r="P8" i="4"/>
  <c r="A8" i="4"/>
  <c r="V7" i="4"/>
  <c r="W7" i="4" s="1"/>
  <c r="U7" i="4"/>
  <c r="T7" i="4"/>
  <c r="Q7" i="4"/>
  <c r="B7" i="4" s="1"/>
  <c r="P7" i="4"/>
  <c r="A7" i="4"/>
  <c r="V6" i="4"/>
  <c r="W6" i="4" s="1"/>
  <c r="X6" i="4" s="1"/>
  <c r="U6" i="4"/>
  <c r="T6" i="4"/>
  <c r="S6" i="4"/>
  <c r="R6" i="4"/>
  <c r="Q6" i="4"/>
  <c r="P6" i="4"/>
  <c r="B6" i="4"/>
  <c r="A6" i="4"/>
  <c r="V5" i="4"/>
  <c r="W5" i="4" s="1"/>
  <c r="Y5" i="4" s="1"/>
  <c r="U5" i="4"/>
  <c r="T5" i="4"/>
  <c r="Q5" i="4"/>
  <c r="R5" i="4" s="1"/>
  <c r="P5" i="4"/>
  <c r="B5" i="4"/>
  <c r="A5" i="4"/>
  <c r="V20" i="3"/>
  <c r="W20" i="3" s="1"/>
  <c r="X20" i="3" s="1"/>
  <c r="U20" i="3"/>
  <c r="T20" i="3"/>
  <c r="Q20" i="3"/>
  <c r="P20" i="3"/>
  <c r="A20" i="3"/>
  <c r="V19" i="3"/>
  <c r="W19" i="3" s="1"/>
  <c r="U19" i="3"/>
  <c r="T19" i="3"/>
  <c r="Q19" i="3"/>
  <c r="P19" i="3"/>
  <c r="A19" i="3"/>
  <c r="V18" i="3"/>
  <c r="W18" i="3" s="1"/>
  <c r="U18" i="3"/>
  <c r="T18" i="3"/>
  <c r="Q18" i="3"/>
  <c r="R18" i="3" s="1"/>
  <c r="P18" i="3"/>
  <c r="A18" i="3"/>
  <c r="V17" i="3"/>
  <c r="W17" i="3" s="1"/>
  <c r="U17" i="3"/>
  <c r="T17" i="3"/>
  <c r="Q17" i="3"/>
  <c r="P17" i="3"/>
  <c r="A17" i="3"/>
  <c r="V16" i="3"/>
  <c r="W16" i="3" s="1"/>
  <c r="Y16" i="3" s="1"/>
  <c r="U16" i="3"/>
  <c r="T16" i="3"/>
  <c r="Q16" i="3"/>
  <c r="B16" i="3" s="1"/>
  <c r="P16" i="3"/>
  <c r="A16" i="3"/>
  <c r="V15" i="3"/>
  <c r="W15" i="3" s="1"/>
  <c r="U15" i="3"/>
  <c r="T15" i="3"/>
  <c r="S15" i="3"/>
  <c r="R15" i="3"/>
  <c r="Q15" i="3"/>
  <c r="P15" i="3"/>
  <c r="B15" i="3"/>
  <c r="A15" i="3"/>
  <c r="V14" i="3"/>
  <c r="W14" i="3" s="1"/>
  <c r="U14" i="3"/>
  <c r="T14" i="3"/>
  <c r="Q14" i="3"/>
  <c r="S14" i="3" s="1"/>
  <c r="P14" i="3"/>
  <c r="A14" i="3"/>
  <c r="V13" i="3"/>
  <c r="W13" i="3" s="1"/>
  <c r="X13" i="3" s="1"/>
  <c r="U13" i="3"/>
  <c r="T13" i="3"/>
  <c r="Q13" i="3"/>
  <c r="B13" i="3" s="1"/>
  <c r="P13" i="3"/>
  <c r="A13" i="3"/>
  <c r="V12" i="3"/>
  <c r="W12" i="3" s="1"/>
  <c r="U12" i="3"/>
  <c r="T12" i="3"/>
  <c r="Q12" i="3"/>
  <c r="P12" i="3"/>
  <c r="A12" i="3"/>
  <c r="V11" i="3"/>
  <c r="W11" i="3" s="1"/>
  <c r="U11" i="3"/>
  <c r="T11" i="3"/>
  <c r="S11" i="3"/>
  <c r="R11" i="3"/>
  <c r="Q11" i="3"/>
  <c r="P11" i="3"/>
  <c r="B11" i="3"/>
  <c r="A11" i="3"/>
  <c r="V10" i="3"/>
  <c r="W10" i="3" s="1"/>
  <c r="Y10" i="3" s="1"/>
  <c r="U10" i="3"/>
  <c r="T10" i="3"/>
  <c r="Q10" i="3"/>
  <c r="P10" i="3"/>
  <c r="A10" i="3"/>
  <c r="V9" i="3"/>
  <c r="W9" i="3" s="1"/>
  <c r="X9" i="3" s="1"/>
  <c r="U9" i="3"/>
  <c r="T9" i="3"/>
  <c r="Q9" i="3"/>
  <c r="B9" i="3" s="1"/>
  <c r="P9" i="3"/>
  <c r="A9" i="3"/>
  <c r="V8" i="3"/>
  <c r="W8" i="3" s="1"/>
  <c r="X8" i="3" s="1"/>
  <c r="U8" i="3"/>
  <c r="T8" i="3"/>
  <c r="Q8" i="3"/>
  <c r="B8" i="3" s="1"/>
  <c r="Q26" i="1" s="1"/>
  <c r="P8" i="3"/>
  <c r="A8" i="3"/>
  <c r="V7" i="3"/>
  <c r="W7" i="3" s="1"/>
  <c r="T7" i="3"/>
  <c r="Q7" i="3"/>
  <c r="P7" i="3"/>
  <c r="U7" i="3" s="1"/>
  <c r="A7" i="3"/>
  <c r="V6" i="3"/>
  <c r="W6" i="3" s="1"/>
  <c r="X6" i="3" s="1"/>
  <c r="T6" i="3"/>
  <c r="Q6" i="3"/>
  <c r="P6" i="3"/>
  <c r="B6" i="3"/>
  <c r="Q13" i="1" s="1"/>
  <c r="A6" i="3"/>
  <c r="V5" i="3"/>
  <c r="W5" i="3" s="1"/>
  <c r="X5" i="3" s="1"/>
  <c r="T5" i="3"/>
  <c r="Q5" i="3"/>
  <c r="R5" i="3" s="1"/>
  <c r="P5" i="3"/>
  <c r="A5" i="3"/>
  <c r="Y12" i="2"/>
  <c r="Z12" i="2" s="1"/>
  <c r="X12" i="2"/>
  <c r="W12" i="2"/>
  <c r="T12" i="2"/>
  <c r="U12" i="2" s="1"/>
  <c r="S12" i="2"/>
  <c r="AC12" i="2" s="1"/>
  <c r="K12" i="2"/>
  <c r="B12" i="2"/>
  <c r="A12" i="2"/>
  <c r="Y11" i="2"/>
  <c r="Z11" i="2" s="1"/>
  <c r="X11" i="2"/>
  <c r="W11" i="2"/>
  <c r="V11" i="2"/>
  <c r="U11" i="2"/>
  <c r="T11" i="2"/>
  <c r="S11" i="2"/>
  <c r="AC11" i="2" s="1"/>
  <c r="K11" i="2"/>
  <c r="B11" i="2"/>
  <c r="A11" i="2"/>
  <c r="Y10" i="2"/>
  <c r="Z10" i="2" s="1"/>
  <c r="X10" i="2"/>
  <c r="W10" i="2"/>
  <c r="T10" i="2"/>
  <c r="U10" i="2" s="1"/>
  <c r="S10" i="2"/>
  <c r="AC10" i="2" s="1"/>
  <c r="K10" i="2"/>
  <c r="A10" i="2"/>
  <c r="AC9" i="2"/>
  <c r="Y9" i="2"/>
  <c r="Z9" i="2" s="1"/>
  <c r="AA9" i="2" s="1"/>
  <c r="X9" i="2"/>
  <c r="W9" i="2"/>
  <c r="T9" i="2"/>
  <c r="S9" i="2"/>
  <c r="K9" i="2"/>
  <c r="B9" i="2"/>
  <c r="A9" i="2"/>
  <c r="AC8" i="2"/>
  <c r="Y8" i="2"/>
  <c r="Z8" i="2" s="1"/>
  <c r="X8" i="2"/>
  <c r="W8" i="2"/>
  <c r="T8" i="2"/>
  <c r="V8" i="2" s="1"/>
  <c r="S8" i="2"/>
  <c r="K8" i="2"/>
  <c r="A8" i="2"/>
  <c r="Y7" i="2"/>
  <c r="Z7" i="2" s="1"/>
  <c r="X7" i="2"/>
  <c r="W7" i="2"/>
  <c r="T7" i="2"/>
  <c r="S7" i="2"/>
  <c r="K7" i="2"/>
  <c r="A7" i="2"/>
  <c r="Y6" i="2"/>
  <c r="Z6" i="2" s="1"/>
  <c r="AB6" i="2" s="1"/>
  <c r="W6" i="2"/>
  <c r="T6" i="2"/>
  <c r="U6" i="2" s="1"/>
  <c r="S6" i="2"/>
  <c r="K6" i="2"/>
  <c r="A6" i="2"/>
  <c r="Y5" i="2"/>
  <c r="Z5" i="2" s="1"/>
  <c r="W5" i="2"/>
  <c r="T5" i="2"/>
  <c r="U5" i="2" s="1"/>
  <c r="S5" i="2"/>
  <c r="B5" i="2" s="1"/>
  <c r="K5" i="2"/>
  <c r="A5" i="2"/>
  <c r="T28" i="1"/>
  <c r="R28" i="1"/>
  <c r="Q28" i="1"/>
  <c r="P28" i="1"/>
  <c r="V27" i="1"/>
  <c r="T27" i="1"/>
  <c r="S27" i="1"/>
  <c r="Q27" i="1"/>
  <c r="P27" i="1"/>
  <c r="P26" i="1"/>
  <c r="T25" i="1"/>
  <c r="R25" i="1"/>
  <c r="Q25" i="1"/>
  <c r="P25" i="1"/>
  <c r="S24" i="1"/>
  <c r="R24" i="1"/>
  <c r="R23" i="1"/>
  <c r="P23" i="1"/>
  <c r="P22" i="1"/>
  <c r="T17" i="1"/>
  <c r="R17" i="1"/>
  <c r="Q17" i="1"/>
  <c r="P17" i="1"/>
  <c r="S16" i="1"/>
  <c r="R16" i="1"/>
  <c r="R15" i="1"/>
  <c r="P15" i="1"/>
  <c r="R14" i="1"/>
  <c r="L14" i="1"/>
  <c r="K14" i="1"/>
  <c r="R13" i="1"/>
  <c r="L13" i="1"/>
  <c r="K13" i="1"/>
  <c r="L12" i="1"/>
  <c r="K12" i="1"/>
  <c r="P11" i="1"/>
  <c r="L11" i="1"/>
  <c r="K11" i="1"/>
  <c r="T10" i="1"/>
  <c r="Q10" i="1"/>
  <c r="L10" i="1"/>
  <c r="K10" i="1"/>
  <c r="B5" i="1"/>
  <c r="B2" i="1"/>
  <c r="X11" i="3" l="1"/>
  <c r="Y11" i="3"/>
  <c r="Y17" i="3"/>
  <c r="X17" i="3"/>
  <c r="L8" i="9"/>
  <c r="L7" i="9" s="1"/>
  <c r="K6" i="9"/>
  <c r="R9" i="5"/>
  <c r="S9" i="5" s="1"/>
  <c r="U27" i="1"/>
  <c r="B15" i="5"/>
  <c r="Y46" i="5"/>
  <c r="S63" i="5"/>
  <c r="B76" i="5"/>
  <c r="Z80" i="5"/>
  <c r="B59" i="5"/>
  <c r="S76" i="5"/>
  <c r="S75" i="5"/>
  <c r="U77" i="5"/>
  <c r="B13" i="5"/>
  <c r="Y10" i="5"/>
  <c r="S71" i="5"/>
  <c r="U76" i="5"/>
  <c r="U74" i="5"/>
  <c r="U98" i="5"/>
  <c r="S57" i="5"/>
  <c r="Z71" i="5"/>
  <c r="R31" i="5"/>
  <c r="R8" i="5"/>
  <c r="S8" i="5" s="1"/>
  <c r="Y44" i="5"/>
  <c r="S25" i="5"/>
  <c r="Z87" i="5"/>
  <c r="X29" i="5"/>
  <c r="Y29" i="5"/>
  <c r="Y14" i="3"/>
  <c r="X14" i="3"/>
  <c r="X94" i="5"/>
  <c r="Y94" i="5"/>
  <c r="X62" i="5"/>
  <c r="Y62" i="5"/>
  <c r="X85" i="5"/>
  <c r="Y85" i="5"/>
  <c r="Y17" i="5"/>
  <c r="X17" i="5"/>
  <c r="Y35" i="5"/>
  <c r="X35" i="5"/>
  <c r="Z35" i="5" s="1"/>
  <c r="X31" i="5"/>
  <c r="Y31" i="5"/>
  <c r="Y15" i="5"/>
  <c r="X15" i="5"/>
  <c r="AA19" i="6"/>
  <c r="AB19" i="6"/>
  <c r="X23" i="5"/>
  <c r="Y23" i="5"/>
  <c r="X88" i="5"/>
  <c r="Y88" i="5"/>
  <c r="Y66" i="5"/>
  <c r="X66" i="5"/>
  <c r="R8" i="3"/>
  <c r="R16" i="3"/>
  <c r="S18" i="3"/>
  <c r="U9" i="6"/>
  <c r="V9" i="6" s="1"/>
  <c r="V12" i="2"/>
  <c r="S8" i="3"/>
  <c r="S16" i="3"/>
  <c r="S43" i="5"/>
  <c r="S51" i="5"/>
  <c r="R33" i="5"/>
  <c r="S41" i="5"/>
  <c r="S80" i="5"/>
  <c r="S82" i="5"/>
  <c r="V5" i="6"/>
  <c r="S56" i="5"/>
  <c r="U18" i="6"/>
  <c r="R26" i="5"/>
  <c r="V16" i="6"/>
  <c r="B7" i="3"/>
  <c r="S7" i="4"/>
  <c r="B16" i="5"/>
  <c r="B23" i="5"/>
  <c r="S26" i="5"/>
  <c r="R28" i="5"/>
  <c r="B32" i="5"/>
  <c r="B40" i="5"/>
  <c r="B48" i="5"/>
  <c r="S66" i="5"/>
  <c r="S87" i="5"/>
  <c r="X93" i="5"/>
  <c r="U97" i="5"/>
  <c r="B9" i="6"/>
  <c r="S78" i="5"/>
  <c r="S35" i="5"/>
  <c r="R24" i="5"/>
  <c r="S37" i="5"/>
  <c r="R49" i="5"/>
  <c r="R62" i="5"/>
  <c r="U78" i="5"/>
  <c r="U93" i="5"/>
  <c r="R7" i="4"/>
  <c r="U82" i="5"/>
  <c r="B6" i="2"/>
  <c r="P16" i="1" s="1"/>
  <c r="B8" i="2"/>
  <c r="P10" i="1" s="1"/>
  <c r="B12" i="5"/>
  <c r="B44" i="5"/>
  <c r="B55" i="5"/>
  <c r="S68" i="5"/>
  <c r="Y91" i="5"/>
  <c r="X5" i="6"/>
  <c r="V20" i="6"/>
  <c r="R13" i="5"/>
  <c r="S13" i="5" s="1"/>
  <c r="B17" i="5"/>
  <c r="X59" i="5"/>
  <c r="Y98" i="5"/>
  <c r="R7" i="3"/>
  <c r="S7" i="3" s="1"/>
  <c r="R9" i="3"/>
  <c r="R32" i="5"/>
  <c r="R40" i="5"/>
  <c r="R48" i="5"/>
  <c r="V8" i="6"/>
  <c r="V23" i="6"/>
  <c r="S9" i="3"/>
  <c r="X26" i="5"/>
  <c r="R42" i="5"/>
  <c r="R44" i="5"/>
  <c r="Z44" i="5" s="1"/>
  <c r="R55" i="5"/>
  <c r="V6" i="2"/>
  <c r="AB9" i="2"/>
  <c r="AA14" i="6"/>
  <c r="U8" i="2"/>
  <c r="B14" i="3"/>
  <c r="X28" i="5"/>
  <c r="S42" i="5"/>
  <c r="R59" i="5"/>
  <c r="R71" i="5"/>
  <c r="X77" i="5"/>
  <c r="B88" i="5"/>
  <c r="S98" i="5"/>
  <c r="X23" i="6"/>
  <c r="R57" i="5"/>
  <c r="U79" i="5"/>
  <c r="B86" i="5"/>
  <c r="S88" i="5"/>
  <c r="S90" i="5"/>
  <c r="U92" i="5"/>
  <c r="S94" i="5"/>
  <c r="S96" i="5"/>
  <c r="V28" i="1" s="1"/>
  <c r="B21" i="6"/>
  <c r="B74" i="5"/>
  <c r="AA6" i="2"/>
  <c r="AC6" i="2" s="1"/>
  <c r="X52" i="5"/>
  <c r="R76" i="5"/>
  <c r="U81" i="5"/>
  <c r="U90" i="5"/>
  <c r="U94" i="5"/>
  <c r="Y8" i="5"/>
  <c r="X8" i="5"/>
  <c r="X9" i="5"/>
  <c r="Y9" i="5"/>
  <c r="Y7" i="3"/>
  <c r="X7" i="3"/>
  <c r="X6" i="5"/>
  <c r="Y6" i="5"/>
  <c r="Y40" i="5"/>
  <c r="X40" i="5"/>
  <c r="AA5" i="2"/>
  <c r="AB5" i="2"/>
  <c r="Y19" i="3"/>
  <c r="X19" i="3"/>
  <c r="Y71" i="5"/>
  <c r="X71" i="5"/>
  <c r="AB8" i="2"/>
  <c r="AA8" i="2"/>
  <c r="R21" i="5"/>
  <c r="S21" i="5" s="1"/>
  <c r="B21" i="5"/>
  <c r="R5" i="5"/>
  <c r="S5" i="5" s="1"/>
  <c r="X70" i="5"/>
  <c r="Y70" i="5"/>
  <c r="Y8" i="4"/>
  <c r="X8" i="4"/>
  <c r="X72" i="5"/>
  <c r="Y72" i="5"/>
  <c r="Y76" i="5"/>
  <c r="S84" i="5"/>
  <c r="L15" i="1"/>
  <c r="V7" i="2"/>
  <c r="B7" i="2"/>
  <c r="U7" i="2"/>
  <c r="Y13" i="3"/>
  <c r="R34" i="5"/>
  <c r="Z73" i="5"/>
  <c r="U73" i="5"/>
  <c r="R6" i="3"/>
  <c r="S6" i="3" s="1"/>
  <c r="X84" i="5"/>
  <c r="Y84" i="5"/>
  <c r="Y25" i="5"/>
  <c r="Z25" i="5" s="1"/>
  <c r="Q11" i="1"/>
  <c r="B10" i="2"/>
  <c r="P13" i="1" s="1"/>
  <c r="R20" i="3"/>
  <c r="S20" i="3"/>
  <c r="B20" i="3"/>
  <c r="X54" i="5"/>
  <c r="Y54" i="5"/>
  <c r="R70" i="5"/>
  <c r="B70" i="5"/>
  <c r="Y83" i="5"/>
  <c r="X83" i="5"/>
  <c r="U7" i="6"/>
  <c r="V7" i="6" s="1"/>
  <c r="B7" i="6"/>
  <c r="T15" i="1" s="1"/>
  <c r="R11" i="1"/>
  <c r="AB11" i="2"/>
  <c r="AA11" i="2"/>
  <c r="U7" i="5"/>
  <c r="R11" i="5"/>
  <c r="S11" i="5" s="1"/>
  <c r="Y60" i="5"/>
  <c r="S70" i="5"/>
  <c r="S72" i="5"/>
  <c r="Z72" i="5"/>
  <c r="U72" i="5"/>
  <c r="B72" i="5"/>
  <c r="B45" i="5"/>
  <c r="S45" i="5"/>
  <c r="V10" i="2"/>
  <c r="R90" i="5"/>
  <c r="B90" i="5"/>
  <c r="K15" i="1"/>
  <c r="AB5" i="6"/>
  <c r="AC5" i="6" s="1"/>
  <c r="S34" i="5"/>
  <c r="B34" i="5"/>
  <c r="X41" i="5"/>
  <c r="Y41" i="5"/>
  <c r="AB10" i="2"/>
  <c r="AA10" i="2"/>
  <c r="S5" i="4"/>
  <c r="S65" i="5"/>
  <c r="B65" i="5"/>
  <c r="U6" i="3"/>
  <c r="X51" i="5"/>
  <c r="Y51" i="5"/>
  <c r="S8" i="4"/>
  <c r="R8" i="4"/>
  <c r="B8" i="4"/>
  <c r="G12" i="1" s="1"/>
  <c r="R7" i="5"/>
  <c r="S7" i="5" s="1"/>
  <c r="B7" i="5"/>
  <c r="X39" i="5"/>
  <c r="Y39" i="5"/>
  <c r="B84" i="5"/>
  <c r="U86" i="5"/>
  <c r="Z86" i="5"/>
  <c r="B92" i="5"/>
  <c r="S92" i="5"/>
  <c r="Y18" i="3"/>
  <c r="X18" i="3"/>
  <c r="Y37" i="5"/>
  <c r="Z37" i="5" s="1"/>
  <c r="B22" i="6"/>
  <c r="P12" i="1"/>
  <c r="Y43" i="5"/>
  <c r="X43" i="5"/>
  <c r="Z43" i="5" s="1"/>
  <c r="Y6" i="4"/>
  <c r="Z6" i="4" s="1"/>
  <c r="R14" i="5"/>
  <c r="S14" i="5" s="1"/>
  <c r="B14" i="5"/>
  <c r="Y32" i="5"/>
  <c r="X32" i="5"/>
  <c r="AB7" i="2"/>
  <c r="AA7" i="2"/>
  <c r="U10" i="5"/>
  <c r="S10" i="5"/>
  <c r="B10" i="5"/>
  <c r="X38" i="5"/>
  <c r="Y38" i="5"/>
  <c r="R65" i="5"/>
  <c r="S73" i="5"/>
  <c r="R10" i="3"/>
  <c r="B10" i="3"/>
  <c r="Y36" i="5"/>
  <c r="X36" i="5"/>
  <c r="X80" i="5"/>
  <c r="U28" i="1"/>
  <c r="Y12" i="5"/>
  <c r="Z12" i="5" s="1"/>
  <c r="R39" i="5"/>
  <c r="B39" i="5"/>
  <c r="X56" i="5"/>
  <c r="Y56" i="5"/>
  <c r="X69" i="5"/>
  <c r="Y69" i="5"/>
  <c r="S19" i="5"/>
  <c r="Y55" i="5"/>
  <c r="X55" i="5"/>
  <c r="AC22" i="6"/>
  <c r="X22" i="6"/>
  <c r="V22" i="6"/>
  <c r="S10" i="3"/>
  <c r="U89" i="5"/>
  <c r="Z89" i="5"/>
  <c r="Y67" i="5"/>
  <c r="X67" i="5"/>
  <c r="U95" i="5"/>
  <c r="S95" i="5"/>
  <c r="Z95" i="5"/>
  <c r="Q23" i="1"/>
  <c r="Y11" i="5"/>
  <c r="X11" i="5"/>
  <c r="R45" i="5"/>
  <c r="X74" i="5"/>
  <c r="R26" i="1"/>
  <c r="X13" i="5"/>
  <c r="Y13" i="5"/>
  <c r="R53" i="5"/>
  <c r="S53" i="5"/>
  <c r="B53" i="5"/>
  <c r="X57" i="5"/>
  <c r="B38" i="5"/>
  <c r="S38" i="5"/>
  <c r="R38" i="5"/>
  <c r="X45" i="5"/>
  <c r="Y45" i="5"/>
  <c r="Y68" i="5"/>
  <c r="Z68" i="5" s="1"/>
  <c r="X92" i="5"/>
  <c r="Y92" i="5"/>
  <c r="R27" i="5"/>
  <c r="S27" i="5"/>
  <c r="B27" i="5"/>
  <c r="R36" i="5"/>
  <c r="B36" i="5"/>
  <c r="S36" i="5"/>
  <c r="B73" i="5"/>
  <c r="AB16" i="6"/>
  <c r="AA16" i="6"/>
  <c r="Y14" i="5"/>
  <c r="X14" i="5"/>
  <c r="Y63" i="5"/>
  <c r="X63" i="5"/>
  <c r="R67" i="5"/>
  <c r="B67" i="5"/>
  <c r="S67" i="5"/>
  <c r="Y82" i="5"/>
  <c r="X82" i="5"/>
  <c r="Y96" i="5"/>
  <c r="X96" i="5"/>
  <c r="AB12" i="6"/>
  <c r="AA12" i="6"/>
  <c r="B12" i="3"/>
  <c r="S12" i="3"/>
  <c r="R12" i="3"/>
  <c r="X5" i="4"/>
  <c r="Z5" i="4" s="1"/>
  <c r="X22" i="5"/>
  <c r="Y22" i="5"/>
  <c r="Y49" i="5"/>
  <c r="X49" i="5"/>
  <c r="Y73" i="5"/>
  <c r="X73" i="5"/>
  <c r="Y8" i="3"/>
  <c r="X12" i="3"/>
  <c r="Y12" i="3"/>
  <c r="X7" i="4"/>
  <c r="Y7" i="4"/>
  <c r="B11" i="5"/>
  <c r="X20" i="5"/>
  <c r="Y24" i="5"/>
  <c r="X24" i="5"/>
  <c r="Z70" i="5"/>
  <c r="U70" i="5"/>
  <c r="Y87" i="5"/>
  <c r="X87" i="5"/>
  <c r="S89" i="5"/>
  <c r="S97" i="5"/>
  <c r="B97" i="5"/>
  <c r="R97" i="5"/>
  <c r="S16" i="5"/>
  <c r="B89" i="5"/>
  <c r="V6" i="6"/>
  <c r="AB7" i="6"/>
  <c r="U11" i="6"/>
  <c r="U13" i="6"/>
  <c r="V13" i="6" s="1"/>
  <c r="B13" i="6"/>
  <c r="AB12" i="2"/>
  <c r="AA12" i="2"/>
  <c r="X10" i="3"/>
  <c r="X16" i="3"/>
  <c r="S30" i="5"/>
  <c r="R30" i="5"/>
  <c r="X34" i="5"/>
  <c r="B47" i="5"/>
  <c r="B58" i="5"/>
  <c r="S61" i="5"/>
  <c r="R61" i="5"/>
  <c r="X65" i="5"/>
  <c r="Z75" i="5"/>
  <c r="U75" i="5"/>
  <c r="Y79" i="5"/>
  <c r="X79" i="5"/>
  <c r="S81" i="5"/>
  <c r="B81" i="5"/>
  <c r="S86" i="5"/>
  <c r="X90" i="5"/>
  <c r="B6" i="6"/>
  <c r="AA7" i="6"/>
  <c r="B17" i="6"/>
  <c r="T14" i="1" s="1"/>
  <c r="AB18" i="6"/>
  <c r="AA18" i="6"/>
  <c r="AB22" i="6"/>
  <c r="AA22" i="6"/>
  <c r="AA24" i="6"/>
  <c r="X30" i="5"/>
  <c r="R94" i="5"/>
  <c r="AA11" i="6"/>
  <c r="Y5" i="5"/>
  <c r="B18" i="5"/>
  <c r="Z85" i="5"/>
  <c r="U85" i="5"/>
  <c r="AB15" i="6"/>
  <c r="AC15" i="6" s="1"/>
  <c r="Y9" i="3"/>
  <c r="U12" i="5"/>
  <c r="R15" i="5"/>
  <c r="S15" i="5" s="1"/>
  <c r="Y21" i="5"/>
  <c r="R52" i="5"/>
  <c r="B52" i="5"/>
  <c r="X75" i="5"/>
  <c r="S77" i="5"/>
  <c r="R77" i="5"/>
  <c r="R80" i="5"/>
  <c r="B85" i="5"/>
  <c r="S85" i="5"/>
  <c r="Y89" i="5"/>
  <c r="X97" i="5"/>
  <c r="AB6" i="6"/>
  <c r="X12" i="6"/>
  <c r="V12" i="6"/>
  <c r="AB17" i="6"/>
  <c r="AA17" i="6"/>
  <c r="R19" i="3"/>
  <c r="B19" i="3"/>
  <c r="Q24" i="1" s="1"/>
  <c r="Y20" i="3"/>
  <c r="X27" i="5"/>
  <c r="S29" i="5"/>
  <c r="X33" i="5"/>
  <c r="S52" i="5"/>
  <c r="X58" i="5"/>
  <c r="Z58" i="5" s="1"/>
  <c r="S60" i="5"/>
  <c r="X64" i="5"/>
  <c r="Z64" i="5" s="1"/>
  <c r="Y78" i="5"/>
  <c r="R85" i="5"/>
  <c r="AC6" i="6"/>
  <c r="B12" i="6"/>
  <c r="AB23" i="6"/>
  <c r="AA23" i="6"/>
  <c r="B69" i="5"/>
  <c r="S17" i="1" s="1"/>
  <c r="U17" i="1" s="1"/>
  <c r="S69" i="5"/>
  <c r="R47" i="5"/>
  <c r="Y48" i="5"/>
  <c r="X48" i="5"/>
  <c r="S50" i="5"/>
  <c r="B50" i="5"/>
  <c r="S58" i="5"/>
  <c r="R69" i="5"/>
  <c r="R83" i="5"/>
  <c r="B83" i="5"/>
  <c r="X8" i="6"/>
  <c r="V17" i="6"/>
  <c r="AA20" i="6"/>
  <c r="AC20" i="6" s="1"/>
  <c r="R10" i="1"/>
  <c r="X61" i="5"/>
  <c r="S83" i="5"/>
  <c r="AB13" i="6"/>
  <c r="AA13" i="6"/>
  <c r="Y42" i="5"/>
  <c r="U10" i="6"/>
  <c r="V10" i="6" s="1"/>
  <c r="B10" i="6"/>
  <c r="S19" i="3"/>
  <c r="U6" i="5"/>
  <c r="Y7" i="5"/>
  <c r="X10" i="5"/>
  <c r="R20" i="5"/>
  <c r="B20" i="5"/>
  <c r="B43" i="5"/>
  <c r="S46" i="5"/>
  <c r="R46" i="5"/>
  <c r="Z46" i="5" s="1"/>
  <c r="X47" i="5"/>
  <c r="X50" i="5"/>
  <c r="B62" i="5"/>
  <c r="U88" i="5"/>
  <c r="R96" i="5"/>
  <c r="U14" i="6"/>
  <c r="B14" i="6"/>
  <c r="U5" i="3"/>
  <c r="Y15" i="3"/>
  <c r="X15" i="3"/>
  <c r="B5" i="3"/>
  <c r="S5" i="3"/>
  <c r="Y19" i="5"/>
  <c r="Z19" i="5" s="1"/>
  <c r="R18" i="5"/>
  <c r="S18" i="5" s="1"/>
  <c r="Y53" i="5"/>
  <c r="R60" i="5"/>
  <c r="X5" i="2"/>
  <c r="S13" i="3"/>
  <c r="R13" i="3"/>
  <c r="B6" i="5"/>
  <c r="S6" i="5"/>
  <c r="S12" i="5"/>
  <c r="Y18" i="5"/>
  <c r="S74" i="5"/>
  <c r="B79" i="5"/>
  <c r="Z83" i="5"/>
  <c r="S93" i="5"/>
  <c r="R93" i="5"/>
  <c r="AA8" i="6"/>
  <c r="AC8" i="6" s="1"/>
  <c r="AB10" i="6"/>
  <c r="Y95" i="5"/>
  <c r="X95" i="5"/>
  <c r="X6" i="2"/>
  <c r="Z91" i="5"/>
  <c r="U91" i="5"/>
  <c r="AB9" i="6"/>
  <c r="B23" i="6"/>
  <c r="U23" i="6"/>
  <c r="Y6" i="3"/>
  <c r="R14" i="3"/>
  <c r="S17" i="3"/>
  <c r="B17" i="3"/>
  <c r="R50" i="5"/>
  <c r="R17" i="3"/>
  <c r="Y16" i="5"/>
  <c r="X16" i="5"/>
  <c r="S23" i="5"/>
  <c r="X81" i="5"/>
  <c r="Y86" i="5"/>
  <c r="V9" i="2"/>
  <c r="U9" i="2"/>
  <c r="R29" i="5"/>
  <c r="V5" i="2"/>
  <c r="Y5" i="3"/>
  <c r="Z5" i="3" s="1"/>
  <c r="B22" i="5"/>
  <c r="S22" i="5"/>
  <c r="B54" i="5"/>
  <c r="S54" i="5"/>
  <c r="AB21" i="6"/>
  <c r="AA21" i="6"/>
  <c r="B16" i="6"/>
  <c r="B18" i="3"/>
  <c r="B19" i="5"/>
  <c r="B35" i="5"/>
  <c r="B51" i="5"/>
  <c r="B66" i="5"/>
  <c r="B82" i="5"/>
  <c r="B98" i="5"/>
  <c r="B15" i="6"/>
  <c r="B20" i="6"/>
  <c r="V21" i="6"/>
  <c r="X21" i="6"/>
  <c r="U24" i="6"/>
  <c r="Z11" i="3" l="1"/>
  <c r="Z17" i="3"/>
  <c r="Z22" i="5"/>
  <c r="AC5" i="2"/>
  <c r="AC19" i="6"/>
  <c r="M8" i="9"/>
  <c r="M7" i="9" s="1"/>
  <c r="L6" i="9"/>
  <c r="Z51" i="5"/>
  <c r="Z31" i="5"/>
  <c r="S11" i="1"/>
  <c r="U11" i="1" s="1"/>
  <c r="Z54" i="5"/>
  <c r="Z10" i="5"/>
  <c r="Z23" i="5"/>
  <c r="Z59" i="5"/>
  <c r="Z62" i="5"/>
  <c r="Z29" i="5"/>
  <c r="Z16" i="3"/>
  <c r="AC9" i="6"/>
  <c r="Z8" i="3"/>
  <c r="Z21" i="5"/>
  <c r="AC7" i="6"/>
  <c r="Z69" i="5"/>
  <c r="Z20" i="3"/>
  <c r="Z9" i="3"/>
  <c r="Z6" i="5"/>
  <c r="Z28" i="5"/>
  <c r="Z33" i="5"/>
  <c r="Z52" i="5"/>
  <c r="Z56" i="5"/>
  <c r="Z48" i="5"/>
  <c r="Z50" i="5"/>
  <c r="Z38" i="5"/>
  <c r="Z26" i="5"/>
  <c r="Z27" i="5"/>
  <c r="Z7" i="5"/>
  <c r="Z9" i="5"/>
  <c r="Z15" i="5"/>
  <c r="Z17" i="5"/>
  <c r="Z66" i="5"/>
  <c r="Z10" i="3"/>
  <c r="Z18" i="5"/>
  <c r="AC11" i="6"/>
  <c r="Z42" i="5"/>
  <c r="Z41" i="5"/>
  <c r="Z34" i="5"/>
  <c r="Z65" i="5"/>
  <c r="Z47" i="5"/>
  <c r="Z61" i="5"/>
  <c r="Z13" i="5"/>
  <c r="Z36" i="5"/>
  <c r="Z67" i="5"/>
  <c r="Z11" i="5"/>
  <c r="J10" i="1"/>
  <c r="H14" i="1"/>
  <c r="Z15" i="3"/>
  <c r="AC18" i="6"/>
  <c r="Z16" i="5"/>
  <c r="AC14" i="6"/>
  <c r="T11" i="1"/>
  <c r="Z5" i="5"/>
  <c r="Z57" i="5"/>
  <c r="Z18" i="3"/>
  <c r="H5" i="1"/>
  <c r="AC7" i="2"/>
  <c r="V25" i="1"/>
  <c r="C10" i="1"/>
  <c r="AC10" i="6"/>
  <c r="Z8" i="5"/>
  <c r="Z14" i="3"/>
  <c r="Z39" i="5"/>
  <c r="Z6" i="3"/>
  <c r="Z30" i="5"/>
  <c r="Z7" i="4"/>
  <c r="Q15" i="1"/>
  <c r="G14" i="1"/>
  <c r="T24" i="1"/>
  <c r="V14" i="6"/>
  <c r="V24" i="1" s="1"/>
  <c r="J5" i="1"/>
  <c r="AC17" i="6"/>
  <c r="D12" i="1"/>
  <c r="Z55" i="5"/>
  <c r="Z53" i="5"/>
  <c r="AC12" i="6"/>
  <c r="A2" i="4"/>
  <c r="Z12" i="3"/>
  <c r="C12" i="1"/>
  <c r="Z8" i="4"/>
  <c r="S20" i="5"/>
  <c r="Z20" i="5"/>
  <c r="S12" i="1"/>
  <c r="I13" i="1"/>
  <c r="J13" i="1"/>
  <c r="H13" i="1"/>
  <c r="F13" i="1"/>
  <c r="C13" i="1"/>
  <c r="D13" i="1"/>
  <c r="G13" i="1"/>
  <c r="E13" i="1"/>
  <c r="S22" i="1"/>
  <c r="S23" i="1"/>
  <c r="S13" i="1"/>
  <c r="J14" i="1"/>
  <c r="I10" i="1"/>
  <c r="J12" i="1"/>
  <c r="Z7" i="3"/>
  <c r="F12" i="1"/>
  <c r="S26" i="1"/>
  <c r="V26" i="1"/>
  <c r="Z19" i="3"/>
  <c r="P14" i="1"/>
  <c r="P18" i="1" s="1"/>
  <c r="H10" i="1"/>
  <c r="G10" i="1"/>
  <c r="Z40" i="5"/>
  <c r="T22" i="1"/>
  <c r="T12" i="1"/>
  <c r="D10" i="1"/>
  <c r="F10" i="1"/>
  <c r="Z24" i="5"/>
  <c r="E12" i="1"/>
  <c r="V11" i="6"/>
  <c r="V23" i="1" s="1"/>
  <c r="AC16" i="6"/>
  <c r="Q14" i="1"/>
  <c r="Z32" i="5"/>
  <c r="S15" i="1"/>
  <c r="AC13" i="6"/>
  <c r="A2" i="2"/>
  <c r="Z13" i="3"/>
  <c r="E10" i="1"/>
  <c r="E14" i="1"/>
  <c r="F14" i="1"/>
  <c r="T13" i="1"/>
  <c r="D14" i="1"/>
  <c r="C14" i="1"/>
  <c r="S25" i="1"/>
  <c r="U25" i="1" s="1"/>
  <c r="S10" i="1"/>
  <c r="R12" i="1"/>
  <c r="R18" i="1" s="1"/>
  <c r="R22" i="1"/>
  <c r="Z49" i="5"/>
  <c r="P24" i="1"/>
  <c r="U24" i="1" s="1"/>
  <c r="F5" i="1"/>
  <c r="I14" i="1"/>
  <c r="Z63" i="5"/>
  <c r="S14" i="1"/>
  <c r="T16" i="1"/>
  <c r="Z14" i="5"/>
  <c r="T23" i="1"/>
  <c r="Q16" i="1"/>
  <c r="Z45" i="5"/>
  <c r="T26" i="1"/>
  <c r="H12" i="1"/>
  <c r="I11" i="1"/>
  <c r="Q22" i="1"/>
  <c r="F11" i="1"/>
  <c r="E11" i="1"/>
  <c r="D11" i="1"/>
  <c r="C11" i="1"/>
  <c r="Q12" i="1"/>
  <c r="J11" i="1"/>
  <c r="A2" i="3"/>
  <c r="H11" i="1"/>
  <c r="G11" i="1"/>
  <c r="I12" i="1"/>
  <c r="D5" i="1"/>
  <c r="Z60" i="5"/>
  <c r="A2" i="5" l="1"/>
  <c r="V22" i="1"/>
  <c r="N8" i="9"/>
  <c r="N7" i="9" s="1"/>
  <c r="M6" i="9"/>
  <c r="T18" i="1"/>
  <c r="U23" i="1"/>
  <c r="J15" i="1"/>
  <c r="L5" i="1"/>
  <c r="W26" i="1"/>
  <c r="W25" i="1"/>
  <c r="U15" i="1"/>
  <c r="S18" i="1"/>
  <c r="W22" i="1"/>
  <c r="N5" i="1"/>
  <c r="U16" i="1"/>
  <c r="U13" i="1"/>
  <c r="C15" i="1"/>
  <c r="W23" i="1"/>
  <c r="Q18" i="1"/>
  <c r="A2" i="6"/>
  <c r="F15" i="1"/>
  <c r="I15" i="1"/>
  <c r="W24" i="1"/>
  <c r="D15" i="1"/>
  <c r="E15" i="1"/>
  <c r="U12" i="1"/>
  <c r="U10" i="1"/>
  <c r="U22" i="1"/>
  <c r="G15" i="1"/>
  <c r="U26" i="1"/>
  <c r="H15" i="1"/>
  <c r="U14" i="1"/>
  <c r="O8" i="9" l="1"/>
  <c r="O7" i="9" s="1"/>
  <c r="N6" i="9"/>
  <c r="U18" i="1"/>
  <c r="P8" i="9" l="1"/>
  <c r="P7" i="9" s="1"/>
  <c r="O6" i="9"/>
  <c r="Q8" i="9" l="1"/>
  <c r="Q7" i="9" s="1"/>
  <c r="P6" i="9"/>
  <c r="R8" i="9" l="1"/>
  <c r="R7" i="9" s="1"/>
  <c r="Q6" i="9"/>
  <c r="S8" i="9" l="1"/>
  <c r="S7" i="9" s="1"/>
  <c r="R6" i="9"/>
  <c r="T8" i="9" l="1"/>
  <c r="T7" i="9" s="1"/>
  <c r="S6" i="9"/>
  <c r="U8" i="9" l="1"/>
  <c r="U7" i="9" s="1"/>
  <c r="T6" i="9"/>
  <c r="V8" i="9" l="1"/>
  <c r="V7" i="9" s="1"/>
  <c r="U6" i="9"/>
  <c r="W8" i="9" l="1"/>
  <c r="W7" i="9" s="1"/>
  <c r="V6" i="9"/>
  <c r="X8" i="9" l="1"/>
  <c r="X7" i="9" s="1"/>
  <c r="W6" i="9"/>
  <c r="Y8" i="9" l="1"/>
  <c r="Y7" i="9" s="1"/>
  <c r="X6" i="9"/>
  <c r="Z8" i="9" l="1"/>
  <c r="Z7" i="9" s="1"/>
  <c r="Y6" i="9"/>
  <c r="AA8" i="9" l="1"/>
  <c r="AA7" i="9" s="1"/>
  <c r="Z6" i="9"/>
  <c r="AB8" i="9" l="1"/>
  <c r="AB7" i="9" s="1"/>
  <c r="AA6" i="9"/>
  <c r="AC8" i="9" l="1"/>
  <c r="AC7" i="9" s="1"/>
  <c r="AB6" i="9"/>
  <c r="AD8" i="9" l="1"/>
  <c r="AD7" i="9" s="1"/>
  <c r="AC6" i="9"/>
  <c r="AE8" i="9" l="1"/>
  <c r="AE7" i="9" s="1"/>
  <c r="AD6" i="9"/>
  <c r="AF8" i="9" l="1"/>
  <c r="AF7" i="9" s="1"/>
  <c r="AE6" i="9"/>
  <c r="AG8" i="9" l="1"/>
  <c r="AG7" i="9" s="1"/>
  <c r="AF6" i="9"/>
  <c r="AH8" i="9" l="1"/>
  <c r="AH7" i="9" s="1"/>
  <c r="AG6" i="9"/>
  <c r="AI8" i="9" l="1"/>
  <c r="AI7" i="9" s="1"/>
  <c r="AH6" i="9"/>
  <c r="AJ8" i="9" l="1"/>
  <c r="AI6" i="9"/>
  <c r="AJ6" i="9" l="1"/>
  <c r="AJ7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<sst xmlns="http://schemas.openxmlformats.org/spreadsheetml/2006/main" count="3435" uniqueCount="736">
  <si>
    <t>API 연동 개발 트래커 — 대시보드  ·  API Integration Tracker — Dashboard</t>
  </si>
  <si>
    <t>전체
Total</t>
  </si>
  <si>
    <t>라이브
Live</t>
  </si>
  <si>
    <t>개발·테스트
Dev / Test</t>
  </si>
  <si>
    <t>계약·NDA
NDA / Contract</t>
  </si>
  <si>
    <t>파이프라인
Pipeline</t>
  </si>
  <si>
    <t>60일+ 정체
Stalled 60d+</t>
  </si>
  <si>
    <t>체이스 지연·필요
Chase overdue / needed</t>
  </si>
  <si>
    <t>카테고리 × 개발 상태  ·  Category × status</t>
  </si>
  <si>
    <t>지역 × 카테고리 (진행 중)  ·  Region × category (open items)</t>
  </si>
  <si>
    <t>카테고리 · Category</t>
  </si>
  <si>
    <t>Live</t>
  </si>
  <si>
    <t>Partially Live</t>
  </si>
  <si>
    <t>Pending Live</t>
  </si>
  <si>
    <t>Testing</t>
  </si>
  <si>
    <t>In Development</t>
  </si>
  <si>
    <t>NDA/Contract</t>
  </si>
  <si>
    <t>Pipeline</t>
  </si>
  <si>
    <t>Contact</t>
  </si>
  <si>
    <t>보류/드롭
Hold/Drop</t>
  </si>
  <si>
    <t>합계
Total</t>
  </si>
  <si>
    <t>지역 · Region</t>
  </si>
  <si>
    <t>스위칭 업체 Switch vendors</t>
  </si>
  <si>
    <t>스위칭 연동 Switching</t>
  </si>
  <si>
    <t>서드파티 연동 3rd Party</t>
  </si>
  <si>
    <t>우리가 공급사 OMH Supply</t>
  </si>
  <si>
    <t>상호연동 Two-way</t>
  </si>
  <si>
    <t>한국 · Korea</t>
  </si>
  <si>
    <t>일본 · Japan</t>
  </si>
  <si>
    <t>중화권 · Greater China</t>
  </si>
  <si>
    <t>동남아 · SE Asia</t>
  </si>
  <si>
    <t>인도 · India</t>
  </si>
  <si>
    <t>합계 · Total</t>
  </si>
  <si>
    <t>중동·러시아 · ME &amp; Russia</t>
  </si>
  <si>
    <t>유럽·미주 · Europe &amp; Americas</t>
  </si>
  <si>
    <t>글로벌 · Global</t>
  </si>
  <si>
    <t>담당별 진행 중 건수  ·  Open items by owner</t>
  </si>
  <si>
    <t>담당 · Owner</t>
  </si>
  <si>
    <t>체이스 지연·필요
Chase overdue/needed</t>
  </si>
  <si>
    <t>Grace</t>
  </si>
  <si>
    <t>Aiden (지역 공백 · interim)</t>
  </si>
  <si>
    <t>GSM: Aiden → Jane (Dec~)</t>
  </si>
  <si>
    <t>Jane</t>
  </si>
  <si>
    <t>Aiden (일본 · interim JP)</t>
  </si>
  <si>
    <t>SCM by country · Aiden</t>
  </si>
  <si>
    <t>Aiden</t>
  </si>
  <si>
    <t>지금 챙길 것 — 60일 이상 정체 (2026-10-19 스냅샷)  ·  Watch list — stalled 60+ days (snapshot 19 Oct; use the 'Delay check' filter for live data)</t>
  </si>
  <si>
    <t>카테고리
Category</t>
  </si>
  <si>
    <t>프로젝트
Project</t>
  </si>
  <si>
    <t>지역
Region</t>
  </si>
  <si>
    <t>담당
Owner</t>
  </si>
  <si>
    <t>진행률
Progress</t>
  </si>
  <si>
    <t>경과일
Days</t>
  </si>
  <si>
    <t>현황 · 다음 액션
Status · next action</t>
  </si>
  <si>
    <t>Uone</t>
  </si>
  <si>
    <t>Lion Travel</t>
  </si>
  <si>
    <t>Shiji 셀러 측 인터페이스 완료(10월 말~11월 초) 후 Shiji 경유 첫 채널 오픈 준비 — Shiji 폴더 TASKS #7(3자 미팅)과 연계
After Shiji seller-side interface is complete (late Oct–early Nov), prepare first channel launch via Shiji — link with Shiji folder TASKS #7 (three-party meeting)</t>
  </si>
  <si>
    <t>Amerilink</t>
  </si>
  <si>
    <t>Star Travel</t>
  </si>
  <si>
    <t>Chudu24</t>
  </si>
  <si>
    <t>API·2-way 제안 회신 체이스 + 탑셀링·피크 프로모션 공유
Chase reply on API/2-way proposal + share top-selling and peak promotions</t>
  </si>
  <si>
    <t>Justgotrip</t>
  </si>
  <si>
    <t>Gotadi - HN Branch</t>
  </si>
  <si>
    <t>재가동 회신 2차 체이스 + OMH 측 개발 deliverable·ETA 확정
Second chase for re-engagement reply + confirm OMH-side development deliverables and ETA</t>
  </si>
  <si>
    <t>G2 Travel</t>
  </si>
  <si>
    <t>Tiket.com</t>
  </si>
  <si>
    <t>Celine 체이스 또는 Hold 결정
Chase Celine or decide to put on hold</t>
  </si>
  <si>
    <t>Huamao</t>
  </si>
  <si>
    <t>개발 재개 확인 — 8/3 API 오류 해결 여부·인증 일정
Confirm development has resumed — whether the 3 Aug API error is resolved and certification schedule</t>
  </si>
  <si>
    <t>Ziru (TMC)</t>
  </si>
  <si>
    <t>Travelata(Vivatech)</t>
  </si>
  <si>
    <t>API 연동 진행(DEV·개발 일정·담당자·IP) 체이스 + 보증금 USD 20,000 입금 확인
Chase API integration progress (DEV, development schedule, contact person, IP) + confirm deposit of USD 20,000 received</t>
  </si>
  <si>
    <t>개발 진행 간트차트  ·  Dev Progress Gantt</t>
  </si>
  <si>
    <t>타임라인 시작일
Timeline start</t>
  </si>
  <si>
    <t>← 이 날짜가 속한 주(월요일)부터 26주 표시 · Shows 26 weeks from this week</t>
  </si>
  <si>
    <t>범례 Legend</t>
  </si>
  <si>
    <t>개발중</t>
  </si>
  <si>
    <t>지연</t>
  </si>
  <si>
    <t>예정/완료</t>
  </si>
  <si>
    <t>라이브 주</t>
  </si>
  <si>
    <t>이번 주</t>
  </si>
  <si>
    <t>In Dev</t>
  </si>
  <si>
    <t>Overdue</t>
  </si>
  <si>
    <t>Planned/Done</t>
  </si>
  <si>
    <t>Go-Live week</t>
  </si>
  <si>
    <t>This week</t>
  </si>
  <si>
    <t>No.</t>
  </si>
  <si>
    <t>업체명
Vendor</t>
  </si>
  <si>
    <t>업체코드
Vendor Code</t>
  </si>
  <si>
    <t>개발자
Developer</t>
  </si>
  <si>
    <t>개발 시작일
Dev Start</t>
  </si>
  <si>
    <t>완료 예정일
Dev End (plan)</t>
  </si>
  <si>
    <t>라이브 일자
Go-Live</t>
  </si>
  <si>
    <t>기간(주)
Weeks</t>
  </si>
  <si>
    <t>상태
Status</t>
  </si>
  <si>
    <t>test agency</t>
  </si>
  <si>
    <t>ABC Travel Service</t>
  </si>
  <si>
    <t>Tan</t>
  </si>
  <si>
    <t>STAYLAH</t>
  </si>
  <si>
    <t>DiDi TMC</t>
  </si>
  <si>
    <t>Calvin</t>
  </si>
  <si>
    <t>스위치 업체 자체와의 연동 (TGX·Shiji·Juniper·ZentrumHub 등) · 셀러(OMH 공급)·바이어(OMH 매입) 측 상태와 경유 파트너 수 · 오너 GSM (Aiden 인수 중, 12월~ Jane)
Integration with the switch vendors themselves (TGX, Shiji, Juniper, ZentrumHub, etc.) · seller (OMH supply) and buyer (OMH sourcing) side status, partners routed via each switch · Owner: GSM (Aiden taking over, Jane lead from Dec)</t>
  </si>
  <si>
    <t>단계 가중치 · Stage weight →</t>
  </si>
  <si>
    <t>프로젝트 · 개발 정보  ·  Project / Dev Info</t>
  </si>
  <si>
    <t>진행 · 체이스 현황 (자동 계산)  ·  Progress &amp; Chase Status (Auto-calculated)</t>
  </si>
  <si>
    <t>계획 · 이슈 (직접 입력)  ·  Plan &amp; Issues (manual entry)</t>
  </si>
  <si>
    <t>단계 이력 (실제 날짜)  ·  Stage History (actual dates) — Pipeline → Contract → Dev → Customer Live</t>
  </si>
  <si>
    <t>상태 수동 지정
Status override</t>
  </si>
  <si>
    <t>국가
Country</t>
  </si>
  <si>
    <t>프로젝트 (업체)
Project (Partner)</t>
  </si>
  <si>
    <t>방향
Direction</t>
  </si>
  <si>
    <t>셀러 측 (OMH 공급)
Seller side (OMH supply)</t>
  </si>
  <si>
    <t>바이어 측 (OMH 매입)
Buyer side (OMH sourcing)</t>
  </si>
  <si>
    <t>경유 파트너 수
Partners via this switch</t>
  </si>
  <si>
    <t>연결 경로
Connection</t>
  </si>
  <si>
    <t>원본 카테고리
Category (orig.)</t>
  </si>
  <si>
    <t>비즈 임팩트
Biz Impact</t>
  </si>
  <si>
    <t>영업 단계 (CRM)
Sales stage (CRM)</t>
  </si>
  <si>
    <t>담당 (현재)
Owner (current)</t>
  </si>
  <si>
    <t>개발 주체
Dev Owner</t>
  </si>
  <si>
    <t>처리 팀
Handling Team</t>
  </si>
  <si>
    <t>진행률
Progress %</t>
  </si>
  <si>
    <t>마지막 활동
Last Activity</t>
  </si>
  <si>
    <t>단계 경과일
Days in Stage</t>
  </si>
  <si>
    <t>지연 체크
Delay Check</t>
  </si>
  <si>
    <t>현재 단계
Current Stage</t>
  </si>
  <si>
    <t>파이프라인 기간
Pipeline Age</t>
  </si>
  <si>
    <t>체이스 #
Chase #</t>
  </si>
  <si>
    <t>마지막 체이스
Last Chase</t>
  </si>
  <si>
    <t>체이스 후 경과일
Days Since Chase</t>
  </si>
  <si>
    <t>다음 체이스
Next Chase Due</t>
  </si>
  <si>
    <t>체이스 알림
Chase Alert</t>
  </si>
  <si>
    <t>목표 라이브
Target Go-Live</t>
  </si>
  <si>
    <t>대기 사유
Waiting On</t>
  </si>
  <si>
    <t>현황 · 다음 액션 (KR)
Status · next action (KR)</t>
  </si>
  <si>
    <t>현황 · 다음 액션 (EN)
Status · next action (EN)</t>
  </si>
  <si>
    <t>원본 Note (IT)
Note (IT original)</t>
  </si>
  <si>
    <t>최종 연락 (CRM)
Last contact (CRM)</t>
  </si>
  <si>
    <t>출처 · 메모
Source · memo</t>
  </si>
  <si>
    <t>① 파이프라인 시작
Pipeline Start (5%)</t>
  </si>
  <si>
    <t>② 제안·소개 발송
Proposal / Intro Sent (10%)</t>
  </si>
  <si>
    <t>③ NDA 발송
NDA Sent (15%)</t>
  </si>
  <si>
    <t>④ NDA 체결
NDA Signed (20%)</t>
  </si>
  <si>
    <t>⑤ 계약 체결
Contract Signed (30%)</t>
  </si>
  <si>
    <t>⑥ SLA 확정
SLA Finalized (40%)</t>
  </si>
  <si>
    <t>⑦ 개발 착수 예정
Dev Kickoff Planned (45%)</t>
  </si>
  <si>
    <t>⑧ 개발 착수 · SPEC/DEV 키 · 크리덴셜
Dev Kickoff / SPEC·DEV Key (50%) / Credential</t>
  </si>
  <si>
    <t>⑨ 인증
Certification (60%)</t>
  </si>
  <si>
    <t>⑩ 라이브 테스트
Live Test (70%)</t>
  </si>
  <si>
    <t>⑪ 개발 완료 예정
Dev Completion Planned (75%)</t>
  </si>
  <si>
    <t>⑫ 라이브 키 오픈 (OMH 측)
Live Key Open – OMH side only (80%)</t>
  </si>
  <si>
    <t>⑬ 첫 예약
First Booking (90%)</t>
  </si>
  <si>
    <t>⑭ 고객 라이브 확정 (고객 통보)
Customer Live Confirmed – client notified (100%)</t>
  </si>
  <si>
    <t>China</t>
  </si>
  <si>
    <t>Shiji</t>
  </si>
  <si>
    <t>스위치 · Switch</t>
  </si>
  <si>
    <t>진행 중 · In progress (셀러 인터페이스 10월 말~11월 초 · seller interface late Oct–early Nov, 첫 채널 Lion Travel · first channel Lion Travel)</t>
  </si>
  <si>
    <t>테스트 완료 · Test done (인증 로그 전달만 남음 · only certification logs left)</t>
  </si>
  <si>
    <t>스위치 자체 · Switch itself</t>
  </si>
  <si>
    <t>Switching System</t>
  </si>
  <si>
    <t>High</t>
  </si>
  <si>
    <t>API 연동 중 · Integrating</t>
  </si>
  <si>
    <t>OHMY + Partner (50/50)</t>
  </si>
  <si>
    <t>SLA</t>
  </si>
  <si>
    <t>Ace Zhou 리캡 회신 — 마켓플레이스(셀러 2%) 진행 여부 결정 + 바이어 인증용 실행 로그 전달</t>
  </si>
  <si>
    <t>Reply to Ace Zhou's recap — decide whether to proceed with the marketplace (seller 2%) + send execution logs for buyer certification</t>
  </si>
  <si>
    <t>Btw, regarding Shiji, current status is separate :
Shiji (OMH are supply) : Shiji is doing it
Shiji (OMH are demand - 3rd party integration) : Finish implementation, we're testing with them.</t>
  </si>
  <si>
    <t>2026-10-16</t>
  </si>
  <si>
    <t>Tracker</t>
  </si>
  <si>
    <t>Spain</t>
  </si>
  <si>
    <t>TGX</t>
  </si>
  <si>
    <t>개발 중 · In development (인증 60% · certification 60%, Buyer 계약 1건 필요 · needs 1 buyer contract)</t>
  </si>
  <si>
    <t>미확인 · Unconfirmed</t>
  </si>
  <si>
    <t>OMH TGX 개발 완료 일정 확보 + Buyer 계약 1건(VOLT 또는 Welcomebeds) 확정</t>
  </si>
  <si>
    <t>Secure OMH TGX development completion date + confirm one Buyer contract (VOLT or Welcomebeds)</t>
  </si>
  <si>
    <t>2026-09-15</t>
  </si>
  <si>
    <t>India</t>
  </si>
  <si>
    <t>Zentrumhub</t>
  </si>
  <si>
    <t>신규 개발 · New lead</t>
  </si>
  <si>
    <t>GSM 인수 후 진행 상태 확인, 추가 스위치 여부는 Shiji·TGX 완료 후 판단</t>
  </si>
  <si>
    <t>Check progress after GSM takeover; decide on additional switches after Shiji and TGX are complete</t>
  </si>
  <si>
    <t>2026-10-05</t>
  </si>
  <si>
    <t>CRM 추가 · Added from CRM (Tracker 미등록 · not in Tracker; 단계 날짜는 확인되는 대로 입력 · add stage dates when confirmed)</t>
  </si>
  <si>
    <t>Dropped</t>
  </si>
  <si>
    <t>Korea</t>
  </si>
  <si>
    <t>11infortec</t>
  </si>
  <si>
    <t>Low</t>
  </si>
  <si>
    <t>—</t>
  </si>
  <si>
    <t>OHMY</t>
  </si>
  <si>
    <t>On Hold</t>
  </si>
  <si>
    <t>Derbysoft</t>
  </si>
  <si>
    <t>Singapore</t>
  </si>
  <si>
    <t>TAN</t>
  </si>
  <si>
    <t>Juniper</t>
  </si>
  <si>
    <t>Mid</t>
  </si>
  <si>
    <t>보류·종료 · On hold · closed</t>
  </si>
  <si>
    <t>Partner (client-side)</t>
  </si>
  <si>
    <t>3rd party GSM 인수 과정에서 Juniper 검토 유지/종료 결정</t>
  </si>
  <si>
    <t>Decide whether to continue or end the Juniper review as part of the 3rd-party handover to GSM</t>
  </si>
  <si>
    <t>미확인</t>
  </si>
  <si>
    <t>USA</t>
  </si>
  <si>
    <t>Synxis</t>
  </si>
  <si>
    <t>스위치(TGX·Shiji 등)를 거쳐 연결하는 파트너 · 스위치 업체 자체는 '스위칭 업체' 시트 · 오너 GSM (Aiden 인수 중, 12월~ Jane)
Partners connected through a switch (TGX, Shiji, etc.) · the switch vendors themselves are on the 'Switch vendors' sheet · Owner: GSM (Aiden taking over, Jane lead from Dec)</t>
  </si>
  <si>
    <t>Taiwan</t>
  </si>
  <si>
    <t>공급 · OMH → Partner</t>
  </si>
  <si>
    <t>SHIJI</t>
  </si>
  <si>
    <t>Channel API</t>
  </si>
  <si>
    <t>계약 협상 중 · Contract talks</t>
  </si>
  <si>
    <t>GSM</t>
  </si>
  <si>
    <t>Shiji 셀러 측 인터페이스 완료(10월 말~11월 초) 후 Shiji 경유 첫 채널 오픈 준비 — Shiji 폴더 TASKS #7(3자 미팅)과 연계</t>
  </si>
  <si>
    <t>After Shiji seller-side interface is complete (late Oct–early Nov), prepare first channel launch via Shiji — link with Shiji folder TASKS #7 (three-party meeting)</t>
  </si>
  <si>
    <t>Thailand</t>
  </si>
  <si>
    <t>Pax2night</t>
  </si>
  <si>
    <t>양방향 · Two-way</t>
  </si>
  <si>
    <t>Shiji (TGX에서 전환) · Shiji (moved from TGX)</t>
  </si>
  <si>
    <t>TGX Switching</t>
  </si>
  <si>
    <t>Shiji 경유 양방향 연동 개발 일정 확정(Ella↔상대 기술팀) 결과 확인</t>
  </si>
  <si>
    <t>Confirm outcome of finalizing the development schedule for two-way integration via Shiji (Ella ↔ partner's tech team)</t>
  </si>
  <si>
    <t>2026-09-19</t>
  </si>
  <si>
    <t>Tracker · TGX 불가 → Shiji 전환 · TGX not possible, moved to Shiji</t>
  </si>
  <si>
    <t>Volt</t>
  </si>
  <si>
    <t>TGX 또는 ZentrumHub · TGX or ZentrumHub</t>
  </si>
  <si>
    <t>10/18 발송한 Buyer SLA 조정점에 대한 최종 양자 SLA·TTG 버전·준거법 회신 체이스 + ITB Asia 미팅 요청 회신(부스 B108 안내) → 무응답 지속 시 TGX Buyer 계약을 Welcomebeds로 전환 판단</t>
  </si>
  <si>
    <t>Chase reply on final bilateral SLA, TTG version and governing law following the Buyer SLA adjustments sent 18 Oct + reply to ITB Asia meeting request (point to booth B108) → if still no response, decide whether to switch the TGX Buyer contract to Welcomebeds</t>
  </si>
  <si>
    <t>2026-10-18</t>
  </si>
  <si>
    <t>Japan</t>
  </si>
  <si>
    <t>Miki</t>
  </si>
  <si>
    <t>일본·한국·베트남 톱100 리스트 준비 완료 확인 후 Miki 재체크 시점 회신 대기</t>
  </si>
  <si>
    <t>Confirm Japan/Korea/Vietnam top-100 lists are ready, then await Miki's reply on re-check timing</t>
  </si>
  <si>
    <t>2026-09-16</t>
  </si>
  <si>
    <t>Luxury Tours</t>
  </si>
  <si>
    <t>미정 (TAN vs Shiji·TGX) · TBD (TAN vs Shiji/TGX)</t>
  </si>
  <si>
    <t>ITB Asia(10/21–23) 현장 미팅 — 양방향 스코프·연동 경로(TAN vs SHIJI/TGX) 확정</t>
  </si>
  <si>
    <t>On-site meeting at ITB Asia (21–23 Oct) — confirm two-way scope and integration route (TAN vs SHIJI/TGX)</t>
  </si>
  <si>
    <t>2026-10-08</t>
  </si>
  <si>
    <t>Ottila</t>
  </si>
  <si>
    <t>계약서 v1 회신 체이스(2주+ 무응답, 기한 10/13 경과)</t>
  </si>
  <si>
    <t>Chase reply on contract v1 (no response 2+ weeks; due 13 Oct passed)</t>
  </si>
  <si>
    <t>2026-09-29</t>
  </si>
  <si>
    <t>Tracker · CRM상 계약 단계 — 단계 날짜 입력 필요 · contract stage per CRM, stage dates missing</t>
  </si>
  <si>
    <t>UAE</t>
  </si>
  <si>
    <t>IOL</t>
  </si>
  <si>
    <t>HBX</t>
  </si>
  <si>
    <t>재무 실사 결과 재체이스(다른 담당자 CC) — 10/13 발송 여부 확인 후 미발송이면 즉시 발송</t>
  </si>
  <si>
    <t>Chase financial due diligence result again (CC another contact) — check whether it was sent on 13 Oct; if not, send immediately</t>
  </si>
  <si>
    <t>2026-09-23</t>
  </si>
  <si>
    <t>Restel Hotels</t>
  </si>
  <si>
    <t>TGX 양방향 · TGX two-way</t>
  </si>
  <si>
    <t>SG 법인 수정 계약서 검토 후 ITB Asia 10/22 11:00(Kai Wei) 미팅에서 서명 일정 합의 + Jihee 11월 방한 미팅·트래블쇼 시즌2 회신</t>
  </si>
  <si>
    <t>Review revised contract for SG entity, then agree signing date at ITB Asia meeting 22 Oct 11:00 (Kai Wei) + reply to Jihee on November Korea-visit meeting and Travel Show Season 2</t>
  </si>
  <si>
    <t>2026-10-14</t>
  </si>
  <si>
    <t>Veturis</t>
  </si>
  <si>
    <t>SHIJI Switching</t>
  </si>
  <si>
    <t>크로스셀 계약 초안 v4 발송(우리 차례) + 단체 견적 C261117(11/17~20 도쿄)·JO270314S 회신(Vicky 경유 JP팀)</t>
  </si>
  <si>
    <t>Send cross-sell contract draft v4 (our turn) + reply on group quotes C261117 (17–20 Nov, Tokyo) and JO270314S (JP team via Vicky)</t>
  </si>
  <si>
    <t>2026-10-15</t>
  </si>
  <si>
    <t>Welcomebeds</t>
  </si>
  <si>
    <t>3rd Party Hotel</t>
  </si>
  <si>
    <t>계약 법인 결정 후 ITB Asia에서 Nora와 TGX·크레딧 정리</t>
  </si>
  <si>
    <t>Decide contracting entity, then settle TGX and credit with Nora at ITB Asia</t>
  </si>
  <si>
    <t>2026-10-07</t>
  </si>
  <si>
    <t>Asian Trails</t>
  </si>
  <si>
    <t>TGX 단방향 + HotelsTrack · TGX one-way + HotelsTrack</t>
  </si>
  <si>
    <t>ITB Asia 10/21 13:30 Virat 미팅 + HotelsTrack(Edwin) 미팅 일정 확정</t>
  </si>
  <si>
    <t>ITB Asia meeting with Virat 21 Oct 13:30 + confirm meeting date with HotelsTrack (Edwin)</t>
  </si>
  <si>
    <t>Rezlive</t>
  </si>
  <si>
    <t>TGX 등 대안 · TGX or other switch</t>
  </si>
  <si>
    <t>재가동 대상 · Re-engage</t>
  </si>
  <si>
    <t>10/5 재가동 메일 · 10/19 2차 일괄 체이스</t>
  </si>
  <si>
    <t>Re-engagement email 5 Oct · second batch chase 19 Oct</t>
  </si>
  <si>
    <t>Tripjack</t>
  </si>
  <si>
    <t>TGX 또는 Shiji · TGX or Shiji</t>
  </si>
  <si>
    <t>Anitya 회신 체이스(10/19 2차 일괄) + ITB Asia 미팅(10/22 14:30, Tauseef)</t>
  </si>
  <si>
    <t>Chase Anitya's reply (second batch, 19 Oct) + ITB Asia meeting (22 Oct 14:30, Tauseef)</t>
  </si>
  <si>
    <t>Yalago</t>
  </si>
  <si>
    <t>TGX (양방향 제안) · TGX (two-way proposed)</t>
  </si>
  <si>
    <t>ITB Asia(10/21–23) 현장 미팅으로 TGX 양방향 연동 방향 합의 + Yalago TGX 라이브 여부 확인</t>
  </si>
  <si>
    <t>Agree TGX two-way integration direction at on-site meeting at ITB Asia (21–23 Oct) + confirm whether Yalago is live on TGX</t>
  </si>
  <si>
    <t>W2M</t>
  </si>
  <si>
    <t>ITB Asia B167 현장에서 TGX↔Juniper 연결 방식 확인</t>
  </si>
  <si>
    <t>Confirm TGX↔Juniper connection method on site at ITB Asia B167</t>
  </si>
  <si>
    <t>2026-09-28</t>
  </si>
  <si>
    <t>상대 재고를 OMH가 가져와 파는 연동 (OMH = 매입)
We source the partner's inventory and resell it (OMH = buyer)</t>
  </si>
  <si>
    <t>JTR</t>
  </si>
  <si>
    <t>매입 · Partner → OMH</t>
  </si>
  <si>
    <t>직접 · Direct</t>
  </si>
  <si>
    <t>3rd Party Activity</t>
  </si>
  <si>
    <t>GSM</t>
    <phoneticPr fontId="37" type="noConversion"/>
  </si>
  <si>
    <t>Linktivity</t>
  </si>
  <si>
    <t>신규 시스템 세부 일정 안내 수신 여부 확인(10월경 완료 목표였음)</t>
  </si>
  <si>
    <t>Check whether the detailed schedule for the new system has been received (target was completion around October)</t>
  </si>
  <si>
    <t>Toto booking</t>
  </si>
  <si>
    <t>ABC Travel</t>
  </si>
  <si>
    <t>OMH 재고를 채널에 직접 공급하는 연동 (OMH = 공급사)
We supply OMH inventory directly to the channel (OMH = supplier)</t>
  </si>
  <si>
    <t>Hong Kong</t>
  </si>
  <si>
    <t>Klook</t>
  </si>
  <si>
    <t>언어코드 수정 배포(다음 주) 후 재오픈 + Qi Li 질의(9명 기준·미적재 호텔)·크로스매핑 결과 회신</t>
  </si>
  <si>
    <t>Reopen after language code fix is deployed (next week) + reply to Qi Li's questions (9-person basis, hotels not loaded) and cross-mapping results</t>
  </si>
  <si>
    <t>Vietnam</t>
  </si>
  <si>
    <t>Momo</t>
  </si>
  <si>
    <t>정산 리포트·대사 키 회신(Vicky 경유) + Tracker '라이브 포착'(10/18) 근거 확인 → PROD 연결·go-live일 확정(목표 12/16)</t>
  </si>
  <si>
    <t>Reply on settlement report and reconciliation key (via Vicky) + verify basis for Tracker 'live detected' (18 Oct) → confirm PROD connection and go-live date (target 16 Dec)</t>
  </si>
  <si>
    <t>2026-10-12</t>
  </si>
  <si>
    <t>Cola Tour</t>
  </si>
  <si>
    <t>OMH 개발 대기 사유·일정 IT 확인 후 Live 전환</t>
  </si>
  <si>
    <t>Check with IT the reason for and timeline of the OMH development hold, then switch to Live</t>
  </si>
  <si>
    <t>2026-10-01</t>
  </si>
  <si>
    <t>Fangcang</t>
  </si>
  <si>
    <t>OMH 개발 대기 사유·일정 IT 확인 → Live Key 일정 확정 + Z-trip 결제용 Fangcang(AMT) 연동 가능성 확인·재보고</t>
  </si>
  <si>
    <t>Check with IT the reason for and timeline of the OMH development hold → confirm Live Key date + check feasibility of Fangcang (AMT) integration for Z-trip payments and re-report</t>
  </si>
  <si>
    <t>JL Tour</t>
  </si>
  <si>
    <t>Jejupay</t>
  </si>
  <si>
    <t>상대 설계 진행 상황·연동 착수 예정일 체이스</t>
  </si>
  <si>
    <t>Chase partner's design progress and planned integration start date</t>
  </si>
  <si>
    <t>개발 재개 확인 — 8/3 API 오류 해결 여부·인증 일정</t>
  </si>
  <si>
    <t>Confirm development has resumed — whether the 3 Aug API error is resolved and certification schedule</t>
  </si>
  <si>
    <t>Russia</t>
  </si>
  <si>
    <t>API 연동 진행(DEV·개발 일정·담당자·IP) 체이스 + 보증금 USD 20,000 입금 확인</t>
  </si>
  <si>
    <t>Chase API integration progress (DEV, development schedule, contact person, IP) + confirm deposit of USD 20,000 received</t>
  </si>
  <si>
    <t>Hibeds</t>
  </si>
  <si>
    <t>OMH 개발 대기 항목 IT 확인 + 상대 착수·완료 일정 재확인(10/10 목표 경과)</t>
  </si>
  <si>
    <t>Check pending OMH development items with IT + reconfirm partner's start and completion dates (10 Oct target passed)</t>
  </si>
  <si>
    <t>2026-08-12</t>
  </si>
  <si>
    <t>휴면·재활성화 · Dormant · re-engage</t>
  </si>
  <si>
    <t>재가동 회신 2차 체이스 + OMH 측 개발 deliverable·ETA 확정</t>
  </si>
  <si>
    <t>Second chase for re-engagement reply + confirm OMH-side development deliverables and ETA</t>
  </si>
  <si>
    <t>U Tour</t>
  </si>
  <si>
    <t>Partner</t>
  </si>
  <si>
    <t>호텔 리스트 송부 + Open API 개발 요청(Aiden) + CNY 정산 가능 여부 확인(T54)</t>
  </si>
  <si>
    <t>Send hotel list + request Open API development (Aiden) + confirm whether CNY settlement is possible (T54)</t>
  </si>
  <si>
    <t>MakeMyTrip</t>
  </si>
  <si>
    <t>MMT 법무 검토 회신 체이스(10/18 수정 표시본)·Bank Transfer 합의, 요금 경쟁력 회신 체이스, ITB Asia(10/23 13:00) Vivek kumar 미팅</t>
  </si>
  <si>
    <t>Chase MMT legal review reply (18 Oct redline) and agree Bank Transfer; chase reply on rate competitiveness; ITB Asia meeting with Vivek kumar (23 Oct 13:00)</t>
  </si>
  <si>
    <t>Develop OPEN API</t>
  </si>
  <si>
    <t>Chai Yi Lc -Yihao</t>
  </si>
  <si>
    <t>CN Booking</t>
  </si>
  <si>
    <t>Didi TMC</t>
  </si>
  <si>
    <t>ITB Asia 10/22 15:00 DiDi Enterprise Solutions 미팅 — 동일 회사 여부 확인·결과 기록</t>
  </si>
  <si>
    <t>ITB Asia meeting with DiDi Enterprise Solutions 22 Oct 15:00 — confirm whether it is the same company and record outcome</t>
  </si>
  <si>
    <t>Fenbeitong</t>
  </si>
  <si>
    <t>VN SCM(DK) 소싱 결과 받아 FBT에 박닌·박장 산업단지 호텔 제안 + 위안화 정산 경로 확인(T54)</t>
  </si>
  <si>
    <t>Get sourcing results from VN SCM (DK) and propose hotels in Bac Ninh/Bac Giang industrial parks to FBT + confirm CNY settlement route (T54)</t>
  </si>
  <si>
    <t>Joy Travel</t>
  </si>
  <si>
    <t>Linkall travel</t>
  </si>
  <si>
    <t>Mafengwo</t>
  </si>
  <si>
    <t>Meiya</t>
  </si>
  <si>
    <t>Qian Tao</t>
  </si>
  <si>
    <t>Wingspulse</t>
  </si>
  <si>
    <t>Gotadi - HCM Branch</t>
  </si>
  <si>
    <t>Vietravel</t>
  </si>
  <si>
    <t>계약서 2건 서명 2차 체이스(전화 병행)</t>
  </si>
  <si>
    <t>Second chase for signature of 2 contracts (with phone follow-up)</t>
  </si>
  <si>
    <t>Happy Travel</t>
  </si>
  <si>
    <t>~10/20 체이스, 무응답 시 우선순위 하향/종결 결정</t>
  </si>
  <si>
    <t>Chase by 20 Oct; if no response, decide to lower priority or close</t>
  </si>
  <si>
    <t>2026-10-06</t>
  </si>
  <si>
    <t>Webbeds</t>
  </si>
  <si>
    <t>'Webbeds DMC' 미수금 JPY 203,300(10/16 신규) 계정 식별·회수 확인 + T17 3rd-party(WebBeds) 판매 확대 진척 점검 + 일·한 성과 호텔 리스트 수령 확인</t>
  </si>
  <si>
    <t>Identify the 'Webbeds DMC' account for receivable JPY 203,300 (new 16 Oct) and confirm collection + check progress on T17 3rd-party (WebBeds) sales expansion + confirm receipt of Japan/Korea top-performing hotel list</t>
  </si>
  <si>
    <t>2026-07-01</t>
  </si>
  <si>
    <t>Benepia</t>
  </si>
  <si>
    <t>미정 · TBD</t>
  </si>
  <si>
    <t>10/14 계약 안내 회신: 선회신 서류(CP 관리카드·통장사본·로고·소개문·계약서) 준비, 수수료 7%(VAT 별도, 전체 매출 대상)·정산(매월 25일) 내부 확정, KCP 연동 공수 산정</t>
  </si>
  <si>
    <t>Reply to 14 Oct contract notice: prepare documents to send first (CP management card, bankbook copy, logo, company introduction, contract); confirm internally 7% commission (excl. VAT, on total sales) and settlement (25th of each month); estimate KCP integration effort</t>
  </si>
  <si>
    <t>Giftronaut</t>
  </si>
  <si>
    <t>9/29 미팅 후속(추진 여부·다음 단계) 정리</t>
  </si>
  <si>
    <t>Summarize follow-up to 29 Sep meeting (go/no-go, next steps)</t>
  </si>
  <si>
    <t>iTank</t>
  </si>
  <si>
    <t>Override Commission Contract 조건(요율·정산) 확인 후 진행 여부 결정</t>
  </si>
  <si>
    <t>Review Override Commission Contract terms (rate, settlement), then decide whether to proceed</t>
  </si>
  <si>
    <t>2026-06-15</t>
  </si>
  <si>
    <t>KJ Global</t>
  </si>
  <si>
    <t>케이제이글로벌 예상 물량 회신 체이스 → 디파짓 조정안 Aiden 확인 후 회신</t>
  </si>
  <si>
    <t>Chase KJ Global (케이제이글로벌) reply on expected volume → reply with deposit adjustment proposal after Aiden reviews</t>
  </si>
  <si>
    <t>Riad Corporation</t>
  </si>
  <si>
    <t>10/19(월) 14:00 온라인 미팅 — 시간대(KST/베트남) 확인 후 오전 중 링크 송부</t>
  </si>
  <si>
    <t>Online meeting 19 Oct (Mon) 14:00 — confirm time zone (KST/Vietnam), then send the link in the morning</t>
  </si>
  <si>
    <t>Stayfolio</t>
  </si>
  <si>
    <t>자료 3종 전달 여부 확인 후 박미리 팀장 재접촉</t>
  </si>
  <si>
    <t>Confirm whether the 3 materials were delivered, then re-contact Team Lead 박미리</t>
  </si>
  <si>
    <t>2026-05-24</t>
  </si>
  <si>
    <t>Tidesquare</t>
  </si>
  <si>
    <t>베트남 11월 타리프 회신 체이스 및 DMC 판매 오픈 시설 확정</t>
  </si>
  <si>
    <t>Chase reply on Vietnam November tariff and confirm properties to open for DMC sales</t>
  </si>
  <si>
    <t>ZEYN Travel</t>
  </si>
  <si>
    <t>B2B 가입 조건 문의(6개 항목) 회신</t>
  </si>
  <si>
    <t>Reply to B2B sign-up terms inquiry (6 items)</t>
  </si>
  <si>
    <t>HIS Travel (H.I.S.)</t>
  </si>
  <si>
    <t>T25 — 7/10 메일 회신 여부 확인 후 본사 창구(tyo-inbound@…)로 재접촉 여부 결정</t>
  </si>
  <si>
    <t>T25 — check whether the 10 Jul email got a reply, then decide whether to re-contact via HQ contact point (tyo-inbound@…)</t>
  </si>
  <si>
    <t>2026-07-10</t>
  </si>
  <si>
    <t>Reiwa Travel</t>
  </si>
  <si>
    <t>T33 방향 결정(CSV 시작 수용 / 보류 / 종결) 후 Ayane 회신 또는 종결 처리</t>
  </si>
  <si>
    <t>Decide T33 direction (accept CSV start / hold / close), then reply to Ayane or close</t>
  </si>
  <si>
    <t>2026-08-18</t>
  </si>
  <si>
    <t>Stayhub</t>
  </si>
  <si>
    <t>Stayhub 명칭 출처(Aiden) 확인 후 KYC/OMH-NICE 게이트 진행</t>
  </si>
  <si>
    <t>Confirm source of the Stayhub name (Aiden), then proceed with KYC/OMH-NICE gate</t>
  </si>
  <si>
    <t>Z-trip</t>
  </si>
  <si>
    <t>Fangcang(AMT) 연동 가능성 확인 후 Z-trip 회신·대표 재보고</t>
  </si>
  <si>
    <t>Check feasibility of Fangcang (AMT) integration, then reply to Z-trip and re-report to CEO</t>
  </si>
  <si>
    <t>2026-10-13</t>
  </si>
  <si>
    <t>BestPrice</t>
  </si>
  <si>
    <t>10/19 2차 일괄 체이스</t>
  </si>
  <si>
    <t>Second batch chase on 19 Oct</t>
  </si>
  <si>
    <t>Bookese</t>
  </si>
  <si>
    <t>Bookese 회신 확인(계정 2개 구조) → 11월 대면 협의(디파짓·탑업), 베트남 신규 세일즈 11/2 입사 후 방문</t>
  </si>
  <si>
    <t>Check Bookese reply (two-account structure) → in-person discussion in November (deposit, top-up); visit after new Vietnam sales hire joins on 2 Nov</t>
  </si>
  <si>
    <t>Indonesia</t>
  </si>
  <si>
    <t>Carita Nara</t>
  </si>
  <si>
    <t>Sharon 재연결 — 포털 계정 셋업·가동 여부 확인</t>
  </si>
  <si>
    <t>Reconnect with Sharon — confirm portal account setup and activation</t>
  </si>
  <si>
    <t>2026-07-30</t>
  </si>
  <si>
    <t>EaseMyTrip</t>
  </si>
  <si>
    <t>Fiditour</t>
  </si>
  <si>
    <t>GoTrip</t>
  </si>
  <si>
    <t>10/6 미팅 결과 기록 및 후속 메일(필요 자료·다음 단계)</t>
  </si>
  <si>
    <t>Record 6 Oct meeting outcome and send follow-up email (required materials, next steps)</t>
  </si>
  <si>
    <t>IVIVU</t>
  </si>
  <si>
    <t>Mustgo</t>
  </si>
  <si>
    <t>MyTour</t>
  </si>
  <si>
    <t>Tecotrip</t>
  </si>
  <si>
    <t>TransViet</t>
  </si>
  <si>
    <t>Tripi</t>
  </si>
  <si>
    <t>VNtrip</t>
  </si>
  <si>
    <t>Akbar Holidays</t>
  </si>
  <si>
    <t>Cleartrip</t>
  </si>
  <si>
    <t>세일 후 재폴로업 — 연동 착수일·연동팀 담당자 확인(미팅 제안 없이)</t>
  </si>
  <si>
    <t>Follow up again after the sale — confirm integration start date and integration team contact (without proposing a meeting)</t>
  </si>
  <si>
    <t>Cox &amp; Kings</t>
  </si>
  <si>
    <t>Musafir</t>
  </si>
  <si>
    <t>유효 담당자 주소 확인 후 재소개 메일 재발송</t>
  </si>
  <si>
    <t>Confirm a valid contact address, then resend the re-introduction email</t>
  </si>
  <si>
    <t>Riya Travel</t>
  </si>
  <si>
    <t>Thomas Cook SOTC</t>
  </si>
  <si>
    <t>Yatra</t>
  </si>
  <si>
    <t>YSK Voyages</t>
  </si>
  <si>
    <t>테스트 계정(10/23 만료) 사용 여부·요금 피드백 확인</t>
  </si>
  <si>
    <t>Check usage of test account (expires 23 Oct) and get rate feedback</t>
  </si>
  <si>
    <t>Global</t>
  </si>
  <si>
    <t>Mygo</t>
  </si>
  <si>
    <t>ITB Asia 대면 미팅(10/23 11:00, B108)에서 테스트 기간·여신 한도·보증금 합의 후 NDA·공급계약 마무리</t>
  </si>
  <si>
    <t>Agree test period, credit limit and deposit at ITB Asia in-person meeting (23 Oct 11:00, B108), then finalize NDA and supply contract</t>
  </si>
  <si>
    <t>2026-09-20</t>
  </si>
  <si>
    <t>bizplay</t>
  </si>
  <si>
    <t>운영 테스트 완료 회신 체이스(10/13 전화 결과 확인)</t>
  </si>
  <si>
    <t>Chase reply on operational test completion (check outcome of 13 Oct call)</t>
  </si>
  <si>
    <t>Hotelbank</t>
  </si>
  <si>
    <t>Hotelpass</t>
  </si>
  <si>
    <t>활성 거래 · Active</t>
  </si>
  <si>
    <t>9/15 '더 이상 진행 안 함' 대상 확인 및 재미팅 일정 확인</t>
  </si>
  <si>
    <t>Confirm what the 15 Sep 'not proceeding further' applies to and confirm follow-up meeting date</t>
  </si>
  <si>
    <t>2026-09-18</t>
  </si>
  <si>
    <t>Linkstay</t>
  </si>
  <si>
    <t>Linkstay 생산성 개선 요청(10/13) 회신 + 미수금 USD 6,448.54(만기 10/5) 회수 확인 + QPS 하향 재협의(T44)</t>
  </si>
  <si>
    <t>Reply to Linkstay's productivity improvement request (13 Oct) + confirm collection of receivable USD 6,448.54 (due 5 Oct) + renegotiate QPS reduction (T44)</t>
  </si>
  <si>
    <t>Myrealtrip API</t>
  </si>
  <si>
    <t>Hotel Intergate Osaka Umeda 보상 처리 결과 확인, 11월 프로모션 회신 상태 점검, ITB Asia 미팅 확정 여부 확인(Jublia 확정표에 없음)</t>
  </si>
  <si>
    <t>Confirm outcome of Hotel Intergate Osaka Umeda compensation, check reply status on November promotion, confirm whether ITB Asia meeting is set (not on Jublia confirmed schedule)</t>
  </si>
  <si>
    <t>Tripbtoz</t>
  </si>
  <si>
    <t>QPS 하향 재협의(T44) — 개발팀 최신 QPS·조회수 데이터 수령 후</t>
  </si>
  <si>
    <t>Renegotiate QPS reduction (T44) — after receiving latest QPS and search volume data from the dev team</t>
  </si>
  <si>
    <t>2026-09-26</t>
  </si>
  <si>
    <t>triptopaz</t>
  </si>
  <si>
    <t>10/16 보상 차감 수정 인보이스가 9/23 보상 문의 건인지 확인 후 종결, 재미팅 일정 확인</t>
  </si>
  <si>
    <t>Confirm whether the 16 Oct revised invoice (compensation deduction) relates to the 23 Sep compensation inquiry, then close; confirm follow-up meeting date</t>
  </si>
  <si>
    <t>Hikari Global</t>
  </si>
  <si>
    <t>10/15 상하이 미팅 내용 기록 + 톱리스트 기반 격차 해소 진행 확인 + QPS 하향 재협의 준비</t>
  </si>
  <si>
    <t>Record notes from the 15 Oct Shanghai meeting + confirm progress on closing gaps based on the top list + prepare QPS reduction renegotiation</t>
  </si>
  <si>
    <t>Alitrip</t>
  </si>
  <si>
    <t>미수금 JPY 12,057,355(만기 10/15) 회수 확인 / ELS-3344 베드 정보 전송 방식 4건 결정 / M Village 오매핑 HID 포함 재요청(T51) / 부속합의서 개정본 수락 여부 확인(T22)</t>
  </si>
  <si>
    <t>Confirm collection of receivable JPY 12,057,355 (due 15 Oct) / Decide 4 items on bed info transmission method for ELS-3344 / Re-request M Village mis-mapping with HIDs included (T51) / Confirm whether revised addendum is accepted (T22)</t>
  </si>
  <si>
    <t>Bingtrip</t>
  </si>
  <si>
    <t>QPS 하향 대상 여부 확정 + 9/12 공사 취소 건 처리 결과 확인</t>
  </si>
  <si>
    <t>Confirm whether subject to QPS reduction + confirm outcome of the 12 Sep construction-related cancellation</t>
  </si>
  <si>
    <t>2026-09-12</t>
  </si>
  <si>
    <t>Convergent API (Huizhi)</t>
  </si>
  <si>
    <t>전략 활성 · Strategic</t>
  </si>
  <si>
    <t>ITB Asia 미팅 10/21 11:00(Ke Xu) / 미수금 USD 14,912.19 + JPY 18,371,119(만기 10/11) 회수 확인 / IT에 일본 가격 확인 실패 원인 분해 요청(일본 −42%) / 9월 L2B 확인 후 QPS 상향·디포짓 추가 결정</t>
  </si>
  <si>
    <t>ITB Asia meeting 21 Oct 11:00 (Ke Xu) / Confirm collection of receivables USD 14,912.19 + JPY 18,371,119 (due 11 Oct) / Ask IT for a breakdown of Japan price-check failure causes (Japan −42%) / Decide on QPS increase and additional deposit after reviewing September L2B</t>
  </si>
  <si>
    <t>Coolprice</t>
  </si>
  <si>
    <t>Ctrip Korea</t>
  </si>
  <si>
    <t>Iris Zheng 미팅노트 회신(HM·TW 리스트·휴면 호텔·11.11, 10/18 임시저장만 있음) / 10/15 후속: 휴면 224곳 플랜 정리, 한국 4~5성 객실 매핑 10/31 착수</t>
  </si>
  <si>
    <t>Reply to Iris Zheng's meeting notes (HM/TW lists, dormant hotels, 11.11; only a draft saved on 18 Oct) / 15 Oct follow-up: finalize plan for 224 dormant hotels, start Korea 4–5-star room mapping on 31 Oct</t>
  </si>
  <si>
    <t>Dida</t>
  </si>
  <si>
    <t>미수금 JPY 27,779,078(만기 10/5) 회수 확인 / ELS-4075(10/20) 반영 후 오프라인 추이 확인·10/13·14 오프라인 시각 회신 체이스 / 10/13 미팅 후속(블랙리스트 대조·데이터 공유·공동 프로모)</t>
  </si>
  <si>
    <t>Confirm collection of receivable JPY 27,779,078 (due 5 Oct) / After ELS-4075 goes in (20 Oct), monitor offline trend and chase reply on 13 and 14 Oct offline times / Follow up on 13 Oct meeting (blacklist cross-check, data sharing, joint promotion)</t>
  </si>
  <si>
    <t>Elong</t>
  </si>
  <si>
    <t>10/14 미팅 진행 여부·결과를 Grace에 확인 / Elong 요청 topselling·하드블록 리스트 최신본 전달(Grace–Tina 협의)</t>
  </si>
  <si>
    <t>Check with Grace whether the 14 Oct meeting took place and its outcome / Send Elong the latest top-selling and hard block lists they requested (Grace–Tina coordination)</t>
  </si>
  <si>
    <t>Hey Trip</t>
  </si>
  <si>
    <t>미입금 JPY 환산 4,365,307(만기 10/7) 회수 확인 + 데포짓 계좌 정리·물량 회복(7/14 5개 항목) 논의 재개 여부 결정</t>
  </si>
  <si>
    <t>Confirm collection of unpaid amount (JPY equivalent 4,365,307, due 7 Oct) + decide whether to resume discussion on deposit account cleanup and volume recovery (5 items from 14 Jul)</t>
  </si>
  <si>
    <t>Huamin</t>
  </si>
  <si>
    <t>2% 마크다운 테스트(10/13~2주) 결과로 주문량 영향 검토</t>
  </si>
  <si>
    <t>Review impact on order volume from the 2% markdown test results (from 13 Oct, 2 weeks)</t>
  </si>
  <si>
    <t>KAKE</t>
  </si>
  <si>
    <t>QPS 하향 대상 여부 확정 + 6월 1차 정산 재입금 확인</t>
  </si>
  <si>
    <t>Confirm whether subject to QPS reduction + confirm re-payment of June first settlement</t>
  </si>
  <si>
    <t>2026-06-30</t>
  </si>
  <si>
    <t>Meituan</t>
  </si>
  <si>
    <t>QPS 4주 조건부 테스트 승인 여부 결정(Aiden) → 매핑 보증서 검토 후 张丹 회신, Ctrip 진행 호텔 제외 하드블록 리스트 전달 / 미수금(Meituan JPY 13,500,902·Meituan Japan JPY 4,052,216, 만기 10/9) 회수 확인</t>
  </si>
  <si>
    <t>Decide whether to approve 4-week conditional QPS test (Aiden) → review mapping guarantee letter, then reply to 张丹 and send hard block list excluding hotels in progress with Ctrip / Confirm collection of receivables (Meituan JPY 13,500,902, Meituan Japan JPY 4,052,216, due 9 Oct)</t>
  </si>
  <si>
    <t>PKFARE API</t>
  </si>
  <si>
    <t>현행 디포짓·정산 주기·QPS 한도 확정 + 소액 잔차 확인</t>
  </si>
  <si>
    <t>Confirm current deposit, settlement cycle and QPS limit + check small residual balance</t>
  </si>
  <si>
    <t>Qiyouji</t>
  </si>
  <si>
    <t>M Village 오매핑 회신 확보·Twin 룸 판매중지 판단 결과 확정 + 미입금 JPY 환산 5,297,427(만기 10/7) 회수 확인</t>
  </si>
  <si>
    <t>Secure reply on M Village mis-mapping and finalize decision on Twin room stop-sell + confirm collection of unpaid amount (JPY equivalent 5,297,427, due 7 Oct)</t>
  </si>
  <si>
    <t>2026-10-02</t>
  </si>
  <si>
    <t>Qunar</t>
  </si>
  <si>
    <t>禁售 근본원인(진입예약 실패·타임아웃) IT 수정 ETA 확보 후 程雯에 해제 요청</t>
  </si>
  <si>
    <t>Get IT's fix ETA for the 禁售 (stop-sell) root cause (booking entry failures, timeouts), then ask 程雯 to lift it</t>
  </si>
  <si>
    <t>SS Booking</t>
  </si>
  <si>
    <t>Aiden 방침(10/16)대로 TMC 전용 요금 SCM 요청(마진율 유지)·"협업 방법" 재보고 / Joseph에 TMC 별도 계정·다른 API 가능 여부 확인</t>
  </si>
  <si>
    <t>Per Aiden's direction (16 Oct), request TMC-only rates from SCM (keep margin rate) and re-report on the "collaboration approach" / Check with Joseph whether a separate TMC account and a different API are possible</t>
  </si>
  <si>
    <t>2026-10-17</t>
  </si>
  <si>
    <t>SUZHOU YILV SUNSHINE TRAVEL AGENCY CO.,LTD</t>
  </si>
  <si>
    <t>9월+10월분 합산 입금(10월 지급 예정) 확인</t>
  </si>
  <si>
    <t>Confirm combined Sep + Oct payment (scheduled for October)</t>
  </si>
  <si>
    <t>2026-09-11</t>
  </si>
  <si>
    <t>Toptown API (시트립 Vacation 자회사)</t>
  </si>
  <si>
    <t>Tourmind</t>
  </si>
  <si>
    <t>105개 호텔 연결 실패·실패 증가 원인 IT 확인 후 회신 + 미입금 JPY 환산 4,061,486(만기 10/7) 회수 확인</t>
  </si>
  <si>
    <t>Reply after IT checks the cause of connection failures at 105 hotels and the rising failure count + confirm collection of unpaid amount (JPY equivalent 4,061,486, due 7 Oct)</t>
  </si>
  <si>
    <t>2026-10-10</t>
  </si>
  <si>
    <t>Agoda</t>
  </si>
  <si>
    <t>2.5% 역제안 회신 체이스(10/17 발송) + Cross Hotel Sapporo 10/16 내부 방침 집행(남은 41건 사전 업그레이드 → Agoda 티켓 통지 → 오버라이드 잔액 차감, Vicky 경유 OP)</t>
  </si>
  <si>
    <t>Chase reply on 2.5% counter-proposal (sent 17 Oct) + execute 16 Oct internal decision on Cross Hotel Sapporo (pre-upgrade remaining 41 bookings → notify via Agoda ticket → deduct from override balance; OP via Vicky)</t>
  </si>
  <si>
    <t>Ctrip Vietnam</t>
  </si>
  <si>
    <t>Traveloka</t>
  </si>
  <si>
    <t>우선 매핑 호텔 리스트 결과 + 10/13 호텔 리스트 availability 오픈 가능 여부를 Dwi에게 회신</t>
  </si>
  <si>
    <t>Reply to Dwi with priority mapping hotel list results + whether availability can be opened for the 13 Oct hotel list</t>
  </si>
  <si>
    <t>직접 연결해 서로 사고파는 연동. 방향별 행(공급·매입)이 따로 있을 수 있음
Direct two-way partners. A partner may have one row per direction (supply / sourcing)</t>
  </si>
  <si>
    <t>공급 상태
Supply OMH → Partner</t>
  </si>
  <si>
    <t>매입 상태
Sourcing Partner → OMH</t>
  </si>
  <si>
    <t>파트너 종합
Partner overall</t>
  </si>
  <si>
    <t>Malaysia</t>
  </si>
  <si>
    <t>Staylah</t>
  </si>
  <si>
    <t>개발 · In development</t>
  </si>
  <si>
    <t>1차 호텔 리스트 요금 확인(Ella 문의 답변 수령) + OMH 개발 착수(Tracker 45%·16일 대기) 확인 + 상호 유통 계약서 회신·역방향 계약서 수령</t>
  </si>
  <si>
    <t>Check rates on the first hotel list (receive Ella's answer to the inquiry) + confirm OMH development start (Tracker 45%, waiting 16 days) + reply on mutual distribution contract and receive the reverse-direction contract</t>
  </si>
  <si>
    <t>RateHawk</t>
  </si>
  <si>
    <t>NDA·계약 · NDA/Contract</t>
  </si>
  <si>
    <t>ITB Asia(10/21–23) B108 부스 방문 시 디렉터·CTO와 SLA·보험 잔여 쟁점 마무리 + 보험 가입 진행(Chubb 회신 대기) + 오버부킹 1박 상한 마무리</t>
  </si>
  <si>
    <t>When the Director and CTO visit booth B108 at ITB Asia (21–23 Oct), close remaining SLA and insurance issues + proceed with insurance enrollment (awaiting Chubb reply) + finalize 1-night overbooking cap</t>
  </si>
  <si>
    <t>NDA·계약 (재가동) · NDA/Contract (re-engage)</t>
  </si>
  <si>
    <t>API·2-way 제안 회신 체이스 + 탑셀링·피크 프로모션 공유</t>
  </si>
  <si>
    <t>Chase reply on API/2-way proposal + share top-selling and peak promotions</t>
  </si>
  <si>
    <t>Rate Hawk</t>
  </si>
  <si>
    <t>Celine 체이스 또는 Hold 결정</t>
  </si>
  <si>
    <t>Chase Celine or decide to put on hold</t>
  </si>
  <si>
    <t>Tracker · 상호연동으로 재분류(Aiden 10/19) · reclassified to two-way</t>
  </si>
  <si>
    <t>Within Earth</t>
  </si>
  <si>
    <t>직접 (10/9 TGX에서 전환) · Direct (moved from TGX, 9 Oct)</t>
  </si>
  <si>
    <t>ITB Asia 10/21 14:30 미팅 — 상호계약 법무 검토 결과 확인·직접 연동 전환 합의</t>
  </si>
  <si>
    <t>ITB Asia meeting 21 Oct 14:30 — confirm legal review outcome on mutual contract and agree switch to direct integration</t>
  </si>
  <si>
    <t>2026-10-09</t>
  </si>
  <si>
    <t>Tracker · 10/9 TGX → 직접 연동 전환 · moved from TGX to direct</t>
  </si>
  <si>
    <t>UK</t>
  </si>
  <si>
    <t>Nuitée</t>
  </si>
  <si>
    <t>보류 · On hold (미주 재고 US supply)</t>
  </si>
  <si>
    <t>직접 (Nuitée가 OMH API 연동) · Direct (Nuitée builds on OMH API)</t>
  </si>
  <si>
    <t>ITB Asia(10/21~23) B108 부스 방문 시 Seth와 계약 쟁점·연동 일정 정리(고정 시간 없음) + 계약·SLA 회신 체이스</t>
  </si>
  <si>
    <t>When Seth visits booth B108 at ITB Asia (21–23 Oct), settle contract issues and integration timeline (no fixed time) + chase reply on contract/SLA</t>
  </si>
  <si>
    <t>Accomy</t>
  </si>
  <si>
    <t>접촉 · Contact</t>
  </si>
  <si>
    <t>MG Group</t>
  </si>
  <si>
    <t>완료 · Live</t>
  </si>
  <si>
    <t>진행 중 · In progress</t>
  </si>
  <si>
    <t>일부 라이브 · Partially live</t>
  </si>
  <si>
    <t>Evelyn 회신(계약 검토 상태·Phoebe 11/17~18 방문일) + ITB 10/23 미팅 시간 확인</t>
  </si>
  <si>
    <t>Get Evelyn's reply (contract review status, Phoebe's visit 17–18 Nov) + confirm ITB 23 Oct meeting time</t>
  </si>
  <si>
    <t>TBO</t>
  </si>
  <si>
    <t>Israel</t>
  </si>
  <si>
    <t>GGT (Go Global)</t>
  </si>
  <si>
    <t>진행 중 · In progress (CRM)</t>
  </si>
  <si>
    <t>YGG Integration 무응답 체이스(10/13 예정분) 발송 여부 확인 후 Daniel에 재체이스</t>
  </si>
  <si>
    <t>Check whether the no-response chase to YGG Integration (planned 13 Oct) was sent, then chase Daniel again</t>
  </si>
  <si>
    <t>2026-09-30</t>
  </si>
  <si>
    <t>Go Global</t>
  </si>
  <si>
    <t>RoomForLess</t>
  </si>
  <si>
    <t>미정 (상대는 직접 선호) · TBD (partner prefers direct)</t>
  </si>
  <si>
    <t>10/6 조건 제안 회신 체이스, 수락 시 계약서·스위칭 세팅</t>
  </si>
  <si>
    <t>Chase reply on 6 Oct terms proposal; if accepted, set up contract and switching</t>
  </si>
  <si>
    <t>RTX (Rakuten)</t>
  </si>
  <si>
    <t>라이브 · Live</t>
  </si>
  <si>
    <t>ITB Asia 미팅(10/23 14:00) — 실적·QPS·매핑·크리덴셜 처리 결과 점검</t>
  </si>
  <si>
    <t>ITB Asia meeting (23 Oct 14:00) — review performance, QPS, mapping and credential handling results</t>
  </si>
  <si>
    <t>MG Group (Room Deal)</t>
  </si>
  <si>
    <t>Tracker · 상호연동으로 재분류(Aiden 10/19) · reclassified to two-way · 매입 연동 완료 — Aiden 10/19 확인, 날짜 미입력 · sourcing live (confirmed 19 Oct, dates not entered)</t>
  </si>
  <si>
    <t>Chase Log — 응답 대기 구간 Follow-up 이력 · Follow-up history while waiting on partners (1행 = 체이스 1회 · one row per chase)</t>
  </si>
  <si>
    <t>프로젝트명은 카테고리 시트의 '프로젝트'와 똑같이 적습니다 → 체이스 #·마지막 체이스·체이스 알림 자동 집계 · Use the exact project name from the category sheets; chase columns update automatically. 파란 글씨 = 입력 · Blue = input</t>
  </si>
  <si>
    <t>카테고리(원본)
Category (orig.)</t>
  </si>
  <si>
    <t>단계
Stage</t>
  </si>
  <si>
    <t>체이스 날짜
Chase date</t>
  </si>
  <si>
    <t>방법
Method</t>
  </si>
  <si>
    <t>상대 담당
Counterpart</t>
  </si>
  <si>
    <t>내용 / 응답
Content / response</t>
  </si>
  <si>
    <t>응답?
Responded?</t>
  </si>
  <si>
    <t>다음 체이스
Next chase</t>
  </si>
  <si>
    <t>담당 (Sales)
Owner</t>
  </si>
  <si>
    <t>⑩ Live Test (70%)</t>
  </si>
  <si>
    <t>Chase 완료 (일괄 기록)</t>
  </si>
  <si>
    <t>N</t>
  </si>
  <si>
    <t>GSM (이관 전 · before handover)</t>
  </si>
  <si>
    <t>⑨ Certification (60%)</t>
  </si>
  <si>
    <t>④ NDA Signed (20%)</t>
  </si>
  <si>
    <t>⑫ Live Key Open – OMH side only (80%)</t>
  </si>
  <si>
    <t>⑥ SLA Finalized (40%)</t>
  </si>
  <si>
    <t>⑧ Dev Kickoff / SPEC·DEV Key (50%) / Credential</t>
  </si>
  <si>
    <t>⑤ Contract Signed (30%)</t>
  </si>
  <si>
    <t>OMH Supply</t>
  </si>
  <si>
    <t>Email</t>
  </si>
  <si>
    <t>Daniel @ Giftronaut</t>
  </si>
  <si>
    <t>메일 활동 자동 기록 (auto from mailbox)</t>
  </si>
  <si>
    <t>info</t>
  </si>
  <si>
    <t>Kim Hee Jun</t>
  </si>
  <si>
    <t>⑭ 고객 라이브 확정 (고객 통보) · Customer Live</t>
  </si>
  <si>
    <t>Garg, Kshitij (Agoda)</t>
  </si>
  <si>
    <t>NDA 체결 · NDA Signed</t>
  </si>
  <si>
    <t>Sara El Kadiri</t>
  </si>
  <si>
    <t>개발 착수 · SPEC/DEV 키 · 크리덴셜 · Kickoff / Credential</t>
  </si>
  <si>
    <t>Kevin Ow</t>
  </si>
  <si>
    <t>제안·소개 발송 · Proposal Sent</t>
  </si>
  <si>
    <t>vivek.kumar3</t>
  </si>
  <si>
    <t>Anne</t>
  </si>
  <si>
    <t>Chloe Lee</t>
  </si>
  <si>
    <t>SLA 확정 · SLA Finalized</t>
  </si>
  <si>
    <t>Isabelle Kim</t>
  </si>
  <si>
    <t>cassey.liestyo</t>
  </si>
  <si>
    <t>Traveloka Atlas Provider Portal</t>
  </si>
  <si>
    <t>sales_management MRT</t>
  </si>
  <si>
    <t>Switch vendors</t>
  </si>
  <si>
    <t>Boney Mittal</t>
  </si>
  <si>
    <t>Charlie | Veturis.com</t>
  </si>
  <si>
    <t>Lee, Marie (Agoda)</t>
  </si>
  <si>
    <t>Y</t>
  </si>
  <si>
    <t>라이브 키 오픈 (OMH 측) · Live Key Open</t>
  </si>
  <si>
    <t>NGUYỄN TRẦN HẠNH NGUYÊN - MDS - Expert - Project Management</t>
  </si>
  <si>
    <t>Kevin</t>
  </si>
  <si>
    <t>Ida Ayu Agung Dwi Cahyantari</t>
  </si>
  <si>
    <t>linhtq</t>
  </si>
  <si>
    <t>Jesvin Chan</t>
  </si>
  <si>
    <t>StayLah Tech</t>
  </si>
  <si>
    <t>YASHIKA  TANEJA</t>
  </si>
  <si>
    <t>Bui Thanh Tu</t>
  </si>
  <si>
    <t>Sonali Jena</t>
  </si>
  <si>
    <t>care</t>
  </si>
  <si>
    <t>kimdoan.dao</t>
  </si>
  <si>
    <t>Apurva Dubey</t>
  </si>
  <si>
    <t>Thanh Thanh Mustgo.vn</t>
  </si>
  <si>
    <t>huyen.pham</t>
  </si>
  <si>
    <t>Switching</t>
  </si>
  <si>
    <t>Neelanjan | RezLive.com - CR</t>
  </si>
  <si>
    <t>info.del</t>
  </si>
  <si>
    <t>support</t>
  </si>
  <si>
    <t>Shinde, Mansi/LT/TCIL</t>
  </si>
  <si>
    <t>dulich.sgn</t>
  </si>
  <si>
    <t>hotro</t>
  </si>
  <si>
    <t>tauseefahmeds</t>
  </si>
  <si>
    <t>Nguyen Van Nha</t>
  </si>
  <si>
    <t>giang.th.nguyen</t>
  </si>
  <si>
    <t>Jagat Negi</t>
  </si>
  <si>
    <t>계약 체결 · Contract Signed</t>
  </si>
  <si>
    <t>Trang Nguyen - Chudu24</t>
  </si>
  <si>
    <t>Bella He</t>
  </si>
  <si>
    <t>Two-way</t>
  </si>
  <si>
    <t>Christine Reyes</t>
  </si>
  <si>
    <t>Shasha Yang</t>
  </si>
  <si>
    <t>thuong.luu</t>
  </si>
  <si>
    <t>Nora Blasco Esteban</t>
  </si>
  <si>
    <t>라이브 테스트 · Live Test</t>
  </si>
  <si>
    <t>Ace Zhou (周丽娟) | Shiji</t>
  </si>
  <si>
    <t>Traveloka 3PS Commercial</t>
  </si>
  <si>
    <t>postmaster</t>
  </si>
  <si>
    <t>Group Veturis China</t>
  </si>
  <si>
    <t>Seth Zhang</t>
  </si>
  <si>
    <t>CHEN, Doris</t>
  </si>
  <si>
    <t>Rungrot Kongphukham (Bank)</t>
  </si>
  <si>
    <t>김은식</t>
  </si>
  <si>
    <t>Celine Angelia</t>
  </si>
  <si>
    <t>Shirley Liu</t>
  </si>
  <si>
    <t>Tauseef Ahmed Siddiqui</t>
  </si>
  <si>
    <t>Victor BARUS</t>
  </si>
  <si>
    <t>dicky</t>
  </si>
  <si>
    <t>Dicky Andriansyah</t>
  </si>
  <si>
    <t>Shirley Liu | Pax2night</t>
  </si>
  <si>
    <t>Aatif Khan</t>
  </si>
  <si>
    <t>Virat Suptawornkul</t>
  </si>
  <si>
    <t>kai.wei</t>
  </si>
  <si>
    <t>allie.zhang</t>
  </si>
  <si>
    <t>nisa</t>
  </si>
  <si>
    <t>Jungyun Kwon</t>
  </si>
  <si>
    <t>侯权</t>
  </si>
  <si>
    <t>Sandra CICUENDEZ</t>
  </si>
  <si>
    <t>anitya.mittal</t>
  </si>
  <si>
    <t>트립토파즈 류소정_Sage</t>
  </si>
  <si>
    <t>읽는 법 · 입력 규칙  /  How to read · how to update</t>
  </si>
  <si>
    <t>항목 · Item</t>
  </si>
  <si>
    <t>설명 (KR)</t>
  </si>
  <si>
    <t>Description (EN)</t>
  </si>
  <si>
    <t>체이스 알림 기준(일) · Chase trigger (days)</t>
  </si>
  <si>
    <t>←  오른쪽 값(D4)을 바꾸면 기준이 바뀝니다 · change D4 to adjust</t>
  </si>
  <si>
    <t>상태 · Status</t>
  </si>
  <si>
    <t>단계 날짜 중 가장 늦은 단계의 가중치 = 진행률. 진행률 5% Pipeline · 20% NDA/Contract · 45% In Development · 70% Testing · 80% Pending Live · 100% Live. 날짜가 없으면 Contact. '상태 수동 지정'에 값을 넣으면 그 값이 우선.</t>
  </si>
  <si>
    <t>Progress = weight of the latest stage with a date. 5% Pipeline · 20% NDA/Contract · 45% In Development · 70% Testing · 80% Pending Live · 100% Live. No date = Contact. A value in 'Status override' takes priority.</t>
  </si>
  <si>
    <t>상호연동 파트너 중 한 방향만 라이브인 경우(예: TBO 매입 완료·공급 진행, MG 공급 완료·매입 진행).</t>
  </si>
  <si>
    <t>Two-way partner where only one direction is live (e.g. TBO sourcing live, supply in progress; MG supply live, sourcing in progress).</t>
  </si>
  <si>
    <t>입력하는 곳 · Where to edit</t>
  </si>
  <si>
    <t>파란 글씨 열: 단계 이력 날짜(오른쪽 끝 구간)·상태 수동 지정·보류/드롭·목표 라이브·대기 사유·현황(KR/EN)·상호연동 방향별 상태. 나머지는 자동 계산.</t>
  </si>
  <si>
    <t>Blue columns: stage-history dates (right-most band), status override, hold/drop, target go-live, waiting on, status notes (KR/EN), two-way direction status. Everything else is calculated.</t>
  </si>
  <si>
    <t>열 구간 · Column bands</t>
  </si>
  <si>
    <t>원본과 같은 4구간: ① 프로젝트·개발 정보 ② 진행·체이스 현황(자동 계산: 진행률·마지막 활동·단계 경과일·지연 체크·현재 단계·파이프라인 기간·체이스 #·마지막 체이스·체이스 후 경과일·다음 체이스·체이스 알림) ③ 계획·이슈(직접 입력) ④ 단계 이력(실제 날짜, Pipeline → Contract → Dev → Customer Live). 원본 PIC(Sales) 열만 현재 담당 열로 대체.</t>
  </si>
  <si>
    <t>Same four bands as the original: (1) Project / Dev Info (2) Progress &amp; Chase Status, auto-calculated (3) Plan &amp; Issues, manual entry (4) Stage History, actual dates. Only the original PIC (Sales) column is replaced by the current-owner column.</t>
  </si>
  <si>
    <t>지연 체크 · Delay check</t>
  </si>
  <si>
    <t>마지막 단계 이후 30일 Stalled 30d+ · 60일 Stalled 60d+ · 90일 Stalled 90d+.</t>
  </si>
  <si>
    <t>Days since the last stage: 30 → Stalled 30d+, 60 → Stalled 60d+, 90 → Stalled 90d+.</t>
  </si>
  <si>
    <t>체이스 알림 · Chase alert</t>
  </si>
  <si>
    <t>Chase Log의 다음 체이스 날짜가 지났으면 Chase Overdue, 남았으면 Scheduled. 기록 없이 기준일(7일)을 넘으면 Chase Needed.</t>
  </si>
  <si>
    <t>Next chase date in Chase Log passed → Chase Overdue; upcoming → Scheduled. No record and over the trigger (7 days) → Chase Needed.</t>
  </si>
  <si>
    <t>카테고리 · Categories</t>
  </si>
  <si>
    <t>스위칭 업체 = 스위치 업체 자체와의 연동(셀러·바이어 측 상태, 경유 파트너 수 자동 집계) · 스위칭 연동 = 스위치를 거쳐 연결하는 파트너 · 서드파티 연동 = OMH 매입 · 우리가 공급사 = OMH 직접 공급 · 상호연동 = 직접 양방향(방향별 행이 따로 있을 수 있음).</t>
  </si>
  <si>
    <t>Switch vendors = integration with the switch vendors themselves (seller/buyer status, partners-via count is automatic) · Switching = partners connected through a switch · 3rd Party = OMH sources · OMH Supply = OMH supplies directly · Two-way = direct both ways (may have one row per direction).</t>
  </si>
  <si>
    <t>상호연동 재분류 · Two-way reclass</t>
  </si>
  <si>
    <t>Tiket.com·G2 Travel·Accomy·MG Group·TBO·GoGlobal·RTX를 서드파티/공급사에서 상호연동으로 옮김(Aiden 10/19). TBO: 매입 완료·공급 진행 / MG: 공급 완료·매입 진행 / RTX: 양방향 완료.</t>
  </si>
  <si>
    <t>Moved Tiket.com, G2 Travel, Accomy, MG Group, TBO, GoGlobal and RTX to Two-way (Aiden, 19 Oct). TBO: sourcing live, supply in progress / MG: supply live, sourcing in progress / RTX: both live.</t>
  </si>
  <si>
    <t>그 밖의 변경 · Other changes</t>
  </si>
  <si>
    <t>Within Earth: 10/9 TGX → 직접 연동(상호연동) · Pax2Night: TGX 불가 → Shiji · Restel·Ottila: CRM상 계약 단계, 단계 날짜 입력 필요 · CRM에만 있던 파이프라인 추가.</t>
  </si>
  <si>
    <t>Within Earth: TGX → direct on 9 Oct (Two-way) · Pax2Night: TGX not possible → Shiji · Restel, Ottila: contract stage per CRM, stage dates needed · pipeline from CRM added.</t>
  </si>
  <si>
    <t>담당 (현재) · Owner</t>
  </si>
  <si>
    <t>담당 규칙 기준: 한국 Jane · 중화권 Grace · 일본 Aiden · 그 외 Aiden(지역 공백) · 3rd party·스위칭 GSM(Aiden 인수 중, 12월~ Jane). 원본 PIC 열은 현재 담당과 달라 옮기지 않음.</t>
  </si>
  <si>
    <t>Current owner rule: Korea Jane · Greater China Grace · Japan Aiden · other regions Aiden (interim) · 3rd party &amp; switching GSM (Aiden taking over, Jane from Dec). The original PIC column was not carried over.</t>
  </si>
  <si>
    <t>출처 · Sources</t>
  </si>
  <si>
    <t>SharePoint GSMSET 'API Dev Tracker.xlsx'(2026-10-19 00:37, 102건 + Chase Log) · OMH-CRM 고객사 기록(2026-10-18, W42 반영). 작성 2026-10-19 · Aiden</t>
  </si>
  <si>
    <t>SharePoint GSMSET 'API Dev Tracker.xlsx' (19 Oct 2026 00:37, 102 rows + Chase Log) · OMH-CRM customer records (18 Oct 2026). Prepared 19 Oct 2026 · Aiden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</si>
</sst>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/d"/>
  </numFmts>
  <fonts count="47">
    <font>
      <sz val="11"/>
      <color theme="1"/>
      <name val="Calibri"/>
      <family val="2"/>
      <scheme val="minor"/>
    </font>
    <font>
      <b/>
      <sz val="16"/>
      <color rgb="FF14213D"/>
      <name val="Arial"/>
    </font>
    <font>
      <sz val="10"/>
      <color rgb="FF5A6272"/>
      <name val="Arial"/>
    </font>
    <font>
      <b/>
      <sz val="11"/>
      <color rgb="FFC0582A"/>
      <name val="Arial"/>
    </font>
    <font>
      <sz val="8"/>
      <color rgb="FF5A6272"/>
      <name val="Arial"/>
    </font>
    <font>
      <b/>
      <sz val="10"/>
      <color rgb="FF14213D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0"/>
      <color rgb="FF843C0C"/>
      <name val="Arial"/>
    </font>
    <font>
      <b/>
      <sz val="9.5"/>
      <color rgb="FFFFFFFF"/>
      <name val="Arial"/>
    </font>
    <font>
      <b/>
      <sz val="9"/>
      <color rgb="FFFFFFFF"/>
      <name val="Arial"/>
    </font>
    <font>
      <sz val="9.5"/>
      <name val="Arial"/>
    </font>
    <font>
      <sz val="9.5"/>
      <color rgb="FF0000FF"/>
      <name val="Arial"/>
    </font>
    <font>
      <sz val="9.5"/>
      <color rgb="FF2F4A6D"/>
      <name val="Arial"/>
    </font>
    <font>
      <sz val="9"/>
      <color rgb="FF0000FF"/>
      <name val="Arial"/>
    </font>
    <font>
      <b/>
      <sz val="13"/>
      <color rgb="FF14213D"/>
      <name val="Arial"/>
    </font>
    <font>
      <sz val="9.5"/>
      <color rgb="FF5A6272"/>
      <name val="Arial"/>
    </font>
    <font>
      <sz val="9.5"/>
      <color rgb="FF000000"/>
      <name val="Arial"/>
    </font>
    <font>
      <b/>
      <sz val="15"/>
      <color rgb="FF14213D"/>
      <name val="Arial"/>
    </font>
    <font>
      <b/>
      <sz val="10"/>
      <color rgb="FFFFFFFF"/>
      <name val="Arial"/>
    </font>
    <font>
      <sz val="10"/>
      <name val="Arial"/>
    </font>
    <font>
      <sz val="9"/>
      <color rgb="FF5A6272"/>
      <name val="Arial"/>
    </font>
    <font>
      <b/>
      <sz val="10"/>
      <color rgb="FF0000FF"/>
      <name val="Arial"/>
    </font>
    <font>
      <b/>
      <sz val="18"/>
      <color rgb="FF14213D"/>
      <name val="Arial"/>
    </font>
    <font>
      <b/>
      <sz val="9.5"/>
      <color rgb="FF5A6272"/>
      <name val="Arial"/>
    </font>
    <font>
      <b/>
      <sz val="24"/>
      <color rgb="FF14213D"/>
      <name val="Arial"/>
    </font>
    <font>
      <b/>
      <sz val="24"/>
      <color rgb="FF006100"/>
      <name val="Arial"/>
    </font>
    <font>
      <b/>
      <sz val="24"/>
      <color rgb="FF1F4E79"/>
      <name val="Arial"/>
    </font>
    <font>
      <b/>
      <sz val="24"/>
      <color rgb="FF7F6000"/>
      <name val="Arial"/>
    </font>
    <font>
      <b/>
      <sz val="24"/>
      <color rgb="FF404040"/>
      <name val="Arial"/>
    </font>
    <font>
      <b/>
      <sz val="24"/>
      <color rgb="FF9C0006"/>
      <name val="Arial"/>
    </font>
    <font>
      <b/>
      <sz val="24"/>
      <color rgb="FF9C5700"/>
      <name val="Arial"/>
    </font>
    <font>
      <b/>
      <sz val="12.5"/>
      <color rgb="FF14213D"/>
      <name val="Arial"/>
    </font>
    <font>
      <sz val="10"/>
      <color rgb="FF7F7F7F"/>
      <name val="Arial"/>
    </font>
    <font>
      <b/>
      <sz val="10"/>
      <name val="Arial"/>
    </font>
    <font>
      <b/>
      <sz val="10"/>
      <color rgb="FF9C0006"/>
      <name val="Arial"/>
    </font>
    <font>
      <b/>
      <sz val="10"/>
      <color rgb="FF9C5700"/>
      <name val="Arial"/>
    </font>
    <font>
      <sz val="8"/>
      <name val="Calibri"/>
      <family val="3"/>
      <charset val="129"/>
      <scheme val="minor"/>
    </font>
    <font>
      <sz val="9.5"/>
      <name val="Arial"/>
      <family val="2"/>
    </font>
    <font>
      <sz val="9.5"/>
      <color theme="1"/>
      <name val="Arial"/>
    </font>
    <font>
      <b/>
      <sz val="9.5"/>
      <color rgb="FF0000FF"/>
      <name val="Arial"/>
    </font>
    <font>
      <sz val="8.5"/>
      <color rgb="FF5A6272"/>
      <name val="Arial"/>
    </font>
    <font>
      <i/>
      <sz val="8.5"/>
      <color rgb="FF5A6272"/>
      <name val="Arial"/>
    </font>
    <font>
      <b/>
      <sz val="11"/>
      <color rgb="FFFFFFFF"/>
      <name val="Calibri"/>
      <family val="2"/>
      <scheme val="minor"/>
    </font>
    <font>
      <sz val="8.5"/>
      <color rgb="FFFFFFFF"/>
      <name val="Arial"/>
    </font>
    <font>
      <b/>
      <sz val="8.5"/>
      <color rgb="FFFFFFFF"/>
      <name val="Arial"/>
    </font>
    <font>
      <b/>
      <sz val="11"/>
      <color rgb="FF5A627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4213D"/>
      </patternFill>
    </fill>
    <fill>
      <patternFill patternType="solid">
        <fgColor rgb="FF2F4A6D"/>
      </patternFill>
    </fill>
    <fill>
      <patternFill patternType="solid">
        <fgColor rgb="FFFFFF00"/>
      </patternFill>
    </fill>
    <fill>
      <patternFill patternType="solid">
        <fgColor rgb="FFE8ECF3"/>
      </patternFill>
    </fill>
    <fill>
      <patternFill patternType="solid">
        <fgColor rgb="FFE8ECF3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4A7BD0"/>
        <bgColor indexed="64"/>
      </patternFill>
    </fill>
    <fill>
      <patternFill patternType="solid">
        <fgColor rgb="FFF0A04B"/>
        <bgColor indexed="64"/>
      </patternFill>
    </fill>
    <fill>
      <patternFill patternType="solid">
        <fgColor rgb="FFA9B4C6"/>
        <bgColor indexed="64"/>
      </patternFill>
    </fill>
    <fill>
      <patternFill patternType="solid">
        <fgColor rgb="FF2E9E5B"/>
        <bgColor indexed="64"/>
      </patternFill>
    </fill>
    <fill>
      <patternFill patternType="solid">
        <fgColor rgb="FFE03131"/>
        <bgColor indexed="64"/>
      </patternFill>
    </fill>
    <fill>
      <patternFill patternType="solid">
        <fgColor rgb="FF14213D"/>
        <bgColor indexed="64"/>
      </patternFill>
    </fill>
  </fills>
  <borders count="10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/>
      <right/>
      <top style="thin">
        <color rgb="FFD9DDE3"/>
      </top>
      <bottom style="thin">
        <color rgb="FFD9DDE3"/>
      </bottom>
      <diagonal/>
    </border>
    <border>
      <left/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 style="thin">
        <color rgb="FFE3E7EE"/>
      </right>
      <top/>
      <bottom style="thin">
        <color rgb="FFE3E7EE"/>
      </bottom>
      <diagonal/>
    </border>
    <border>
      <left style="thin">
        <color rgb="FFE3E7EE"/>
      </left>
      <right style="thin">
        <color rgb="FFE3E7EE"/>
      </right>
      <top/>
      <bottom style="thin">
        <color rgb="FFE3E7EE"/>
      </bottom>
      <diagonal/>
    </border>
    <border>
      <left/>
      <right style="thin">
        <color rgb="FFE3E7EE"/>
      </right>
      <top style="thin">
        <color rgb="FFE3E7EE"/>
      </top>
      <bottom style="thin">
        <color rgb="FFE3E7EE"/>
      </bottom>
      <diagonal/>
    </border>
    <border>
      <left style="thin">
        <color rgb="FFE3E7EE"/>
      </left>
      <right style="thin">
        <color rgb="FFE3E7EE"/>
      </right>
      <top style="thin">
        <color rgb="FFE3E7EE"/>
      </top>
      <bottom style="thin">
        <color rgb="FFE3E7EE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3" fillId="0" borderId="0" xfId="0" applyFont="1"/>
    <xf numFmtId="0" fontId="16" fillId="0" borderId="0" xfId="0" applyFont="1"/>
    <xf numFmtId="0" fontId="32" fillId="0" borderId="0" xfId="0" applyFont="1"/>
    <xf numFmtId="0" fontId="9" fillId="6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20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/>
    <xf numFmtId="0" fontId="34" fillId="9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9" fontId="11" fillId="0" borderId="1" xfId="0" applyNumberFormat="1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9" fontId="4" fillId="0" borderId="0" xfId="0" applyNumberFormat="1" applyFont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9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left" vertical="center" wrapText="1"/>
    </xf>
    <xf numFmtId="176" fontId="12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176" fontId="1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0" borderId="0" xfId="0" applyFont="1"/>
    <xf numFmtId="0" fontId="17" fillId="0" borderId="1" xfId="0" applyFont="1" applyBorder="1" applyAlignment="1">
      <alignment horizontal="left" vertical="center" wrapText="1"/>
    </xf>
    <xf numFmtId="0" fontId="18" fillId="0" borderId="0" xfId="0" applyFont="1"/>
    <xf numFmtId="0" fontId="19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2" fillId="8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38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9" fillId="13" borderId="0" xfId="0" applyFont="1" applyFill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5" fillId="17" borderId="0" xfId="0" applyFont="1" applyFill="1" applyAlignment="1">
      <alignment horizontal="center" vertical="center"/>
    </xf>
    <xf numFmtId="177" fontId="44" fillId="17" borderId="0" xfId="0" applyNumberFormat="1" applyFont="1" applyFill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0" fillId="0" borderId="0" xfId="0" applyNumberFormat="1"/>
    <xf numFmtId="0" fontId="24" fillId="10" borderId="0" xfId="0" applyFont="1" applyFill="1" applyAlignment="1">
      <alignment horizontal="center" vertical="center" wrapText="1"/>
    </xf>
    <xf numFmtId="14" fontId="40" fillId="11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right" vertical="center"/>
    </xf>
    <xf numFmtId="0" fontId="43" fillId="17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</cellXfs>
  <cellStyles count="1">
    <cellStyle name="표준" xfId="0" builtinId="0"/>
  </cellStyles>
  <dxfs count="102">
    <dxf>
      <font>
        <b/>
        <color rgb="FF375623"/>
        <name val="Arial"/>
      </font>
      <fill>
        <patternFill patternType="solid">
          <fgColor rgb="FFE2EFDA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275317"/>
        <name val="Arial"/>
      </font>
      <fill>
        <patternFill patternType="solid">
          <fgColor rgb="FFD9EAD3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7F7F7F"/>
        <name val="Arial"/>
      </font>
      <fill>
        <patternFill patternType="solid">
          <fgColor rgb="FFF7F7F7"/>
        </patternFill>
      </fill>
    </dxf>
    <dxf>
      <font>
        <b/>
        <color rgb="FF404040"/>
        <name val="Arial"/>
      </font>
      <fill>
        <patternFill patternType="solid">
          <fgColor rgb="FFEDEDE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CFE2F3"/>
        </patternFill>
      </fill>
    </dxf>
    <dxf>
      <font>
        <b/>
        <color rgb="FF0B5563"/>
        <name val="Arial"/>
      </font>
      <fill>
        <patternFill patternType="solid">
          <fgColor rgb="FFB7E1E5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i/>
        <color rgb="FFA6A6A6"/>
        <name val="Arial"/>
      </font>
    </dxf>
    <dxf>
      <fill>
        <patternFill patternType="solid">
          <fgColor rgb="FFF4F6F8"/>
        </patternFill>
      </fill>
    </dxf>
    <dxf>
      <font>
        <b/>
        <color rgb="FF375623"/>
        <name val="Arial"/>
      </font>
      <fill>
        <patternFill patternType="solid">
          <fgColor rgb="FFE2EFDA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7F7F"/>
        <name val="Arial"/>
      </font>
      <fill>
        <patternFill patternType="solid">
          <fgColor rgb="FFF7F7F7"/>
        </patternFill>
      </fill>
    </dxf>
    <dxf>
      <font>
        <b/>
        <color rgb="FF404040"/>
        <name val="Arial"/>
      </font>
      <fill>
        <patternFill patternType="solid">
          <fgColor rgb="FFEDEDE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CFE2F3"/>
        </patternFill>
      </fill>
    </dxf>
    <dxf>
      <font>
        <b/>
        <color rgb="FF0B5563"/>
        <name val="Arial"/>
      </font>
      <fill>
        <patternFill patternType="solid">
          <fgColor rgb="FFB7E1E5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i/>
        <color rgb="FFA6A6A6"/>
        <name val="Arial"/>
      </font>
    </dxf>
    <dxf>
      <fill>
        <patternFill patternType="solid">
          <fgColor rgb="FFF4F6F8"/>
        </patternFill>
      </fill>
    </dxf>
    <dxf>
      <font>
        <b/>
        <color rgb="FF375623"/>
        <name val="Arial"/>
      </font>
      <fill>
        <patternFill patternType="solid">
          <fgColor rgb="FFE2EFDA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7F7F"/>
        <name val="Arial"/>
      </font>
      <fill>
        <patternFill patternType="solid">
          <fgColor rgb="FFF7F7F7"/>
        </patternFill>
      </fill>
    </dxf>
    <dxf>
      <font>
        <b/>
        <color rgb="FF404040"/>
        <name val="Arial"/>
      </font>
      <fill>
        <patternFill patternType="solid">
          <fgColor rgb="FFEDEDE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CFE2F3"/>
        </patternFill>
      </fill>
    </dxf>
    <dxf>
      <font>
        <b/>
        <color rgb="FF0B5563"/>
        <name val="Arial"/>
      </font>
      <fill>
        <patternFill patternType="solid">
          <fgColor rgb="FFB7E1E5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i/>
        <color rgb="FFA6A6A6"/>
        <name val="Arial"/>
      </font>
    </dxf>
    <dxf>
      <fill>
        <patternFill patternType="solid">
          <fgColor rgb="FFF4F6F8"/>
        </patternFill>
      </fill>
    </dxf>
    <dxf>
      <font>
        <b/>
        <color rgb="FF375623"/>
        <name val="Arial"/>
      </font>
      <fill>
        <patternFill patternType="solid">
          <fgColor rgb="FFE2EFDA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7F7F"/>
        <name val="Arial"/>
      </font>
      <fill>
        <patternFill patternType="solid">
          <fgColor rgb="FFF7F7F7"/>
        </patternFill>
      </fill>
    </dxf>
    <dxf>
      <font>
        <b/>
        <color rgb="FF404040"/>
        <name val="Arial"/>
      </font>
      <fill>
        <patternFill patternType="solid">
          <fgColor rgb="FFEDEDE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CFE2F3"/>
        </patternFill>
      </fill>
    </dxf>
    <dxf>
      <font>
        <b/>
        <color rgb="FF0B5563"/>
        <name val="Arial"/>
      </font>
      <fill>
        <patternFill patternType="solid">
          <fgColor rgb="FFB7E1E5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i/>
        <color rgb="FFA6A6A6"/>
        <name val="Arial"/>
      </font>
    </dxf>
    <dxf>
      <fill>
        <patternFill patternType="solid">
          <fgColor rgb="FFF4F6F8"/>
        </patternFill>
      </fill>
    </dxf>
    <dxf>
      <font>
        <b/>
        <color rgb="FF375623"/>
        <name val="Arial"/>
      </font>
      <fill>
        <patternFill patternType="solid">
          <fgColor rgb="FFE2EFDA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9C5700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ont>
        <b/>
        <color rgb="FF275317"/>
        <name val="Arial"/>
      </font>
      <fill>
        <patternFill patternType="solid">
          <fgColor rgb="FFD9EAD3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7F7F7F"/>
        <name val="Arial"/>
      </font>
      <fill>
        <patternFill patternType="solid">
          <fgColor rgb="FFF7F7F7"/>
        </patternFill>
      </fill>
    </dxf>
    <dxf>
      <font>
        <b/>
        <color rgb="FF404040"/>
        <name val="Arial"/>
      </font>
      <fill>
        <patternFill patternType="solid">
          <fgColor rgb="FFEDEDED"/>
        </patternFill>
      </fill>
    </dxf>
    <dxf>
      <font>
        <b/>
        <color rgb="FF7F6000"/>
        <name val="Arial"/>
      </font>
      <fill>
        <patternFill patternType="solid">
          <fgColor rgb="FFFFF2CC"/>
        </patternFill>
      </fill>
    </dxf>
    <dxf>
      <font>
        <b/>
        <color rgb="FF1F4E79"/>
        <name val="Arial"/>
      </font>
      <fill>
        <patternFill patternType="solid">
          <fgColor rgb="FFDDEBF7"/>
        </patternFill>
      </fill>
    </dxf>
    <dxf>
      <font>
        <b/>
        <color rgb="FF1F4E79"/>
        <name val="Arial"/>
      </font>
      <fill>
        <patternFill patternType="solid">
          <fgColor rgb="FFCFE2F3"/>
        </patternFill>
      </fill>
    </dxf>
    <dxf>
      <font>
        <b/>
        <color rgb="FF0B5563"/>
        <name val="Arial"/>
      </font>
      <fill>
        <patternFill patternType="solid">
          <fgColor rgb="FFB7E1E5"/>
        </patternFill>
      </fill>
    </dxf>
    <dxf>
      <font>
        <b/>
        <color rgb="FF38761D"/>
        <name val="Arial"/>
      </font>
      <fill>
        <patternFill patternType="solid">
          <fgColor rgb="FFE2F0D9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i/>
        <color rgb="FFA6A6A6"/>
        <name val="Arial"/>
      </font>
    </dxf>
    <dxf>
      <fill>
        <patternFill patternType="solid">
          <fgColor rgb="FFF4F6F8"/>
        </patternFill>
      </fill>
    </dxf>
    <dxf>
      <border>
        <left style="thin">
          <color rgb="FFE03131"/>
        </left>
        <right style="thin">
          <color rgb="FFE03131"/>
        </right>
      </border>
    </dxf>
    <dxf>
      <fill>
        <patternFill patternType="solid">
          <fgColor indexed="64"/>
          <bgColor rgb="FF4A7BD0"/>
        </patternFill>
      </fill>
    </dxf>
    <dxf>
      <fill>
        <patternFill patternType="solid">
          <fgColor indexed="64"/>
          <bgColor rgb="FFA9B4C6"/>
        </patternFill>
      </fill>
    </dxf>
    <dxf>
      <fill>
        <patternFill patternType="solid">
          <fgColor indexed="64"/>
          <bgColor rgb="FFF0A04B"/>
        </patternFill>
      </fill>
    </dxf>
    <dxf>
      <fill>
        <patternFill patternType="solid">
          <fgColor indexed="64"/>
          <bgColor rgb="FF2E9E5B"/>
        </patternFill>
      </fill>
    </dxf>
    <dxf>
      <fill>
        <patternFill patternType="solid">
          <fgColor indexed="64"/>
          <bgColor rgb="FFE03131"/>
        </patternFill>
      </fill>
    </dxf>
    <dxf>
      <font>
        <b/>
        <i val="0"/>
        <color rgb="FF4A7BD0"/>
      </font>
    </dxf>
    <dxf>
      <font>
        <b/>
        <i val="0"/>
        <color rgb="FFD9480F"/>
      </font>
    </dxf>
    <dxf>
      <font>
        <b/>
        <i val="0"/>
        <color rgb="FF2E9E5B"/>
      </font>
    </dxf>
    <dxf>
      <fill>
        <patternFill patternType="solid">
          <fgColor indexed="64"/>
          <bgColor rgb="FFFFD8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카테고리별 개발 상태 </a:t>
            </a:r>
            <a:r>
              <a:rPr lang="en-US" altLang="ko-KR"/>
              <a:t>· </a:t>
            </a:r>
            <a:r>
              <a:rPr lang="en-US"/>
              <a:t>Status by category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'대시보드 Dashboard'!$C$9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Dashboard'!$C$10:$C$14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D3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81-4949-A7E1-7E8A3FDCEE1B}"/>
            </c:ext>
          </c:extLst>
        </c:ser>
        <c:ser>
          <c:idx val="1"/>
          <c:order val="1"/>
          <c:tx>
            <c:strRef>
              <c:f>'대시보드 Dashboard'!$D$9</c:f>
              <c:strCache>
                <c:ptCount val="1"/>
                <c:pt idx="0">
                  <c:v>Partially Live</c:v>
                </c:pt>
              </c:strCache>
            </c:strRef>
          </c:tx>
          <c:spPr>
            <a:solidFill>
              <a:srgbClr val="8BC34A"/>
            </a:solidFill>
            <a:ln>
              <a:solidFill>
                <a:srgbClr val="8BC34A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Dashboard'!$D$10:$D$14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BC34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881-4949-A7E1-7E8A3FDCEE1B}"/>
            </c:ext>
          </c:extLst>
        </c:ser>
        <c:ser>
          <c:idx val="2"/>
          <c:order val="2"/>
          <c:tx>
            <c:strRef>
              <c:f>'대시보드 Dashboard'!$E$9</c:f>
              <c:strCache>
                <c:ptCount val="1"/>
                <c:pt idx="0">
                  <c:v>Pending Live</c:v>
                </c:pt>
              </c:strCache>
            </c:strRef>
          </c:tx>
          <c:spPr>
            <a:solidFill>
              <a:srgbClr val="26A69A"/>
            </a:solidFill>
            <a:ln>
              <a:solidFill>
                <a:srgbClr val="26A69A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Dashboard'!$E$10:$E$14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A69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881-4949-A7E1-7E8A3FDCEE1B}"/>
            </c:ext>
          </c:extLst>
        </c:ser>
        <c:ser>
          <c:idx val="3"/>
          <c:order val="3"/>
          <c:tx>
            <c:strRef>
              <c:f>'대시보드 Dashboard'!$F$9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rgbClr val="42A5F5"/>
            </a:solidFill>
            <a:ln>
              <a:solidFill>
                <a:srgbClr val="42A5F5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Dashboard'!$F$10:$F$14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2A5F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881-4949-A7E1-7E8A3FDCEE1B}"/>
            </c:ext>
          </c:extLst>
        </c:ser>
        <c:ser>
          <c:idx val="4"/>
          <c:order val="4"/>
          <c:tx>
            <c:strRef>
              <c:f>'대시보드 Dashboard'!$G$9</c:f>
              <c:strCache>
                <c:ptCount val="1"/>
                <c:pt idx="0">
                  <c:v>In Development</c:v>
                </c:pt>
              </c:strCache>
            </c:strRef>
          </c:tx>
          <c:spPr>
            <a:solidFill>
              <a:srgbClr val="1E88E5"/>
            </a:solidFill>
            <a:ln>
              <a:solidFill>
                <a:srgbClr val="1E88E5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Dashboard'!$G$10:$G$14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88E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881-4949-A7E1-7E8A3FDCEE1B}"/>
            </c:ext>
          </c:extLst>
        </c:ser>
        <c:ser>
          <c:idx val="5"/>
          <c:order val="5"/>
          <c:tx>
            <c:strRef>
              <c:f>'대시보드 Dashboard'!$H$9</c:f>
              <c:strCache>
                <c:ptCount val="1"/>
                <c:pt idx="0">
                  <c:v>NDA/Contract</c:v>
                </c:pt>
              </c:strCache>
            </c:strRef>
          </c:tx>
          <c:spPr>
            <a:solidFill>
              <a:srgbClr val="FFB300"/>
            </a:solidFill>
            <a:ln>
              <a:solidFill>
                <a:srgbClr val="FFB300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Dashboard'!$H$10:$H$14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B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881-4949-A7E1-7E8A3FDCEE1B}"/>
            </c:ext>
          </c:extLst>
        </c:ser>
        <c:ser>
          <c:idx val="6"/>
          <c:order val="6"/>
          <c:tx>
            <c:strRef>
              <c:f>'대시보드 Dashboard'!$I$9</c:f>
              <c:strCache>
                <c:ptCount val="1"/>
                <c:pt idx="0">
                  <c:v>Pipeline</c:v>
                </c:pt>
              </c:strCache>
            </c:strRef>
          </c:tx>
          <c:spPr>
            <a:solidFill>
              <a:srgbClr val="BDBDBD"/>
            </a:solidFill>
            <a:ln>
              <a:solidFill>
                <a:srgbClr val="BDBDBD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Dashboard'!$I$10:$I$14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BDB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881-4949-A7E1-7E8A3FDCEE1B}"/>
            </c:ext>
          </c:extLst>
        </c:ser>
        <c:ser>
          <c:idx val="7"/>
          <c:order val="7"/>
          <c:tx>
            <c:strRef>
              <c:f>'대시보드 Dashboard'!$J$9</c:f>
              <c:strCache>
                <c:ptCount val="1"/>
                <c:pt idx="0">
                  <c:v>Contact</c:v>
                </c:pt>
              </c:strCache>
            </c:strRef>
          </c:tx>
          <c:spPr>
            <a:solidFill>
              <a:srgbClr val="E0E0E0"/>
            </a:solidFill>
            <a:ln>
              <a:solidFill>
                <a:srgbClr val="E0E0E0"/>
              </a:solidFill>
              <a:prstDash val="solid"/>
            </a:ln>
          </c:spPr>
          <c:invertIfNegative val="1"/>
          <c:cat>
            <c:strRef>
              <c:f>'대시보드 Dashboard'!$B$10:$B$14</c:f>
              <c:strCache>
                <c:ptCount val="5"/>
                <c:pt idx="0">
                  <c:v>스위칭 업체 Switch vendors</c:v>
                </c:pt>
                <c:pt idx="1">
                  <c:v>스위칭 연동 Switching</c:v>
                </c:pt>
                <c:pt idx="2">
                  <c:v>서드파티 연동 3rd Party</c:v>
                </c:pt>
                <c:pt idx="3">
                  <c:v>우리가 공급사 OMH Supply</c:v>
                </c:pt>
                <c:pt idx="4">
                  <c:v>상호연동 Two-way</c:v>
                </c:pt>
              </c:strCache>
            </c:strRef>
          </c:cat>
          <c:val>
            <c:numRef>
              <c:f>'대시보드 Dashboard'!$J$10:$J$14</c:f>
              <c:numCache>
                <c:formatCode>General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4</c:v>
                </c:pt>
                <c:pt idx="3">
                  <c:v>46</c:v>
                </c:pt>
                <c:pt idx="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0E0E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D881-4949-A7E1-7E8A3FDCE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93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CE8188-993E-46E9-8966-59BF70E7E4FF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b30044c6-8a4d-48d4-a777-ec4cc70daa9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9"/>
  <sheetViews>
    <sheetView showGridLines="0" topLeftCell="A28" workbookViewId="0">
      <selection activeCell="E49" sqref="E49"/>
    </sheetView>
  </sheetViews>
  <sheetFormatPr defaultRowHeight="14.45"/>
  <cols>
    <col min="1" max="1" width="2" customWidth="1"/>
    <col min="2" max="2" width="24" customWidth="1"/>
    <col min="3" max="3" width="18" customWidth="1"/>
    <col min="4" max="4" width="21" customWidth="1"/>
    <col min="5" max="5" width="22" customWidth="1"/>
    <col min="6" max="6" width="13" customWidth="1"/>
    <col min="7" max="7" width="14" customWidth="1"/>
    <col min="8" max="8" width="13" customWidth="1"/>
    <col min="9" max="9" width="14" customWidth="1"/>
    <col min="10" max="10" width="12" customWidth="1"/>
    <col min="11" max="11" width="11" customWidth="1"/>
    <col min="12" max="13" width="10" customWidth="1"/>
    <col min="14" max="14" width="3" customWidth="1"/>
    <col min="15" max="15" width="26" customWidth="1"/>
    <col min="16" max="20" width="15" customWidth="1"/>
    <col min="21" max="21" width="9" customWidth="1"/>
    <col min="22" max="22" width="13" customWidth="1"/>
    <col min="23" max="23" width="22" customWidth="1"/>
  </cols>
  <sheetData>
    <row r="1" spans="2:21" ht="23.1">
      <c r="B1" s="1" t="s">
        <v>0</v>
      </c>
    </row>
    <row r="2" spans="2:21">
      <c r="B2" s="2" t="str">
        <f ca="1">"오늘 Today "&amp;TEXT(TODAY(),"yyyy-mm-dd")&amp;"  ·  카테고리 시트에서 자동 집계 · auto-counted from the category sheets  ·  데이터 Data: SharePoint API Dev Tracker (19 Oct) + OMH-CRM (18 Oct)"</f>
        <v>오늘 Today 2026-10-30  ·  카테고리 시트에서 자동 집계 · auto-counted from the category sheets  ·  데이터 Data: SharePoint API Dev Tracker (19 Oct) + OMH-CRM (18 Oct)</v>
      </c>
    </row>
    <row r="4" spans="2:21" ht="30" customHeight="1">
      <c r="B4" s="79" t="s">
        <v>1</v>
      </c>
      <c r="C4" s="88"/>
      <c r="D4" s="79" t="s">
        <v>2</v>
      </c>
      <c r="E4" s="88"/>
      <c r="F4" s="79" t="s">
        <v>3</v>
      </c>
      <c r="G4" s="88"/>
      <c r="H4" s="79" t="s">
        <v>4</v>
      </c>
      <c r="I4" s="88"/>
      <c r="J4" s="79" t="s">
        <v>5</v>
      </c>
      <c r="K4" s="88"/>
      <c r="L4" s="79" t="s">
        <v>6</v>
      </c>
      <c r="M4" s="88"/>
      <c r="N4" s="79" t="s">
        <v>7</v>
      </c>
      <c r="O4" s="88"/>
    </row>
    <row r="5" spans="2:21">
      <c r="B5" s="80">
        <f>COUNTA('스위칭 업체 Switch vendors'!$G$5:$G$400)+COUNTA('스위칭 연동 Switching'!$G$5:$G$400)+COUNTA('서드파티 연동 3rd Party'!$G$5:$G$399)+COUNTA('우리가 공급사 OMH Supply'!$G$5:$G$399)+COUNTA('상호연동 Two-way'!$G$5:$G$400)</f>
        <v>142</v>
      </c>
      <c r="C5" s="88"/>
      <c r="D5" s="81">
        <f>COUNTIF('스위칭 업체 Switch vendors'!$B$5:$B$400,"Live")+COUNTIF('스위칭 업체 Switch vendors'!$B$5:$B$400,"Partially Live")+COUNTIF('스위칭 연동 Switching'!$B$5:$B$400,"Live")+COUNTIF('스위칭 연동 Switching'!$B$5:$B$400,"Partially Live")+COUNTIF('서드파티 연동 3rd Party'!$B$5:$B$399,"Live")+COUNTIF('서드파티 연동 3rd Party'!$B$5:$B$399,"Partially Live")+COUNTIF('우리가 공급사 OMH Supply'!$B$5:$B$399,"Live")+COUNTIF('우리가 공급사 OMH Supply'!$B$5:$B$399,"Partially Live")+COUNTIF('상호연동 Two-way'!$B$5:$B$400,"Live")+COUNTIF('상호연동 Two-way'!$B$5:$B$400,"Partially Live")</f>
        <v>35</v>
      </c>
      <c r="E5" s="88"/>
      <c r="F5" s="82">
        <f>COUNTIF('스위칭 업체 Switch vendors'!$B$5:$B$400,"In Development")+COUNTIF('스위칭 업체 Switch vendors'!$B$5:$B$400,"Testing")+COUNTIF('스위칭 업체 Switch vendors'!$B$5:$B$400,"Pending Live")+COUNTIF('스위칭 연동 Switching'!$B$5:$B$400,"In Development")+COUNTIF('스위칭 연동 Switching'!$B$5:$B$400,"Testing")+COUNTIF('스위칭 연동 Switching'!$B$5:$B$400,"Pending Live")+COUNTIF('서드파티 연동 3rd Party'!$B$5:$B$399,"In Development")+COUNTIF('서드파티 연동 3rd Party'!$B$5:$B$399,"Testing")+COUNTIF('서드파티 연동 3rd Party'!$B$5:$B$399,"Pending Live")+COUNTIF('우리가 공급사 OMH Supply'!$B$5:$B$399,"In Development")+COUNTIF('우리가 공급사 OMH Supply'!$B$5:$B$399,"Testing")+COUNTIF('우리가 공급사 OMH Supply'!$B$5:$B$399,"Pending Live")+COUNTIF('상호연동 Two-way'!$B$5:$B$400,"In Development")+COUNTIF('상호연동 Two-way'!$B$5:$B$400,"Testing")+COUNTIF('상호연동 Two-way'!$B$5:$B$400,"Pending Live")</f>
        <v>14</v>
      </c>
      <c r="G5" s="88"/>
      <c r="H5" s="76">
        <f>COUNTIF('스위칭 업체 Switch vendors'!$B$5:$B$400,"NDA/Contract")+COUNTIF('스위칭 연동 Switching'!$B$5:$B$400,"NDA/Contract")+COUNTIF('서드파티 연동 3rd Party'!$B$5:$B$399,"NDA/Contract")+COUNTIF('우리가 공급사 OMH Supply'!$B$5:$B$399,"NDA/Contract")+COUNTIF('상호연동 Two-way'!$B$5:$B$400,"NDA/Contract")</f>
        <v>16</v>
      </c>
      <c r="I5" s="88"/>
      <c r="J5" s="77">
        <f>COUNTIF('스위칭 업체 Switch vendors'!$B$5:$B$400,"Pipeline")+COUNTIF('스위칭 업체 Switch vendors'!$B$5:$B$400,"Contact")+COUNTIF('스위칭 연동 Switching'!$B$5:$B$400,"Pipeline")+COUNTIF('스위칭 연동 Switching'!$B$5:$B$400,"Contact")+COUNTIF('서드파티 연동 3rd Party'!$B$5:$B$399,"Pipeline")+COUNTIF('서드파티 연동 3rd Party'!$B$5:$B$399,"Contact")+COUNTIF('우리가 공급사 OMH Supply'!$B$5:$B$399,"Pipeline")+COUNTIF('우리가 공급사 OMH Supply'!$B$5:$B$399,"Contact")+COUNTIF('상호연동 Two-way'!$B$5:$B$400,"Pipeline")+COUNTIF('상호연동 Two-way'!$B$5:$B$400,"Contact")</f>
        <v>77</v>
      </c>
      <c r="K5" s="88"/>
      <c r="L5" s="74">
        <f ca="1">COUNTIF('스위칭 업체 Switch vendors'!$V$5:$V$400,"Stalled 60d+")+COUNTIF('스위칭 업체 Switch vendors'!$V$5:$V$400,"Stalled 90d+")+COUNTIF('스위칭 연동 Switching'!$S$5:$S$400,"Stalled 60d+")+COUNTIF('스위칭 연동 Switching'!$S$5:$S$400,"Stalled 90d+")+COUNTIF('서드파티 연동 3rd Party'!$S$5:$S$399,"Stalled 60d+")+COUNTIF('서드파티 연동 3rd Party'!$S$5:$S$399,"Stalled 90d+")+COUNTIF('우리가 공급사 OMH Supply'!$S$5:$S$399,"Stalled 60d+")+COUNTIF('우리가 공급사 OMH Supply'!$S$5:$S$399,"Stalled 90d+")+COUNTIF('상호연동 Two-way'!$V$5:$V$400,"Stalled 60d+")+COUNTIF('상호연동 Two-way'!$V$5:$V$400,"Stalled 90d+")</f>
        <v>14</v>
      </c>
      <c r="M5" s="88"/>
      <c r="N5" s="78">
        <f ca="1">COUNTIF('스위칭 업체 Switch vendors'!$AC$5:$AC$400,"Chase Overdue")+COUNTIF('스위칭 업체 Switch vendors'!$AC$5:$AC$400,"Chase Needed")+COUNTIF('스위칭 연동 Switching'!$Z$5:$Z$400,"Chase Overdue")+COUNTIF('스위칭 연동 Switching'!$Z$5:$Z$400,"Chase Needed")+COUNTIF('서드파티 연동 3rd Party'!$Z$5:$Z$399,"Chase Overdue")+COUNTIF('서드파티 연동 3rd Party'!$Z$5:$Z$399,"Chase Needed")+COUNTIF('우리가 공급사 OMH Supply'!$Z$5:$Z$399,"Chase Overdue")+COUNTIF('우리가 공급사 OMH Supply'!$Z$5:$Z$399,"Chase Needed")+COUNTIF('상호연동 Two-way'!$AC$5:$AC$400,"Chase Overdue")+COUNTIF('상호연동 Two-way'!$AC$5:$AC$400,"Chase Needed")</f>
        <v>45</v>
      </c>
      <c r="O5" s="88"/>
    </row>
    <row r="6" spans="2:21"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8" spans="2:21" ht="15.95">
      <c r="B8" s="3" t="s">
        <v>8</v>
      </c>
      <c r="O8" s="3" t="s">
        <v>9</v>
      </c>
    </row>
    <row r="9" spans="2:21" ht="30" customHeight="1"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O9" s="4" t="s">
        <v>21</v>
      </c>
      <c r="P9" s="4" t="s">
        <v>22</v>
      </c>
      <c r="Q9" s="4" t="s">
        <v>23</v>
      </c>
      <c r="R9" s="4" t="s">
        <v>24</v>
      </c>
      <c r="S9" s="4" t="s">
        <v>25</v>
      </c>
      <c r="T9" s="4" t="s">
        <v>26</v>
      </c>
      <c r="U9" s="4" t="s">
        <v>20</v>
      </c>
    </row>
    <row r="10" spans="2:21">
      <c r="B10" s="5" t="s">
        <v>22</v>
      </c>
      <c r="C10" s="6">
        <f>COUNTIF('스위칭 업체 Switch vendors'!$B$5:$B$400,"Live")</f>
        <v>0</v>
      </c>
      <c r="D10" s="6">
        <f>COUNTIF('스위칭 업체 Switch vendors'!$B$5:$B$400,"Partially Live")</f>
        <v>0</v>
      </c>
      <c r="E10" s="6">
        <f>COUNTIF('스위칭 업체 Switch vendors'!$B$5:$B$400,"Pending Live")</f>
        <v>0</v>
      </c>
      <c r="F10" s="6">
        <f>COUNTIF('스위칭 업체 Switch vendors'!$B$5:$B$400,"Testing")</f>
        <v>1</v>
      </c>
      <c r="G10" s="6">
        <f>COUNTIF('스위칭 업체 Switch vendors'!$B$5:$B$400,"In Development")</f>
        <v>1</v>
      </c>
      <c r="H10" s="6">
        <f>COUNTIF('스위칭 업체 Switch vendors'!$B$5:$B$400,"NDA/Contract")</f>
        <v>0</v>
      </c>
      <c r="I10" s="6">
        <f>COUNTIF('스위칭 업체 Switch vendors'!$B$5:$B$400,"Pipeline")</f>
        <v>0</v>
      </c>
      <c r="J10" s="6">
        <f>COUNTIF('스위칭 업체 Switch vendors'!$B$5:$B$400,"Contact")</f>
        <v>6</v>
      </c>
      <c r="K10" s="7">
        <f>COUNTA('스위칭 업체 Switch vendors'!$D$5:$D$400)</f>
        <v>5</v>
      </c>
      <c r="L10" s="8">
        <f>COUNTA('스위칭 업체 Switch vendors'!$G$5:$G$400)</f>
        <v>8</v>
      </c>
      <c r="O10" s="5" t="s">
        <v>27</v>
      </c>
      <c r="P10" s="6">
        <f>COUNTIFS('스위칭 업체 Switch vendors'!$E$5:$E$400,"한국 · Korea",'스위칭 업체 Switch vendors'!$B$5:$B$400,"&lt;&gt;Live",'스위칭 업체 Switch vendors'!$D$5:$D$400,"")</f>
        <v>0</v>
      </c>
      <c r="Q10" s="6">
        <f>COUNTIFS('스위칭 연동 Switching'!$E$5:$E$400,"한국 · Korea",'스위칭 연동 Switching'!$B$5:$B$400,"&lt;&gt;Live",'스위칭 연동 Switching'!$D$5:$D$400,"")</f>
        <v>0</v>
      </c>
      <c r="R10" s="6">
        <f>COUNTIFS('서드파티 연동 3rd Party'!$E$5:$E$399,"한국 · Korea",'서드파티 연동 3rd Party'!$B$5:$B$399,"&lt;&gt;Live",'서드파티 연동 3rd Party'!$D$5:$D$399,"")</f>
        <v>0</v>
      </c>
      <c r="S10" s="6">
        <f>COUNTIFS('우리가 공급사 OMH Supply'!$E$5:$E$399,"한국 · Korea",'우리가 공급사 OMH Supply'!$B$5:$B$399,"&lt;&gt;Live",'우리가 공급사 OMH Supply'!$D$5:$D$399,"")</f>
        <v>8</v>
      </c>
      <c r="T10" s="6">
        <f>COUNTIFS('상호연동 Two-way'!$E$5:$E$400,"한국 · Korea",'상호연동 Two-way'!$B$5:$B$400,"&lt;&gt;Live",'상호연동 Two-way'!$D$5:$D$400,"")</f>
        <v>0</v>
      </c>
      <c r="U10" s="8">
        <f t="shared" ref="U10:U17" si="0">SUM(P10:T10)</f>
        <v>8</v>
      </c>
    </row>
    <row r="11" spans="2:21">
      <c r="B11" s="5" t="s">
        <v>23</v>
      </c>
      <c r="C11" s="6">
        <f>COUNTIF('스위칭 연동 Switching'!$B$5:$B$400,"Live")</f>
        <v>0</v>
      </c>
      <c r="D11" s="6">
        <f>COUNTIF('스위칭 연동 Switching'!$B$5:$B$400,"Partially Live")</f>
        <v>0</v>
      </c>
      <c r="E11" s="6">
        <f>COUNTIF('스위칭 연동 Switching'!$B$5:$B$400,"Pending Live")</f>
        <v>0</v>
      </c>
      <c r="F11" s="6">
        <f>COUNTIF('스위칭 연동 Switching'!$B$5:$B$400,"Testing")</f>
        <v>0</v>
      </c>
      <c r="G11" s="6">
        <f>COUNTIF('스위칭 연동 Switching'!$B$5:$B$400,"In Development")</f>
        <v>0</v>
      </c>
      <c r="H11" s="6">
        <f>COUNTIF('스위칭 연동 Switching'!$B$5:$B$400,"NDA/Contract")</f>
        <v>3</v>
      </c>
      <c r="I11" s="6">
        <f>COUNTIF('스위칭 연동 Switching'!$B$5:$B$400,"Pipeline")</f>
        <v>0</v>
      </c>
      <c r="J11" s="6">
        <f>COUNTIF('스위칭 연동 Switching'!$B$5:$B$400,"Contact")</f>
        <v>13</v>
      </c>
      <c r="K11" s="7">
        <f>COUNTA('스위칭 연동 Switching'!$D$5:$D$400)</f>
        <v>0</v>
      </c>
      <c r="L11" s="8">
        <f>COUNTA('스위칭 연동 Switching'!$G$5:$G$400)</f>
        <v>16</v>
      </c>
      <c r="O11" s="5" t="s">
        <v>28</v>
      </c>
      <c r="P11" s="6">
        <f>COUNTIFS('스위칭 업체 Switch vendors'!$E$5:$E$400,"일본 · Japan",'스위칭 업체 Switch vendors'!$B$5:$B$400,"&lt;&gt;Live",'스위칭 업체 Switch vendors'!$D$5:$D$400,"")</f>
        <v>0</v>
      </c>
      <c r="Q11" s="6">
        <f>COUNTIFS('스위칭 연동 Switching'!$E$5:$E$400,"일본 · Japan",'스위칭 연동 Switching'!$B$5:$B$400,"&lt;&gt;Live",'스위칭 연동 Switching'!$D$5:$D$400,"")</f>
        <v>1</v>
      </c>
      <c r="R11" s="6">
        <f>COUNTIFS('서드파티 연동 3rd Party'!$E$5:$E$399,"일본 · Japan",'서드파티 연동 3rd Party'!$B$5:$B$399,"&lt;&gt;Live",'서드파티 연동 3rd Party'!$D$5:$D$399,"")</f>
        <v>3</v>
      </c>
      <c r="S11" s="6">
        <f>COUNTIFS('우리가 공급사 OMH Supply'!$E$5:$E$399,"일본 · Japan",'우리가 공급사 OMH Supply'!$B$5:$B$399,"&lt;&gt;Live",'우리가 공급사 OMH Supply'!$D$5:$D$399,"")</f>
        <v>2</v>
      </c>
      <c r="T11" s="6">
        <f>COUNTIFS('상호연동 Two-way'!$E$5:$E$400,"일본 · Japan",'상호연동 Two-way'!$B$5:$B$400,"&lt;&gt;Live",'상호연동 Two-way'!$D$5:$D$400,"")</f>
        <v>0</v>
      </c>
      <c r="U11" s="8">
        <f t="shared" si="0"/>
        <v>6</v>
      </c>
    </row>
    <row r="12" spans="2:21">
      <c r="B12" s="5" t="s">
        <v>24</v>
      </c>
      <c r="C12" s="6">
        <f>COUNTIF('서드파티 연동 3rd Party'!$B$5:$B$399,"Live")</f>
        <v>0</v>
      </c>
      <c r="D12" s="6">
        <f>COUNTIF('서드파티 연동 3rd Party'!$B$5:$B$399,"Partially Live")</f>
        <v>0</v>
      </c>
      <c r="E12" s="6">
        <f>COUNTIF('서드파티 연동 3rd Party'!$B$5:$B$399,"Pending Live")</f>
        <v>0</v>
      </c>
      <c r="F12" s="6">
        <f>COUNTIF('서드파티 연동 3rd Party'!$B$5:$B$399,"Testing")</f>
        <v>0</v>
      </c>
      <c r="G12" s="6">
        <f>COUNTIF('서드파티 연동 3rd Party'!$B$5:$B$399,"In Development")</f>
        <v>0</v>
      </c>
      <c r="H12" s="6">
        <f>COUNTIF('서드파티 연동 3rd Party'!$B$5:$B$399,"NDA/Contract")</f>
        <v>0</v>
      </c>
      <c r="I12" s="6">
        <f>COUNTIF('서드파티 연동 3rd Party'!$B$5:$B$399,"Pipeline")</f>
        <v>0</v>
      </c>
      <c r="J12" s="6">
        <f>COUNTIF('서드파티 연동 3rd Party'!$B$5:$B$399,"Contact")</f>
        <v>4</v>
      </c>
      <c r="K12" s="7">
        <f>COUNTA('서드파티 연동 3rd Party'!$D$5:$D$399)</f>
        <v>0</v>
      </c>
      <c r="L12" s="8">
        <f>COUNTA('서드파티 연동 3rd Party'!$G$5:$G$399)</f>
        <v>4</v>
      </c>
      <c r="O12" s="5" t="s">
        <v>29</v>
      </c>
      <c r="P12" s="6">
        <f>COUNTIFS('스위칭 업체 Switch vendors'!$E$5:$E$400,"중화권 · Greater China",'스위칭 업체 Switch vendors'!$B$5:$B$400,"&lt;&gt;Live",'스위칭 업체 Switch vendors'!$D$5:$D$400,"")</f>
        <v>1</v>
      </c>
      <c r="Q12" s="6">
        <f>COUNTIFS('스위칭 연동 Switching'!$E$5:$E$400,"중화권 · Greater China",'스위칭 연동 Switching'!$B$5:$B$400,"&lt;&gt;Live",'스위칭 연동 Switching'!$D$5:$D$400,"")</f>
        <v>1</v>
      </c>
      <c r="R12" s="6">
        <f>COUNTIFS('서드파티 연동 3rd Party'!$E$5:$E$399,"중화권 · Greater China",'서드파티 연동 3rd Party'!$B$5:$B$399,"&lt;&gt;Live",'서드파티 연동 3rd Party'!$D$5:$D$399,"")</f>
        <v>1</v>
      </c>
      <c r="S12" s="6">
        <f>COUNTIFS('우리가 공급사 OMH Supply'!$E$5:$E$399,"중화권 · Greater China",'우리가 공급사 OMH Supply'!$B$5:$B$399,"&lt;&gt;Live",'우리가 공급사 OMH Supply'!$D$5:$D$399,"")</f>
        <v>22</v>
      </c>
      <c r="T12" s="6">
        <f>COUNTIFS('상호연동 Two-way'!$E$5:$E$400,"중화권 · Greater China",'상호연동 Two-way'!$B$5:$B$400,"&lt;&gt;Live",'상호연동 Two-way'!$D$5:$D$400,"")</f>
        <v>1</v>
      </c>
      <c r="U12" s="8">
        <f t="shared" si="0"/>
        <v>26</v>
      </c>
    </row>
    <row r="13" spans="2:21">
      <c r="B13" s="5" t="s">
        <v>25</v>
      </c>
      <c r="C13" s="6">
        <f>COUNTIF('우리가 공급사 OMH Supply'!$B$5:$B$399,"Live")</f>
        <v>31</v>
      </c>
      <c r="D13" s="6">
        <f>COUNTIF('우리가 공급사 OMH Supply'!$B$5:$B$399,"Partially Live")</f>
        <v>0</v>
      </c>
      <c r="E13" s="6">
        <f>COUNTIF('우리가 공급사 OMH Supply'!$B$5:$B$399,"Pending Live")</f>
        <v>1</v>
      </c>
      <c r="F13" s="6">
        <f>COUNTIF('우리가 공급사 OMH Supply'!$B$5:$B$399,"Testing")</f>
        <v>2</v>
      </c>
      <c r="G13" s="6">
        <f>COUNTIF('우리가 공급사 OMH Supply'!$B$5:$B$399,"In Development")</f>
        <v>7</v>
      </c>
      <c r="H13" s="6">
        <f>COUNTIF('우리가 공급사 OMH Supply'!$B$5:$B$399,"NDA/Contract")</f>
        <v>5</v>
      </c>
      <c r="I13" s="6">
        <f>COUNTIF('우리가 공급사 OMH Supply'!$B$5:$B$399,"Pipeline")</f>
        <v>2</v>
      </c>
      <c r="J13" s="6">
        <f>COUNTIF('우리가 공급사 OMH Supply'!$B$5:$B$399,"Contact")</f>
        <v>46</v>
      </c>
      <c r="K13" s="7">
        <f>COUNTA('우리가 공급사 OMH Supply'!$D$5:$D$399)</f>
        <v>1</v>
      </c>
      <c r="L13" s="8">
        <f>COUNTA('우리가 공급사 OMH Supply'!$G$5:$G$399)</f>
        <v>94</v>
      </c>
      <c r="O13" s="5" t="s">
        <v>30</v>
      </c>
      <c r="P13" s="6">
        <f>COUNTIFS('스위칭 업체 Switch vendors'!$E$5:$E$400,"동남아 · SE Asia",'스위칭 업체 Switch vendors'!$B$5:$B$400,"&lt;&gt;Live",'스위칭 업체 Switch vendors'!$D$5:$D$400,"")</f>
        <v>0</v>
      </c>
      <c r="Q13" s="6">
        <f>COUNTIFS('스위칭 연동 Switching'!$E$5:$E$400,"동남아 · SE Asia",'스위칭 연동 Switching'!$B$5:$B$400,"&lt;&gt;Live",'스위칭 연동 Switching'!$D$5:$D$400,"")</f>
        <v>3</v>
      </c>
      <c r="R13" s="6">
        <f>COUNTIFS('서드파티 연동 3rd Party'!$E$5:$E$399,"동남아 · SE Asia",'서드파티 연동 3rd Party'!$B$5:$B$399,"&lt;&gt;Live",'서드파티 연동 3rd Party'!$D$5:$D$399,"")</f>
        <v>0</v>
      </c>
      <c r="S13" s="6">
        <f>COUNTIFS('우리가 공급사 OMH Supply'!$E$5:$E$399,"동남아 · SE Asia",'우리가 공급사 OMH Supply'!$B$5:$B$399,"&lt;&gt;Live",'우리가 공급사 OMH Supply'!$D$5:$D$399,"")</f>
        <v>17</v>
      </c>
      <c r="T13" s="6">
        <f>COUNTIFS('상호연동 Two-way'!$E$5:$E$400,"동남아 · SE Asia",'상호연동 Two-way'!$B$5:$B$400,"&lt;&gt;Live",'상호연동 Two-way'!$D$5:$D$400,"")</f>
        <v>7</v>
      </c>
      <c r="U13" s="8">
        <f t="shared" si="0"/>
        <v>27</v>
      </c>
    </row>
    <row r="14" spans="2:21">
      <c r="B14" s="5" t="s">
        <v>26</v>
      </c>
      <c r="C14" s="6">
        <f>COUNTIF('상호연동 Two-way'!$B$5:$B$400,"Live")</f>
        <v>4</v>
      </c>
      <c r="D14" s="6">
        <f>COUNTIF('상호연동 Two-way'!$B$5:$B$400,"Partially Live")</f>
        <v>0</v>
      </c>
      <c r="E14" s="6">
        <f>COUNTIF('상호연동 Two-way'!$B$5:$B$400,"Pending Live")</f>
        <v>0</v>
      </c>
      <c r="F14" s="6">
        <f>COUNTIF('상호연동 Two-way'!$B$5:$B$400,"Testing")</f>
        <v>0</v>
      </c>
      <c r="G14" s="6">
        <f>COUNTIF('상호연동 Two-way'!$B$5:$B$400,"In Development")</f>
        <v>2</v>
      </c>
      <c r="H14" s="6">
        <f>COUNTIF('상호연동 Two-way'!$B$5:$B$400,"NDA/Contract")</f>
        <v>8</v>
      </c>
      <c r="I14" s="6">
        <f>COUNTIF('상호연동 Two-way'!$B$5:$B$400,"Pipeline")</f>
        <v>0</v>
      </c>
      <c r="J14" s="6">
        <f>COUNTIF('상호연동 Two-way'!$B$5:$B$400,"Contact")</f>
        <v>6</v>
      </c>
      <c r="K14" s="7">
        <f>COUNTA('상호연동 Two-way'!$D$5:$D$400)</f>
        <v>0</v>
      </c>
      <c r="L14" s="8">
        <f>COUNTA('상호연동 Two-way'!$G$5:$G$400)</f>
        <v>20</v>
      </c>
      <c r="O14" s="5" t="s">
        <v>31</v>
      </c>
      <c r="P14" s="6">
        <f>COUNTIFS('스위칭 업체 Switch vendors'!$E$5:$E$400,"인도 · India",'스위칭 업체 Switch vendors'!$B$5:$B$400,"&lt;&gt;Live",'스위칭 업체 Switch vendors'!$D$5:$D$400,"")</f>
        <v>1</v>
      </c>
      <c r="Q14" s="6">
        <f>COUNTIFS('스위칭 연동 Switching'!$E$5:$E$400,"인도 · India",'스위칭 연동 Switching'!$B$5:$B$400,"&lt;&gt;Live",'스위칭 연동 Switching'!$D$5:$D$400,"")</f>
        <v>4</v>
      </c>
      <c r="R14" s="6">
        <f>COUNTIFS('서드파티 연동 3rd Party'!$E$5:$E$399,"인도 · India",'서드파티 연동 3rd Party'!$B$5:$B$399,"&lt;&gt;Live",'서드파티 연동 3rd Party'!$D$5:$D$399,"")</f>
        <v>0</v>
      </c>
      <c r="S14" s="6">
        <f>COUNTIFS('우리가 공급사 OMH Supply'!$E$5:$E$399,"인도 · India",'우리가 공급사 OMH Supply'!$B$5:$B$399,"&lt;&gt;Live",'우리가 공급사 OMH Supply'!$D$5:$D$399,"")</f>
        <v>9</v>
      </c>
      <c r="T14" s="6">
        <f>COUNTIFS('상호연동 Two-way'!$E$5:$E$400,"인도 · India",'상호연동 Two-way'!$B$5:$B$400,"&lt;&gt;Live",'상호연동 Two-way'!$D$5:$D$400,"")</f>
        <v>1</v>
      </c>
      <c r="U14" s="8">
        <f t="shared" si="0"/>
        <v>15</v>
      </c>
    </row>
    <row r="15" spans="2:21">
      <c r="B15" s="9" t="s">
        <v>32</v>
      </c>
      <c r="C15" s="10">
        <f t="shared" ref="C15:L15" si="1">SUM(C10:C14)</f>
        <v>35</v>
      </c>
      <c r="D15" s="10">
        <f t="shared" si="1"/>
        <v>0</v>
      </c>
      <c r="E15" s="10">
        <f t="shared" si="1"/>
        <v>1</v>
      </c>
      <c r="F15" s="10">
        <f t="shared" si="1"/>
        <v>3</v>
      </c>
      <c r="G15" s="10">
        <f t="shared" si="1"/>
        <v>10</v>
      </c>
      <c r="H15" s="10">
        <f t="shared" si="1"/>
        <v>16</v>
      </c>
      <c r="I15" s="10">
        <f t="shared" si="1"/>
        <v>2</v>
      </c>
      <c r="J15" s="10">
        <f t="shared" si="1"/>
        <v>75</v>
      </c>
      <c r="K15" s="10">
        <f t="shared" si="1"/>
        <v>6</v>
      </c>
      <c r="L15" s="10">
        <f t="shared" si="1"/>
        <v>142</v>
      </c>
      <c r="O15" s="5" t="s">
        <v>33</v>
      </c>
      <c r="P15" s="6">
        <f>COUNTIFS('스위칭 업체 Switch vendors'!$E$5:$E$400,"중동·러시아 · ME &amp; Russia",'스위칭 업체 Switch vendors'!$B$5:$B$400,"&lt;&gt;Live",'스위칭 업체 Switch vendors'!$D$5:$D$400,"")</f>
        <v>0</v>
      </c>
      <c r="Q15" s="6">
        <f>COUNTIFS('스위칭 연동 Switching'!$E$5:$E$400,"중동·러시아 · ME &amp; Russia",'스위칭 연동 Switching'!$B$5:$B$400,"&lt;&gt;Live",'스위칭 연동 Switching'!$D$5:$D$400,"")</f>
        <v>2</v>
      </c>
      <c r="R15" s="6">
        <f>COUNTIFS('서드파티 연동 3rd Party'!$E$5:$E$399,"중동·러시아 · ME &amp; Russia",'서드파티 연동 3rd Party'!$B$5:$B$399,"&lt;&gt;Live",'서드파티 연동 3rd Party'!$D$5:$D$399,"")</f>
        <v>0</v>
      </c>
      <c r="S15" s="6">
        <f>COUNTIFS('우리가 공급사 OMH Supply'!$E$5:$E$399,"중동·러시아 · ME &amp; Russia",'우리가 공급사 OMH Supply'!$B$5:$B$399,"&lt;&gt;Live",'우리가 공급사 OMH Supply'!$D$5:$D$399,"")</f>
        <v>3</v>
      </c>
      <c r="T15" s="6">
        <f>COUNTIFS('상호연동 Two-way'!$E$5:$E$400,"중동·러시아 · ME &amp; Russia",'상호연동 Two-way'!$B$5:$B$400,"&lt;&gt;Live",'상호연동 Two-way'!$D$5:$D$400,"")</f>
        <v>4</v>
      </c>
      <c r="U15" s="8">
        <f t="shared" si="0"/>
        <v>9</v>
      </c>
    </row>
    <row r="16" spans="2:21">
      <c r="O16" s="5" t="s">
        <v>34</v>
      </c>
      <c r="P16" s="6">
        <f>COUNTIFS('스위칭 업체 Switch vendors'!$E$5:$E$400,"유럽·미주 · Europe &amp; Americas",'스위칭 업체 Switch vendors'!$B$5:$B$400,"&lt;&gt;Live",'스위칭 업체 Switch vendors'!$D$5:$D$400,"")</f>
        <v>1</v>
      </c>
      <c r="Q16" s="6">
        <f>COUNTIFS('스위칭 연동 Switching'!$E$5:$E$400,"유럽·미주 · Europe &amp; Americas",'스위칭 연동 Switching'!$B$5:$B$400,"&lt;&gt;Live",'스위칭 연동 Switching'!$D$5:$D$400,"")</f>
        <v>5</v>
      </c>
      <c r="R16" s="6">
        <f>COUNTIFS('서드파티 연동 3rd Party'!$E$5:$E$399,"유럽·미주 · Europe &amp; Americas",'서드파티 연동 3rd Party'!$B$5:$B$399,"&lt;&gt;Live",'서드파티 연동 3rd Party'!$D$5:$D$399,"")</f>
        <v>0</v>
      </c>
      <c r="S16" s="6">
        <f>COUNTIFS('우리가 공급사 OMH Supply'!$E$5:$E$399,"유럽·미주 · Europe &amp; Americas",'우리가 공급사 OMH Supply'!$B$5:$B$399,"&lt;&gt;Live",'우리가 공급사 OMH Supply'!$D$5:$D$399,"")</f>
        <v>0</v>
      </c>
      <c r="T16" s="6">
        <f>COUNTIFS('상호연동 Two-way'!$E$5:$E$400,"유럽·미주 · Europe &amp; Americas",'상호연동 Two-way'!$B$5:$B$400,"&lt;&gt;Live",'상호연동 Two-way'!$D$5:$D$400,"")</f>
        <v>3</v>
      </c>
      <c r="U16" s="8">
        <f t="shared" si="0"/>
        <v>9</v>
      </c>
    </row>
    <row r="17" spans="15:23">
      <c r="O17" s="5" t="s">
        <v>35</v>
      </c>
      <c r="P17" s="6">
        <f>COUNTIFS('스위칭 업체 Switch vendors'!$E$5:$E$400,"글로벌 · Global",'스위칭 업체 Switch vendors'!$B$5:$B$400,"&lt;&gt;Live",'스위칭 업체 Switch vendors'!$D$5:$D$400,"")</f>
        <v>0</v>
      </c>
      <c r="Q17" s="6">
        <f>COUNTIFS('스위칭 연동 Switching'!$E$5:$E$400,"글로벌 · Global",'스위칭 연동 Switching'!$B$5:$B$400,"&lt;&gt;Live",'스위칭 연동 Switching'!$D$5:$D$400,"")</f>
        <v>0</v>
      </c>
      <c r="R17" s="6">
        <f>COUNTIFS('서드파티 연동 3rd Party'!$E$5:$E$399,"글로벌 · Global",'서드파티 연동 3rd Party'!$B$5:$B$399,"&lt;&gt;Live",'서드파티 연동 3rd Party'!$D$5:$D$399,"")</f>
        <v>0</v>
      </c>
      <c r="S17" s="6">
        <f>COUNTIFS('우리가 공급사 OMH Supply'!$E$5:$E$399,"글로벌 · Global",'우리가 공급사 OMH Supply'!$B$5:$B$399,"&lt;&gt;Live",'우리가 공급사 OMH Supply'!$D$5:$D$399,"")</f>
        <v>1</v>
      </c>
      <c r="T17" s="6">
        <f>COUNTIFS('상호연동 Two-way'!$E$5:$E$400,"글로벌 · Global",'상호연동 Two-way'!$B$5:$B$400,"&lt;&gt;Live",'상호연동 Two-way'!$D$5:$D$400,"")</f>
        <v>0</v>
      </c>
      <c r="U17" s="8">
        <f t="shared" si="0"/>
        <v>1</v>
      </c>
    </row>
    <row r="18" spans="15:23">
      <c r="O18" s="9" t="s">
        <v>32</v>
      </c>
      <c r="P18" s="10">
        <f t="shared" ref="P18:U18" si="2">SUM(P10:P17)</f>
        <v>3</v>
      </c>
      <c r="Q18" s="10">
        <f t="shared" si="2"/>
        <v>16</v>
      </c>
      <c r="R18" s="10">
        <f t="shared" si="2"/>
        <v>4</v>
      </c>
      <c r="S18" s="10">
        <f t="shared" si="2"/>
        <v>62</v>
      </c>
      <c r="T18" s="10">
        <f t="shared" si="2"/>
        <v>16</v>
      </c>
      <c r="U18" s="10">
        <f t="shared" si="2"/>
        <v>101</v>
      </c>
    </row>
    <row r="20" spans="15:23" ht="15.95">
      <c r="O20" s="3" t="s">
        <v>36</v>
      </c>
    </row>
    <row r="21" spans="15:23" ht="30" customHeight="1">
      <c r="O21" s="4" t="s">
        <v>37</v>
      </c>
      <c r="P21" s="4" t="s">
        <v>22</v>
      </c>
      <c r="Q21" s="4" t="s">
        <v>23</v>
      </c>
      <c r="R21" s="4" t="s">
        <v>24</v>
      </c>
      <c r="S21" s="4" t="s">
        <v>25</v>
      </c>
      <c r="T21" s="4" t="s">
        <v>26</v>
      </c>
      <c r="U21" s="4" t="s">
        <v>20</v>
      </c>
      <c r="V21" s="4" t="s">
        <v>6</v>
      </c>
      <c r="W21" s="4" t="s">
        <v>38</v>
      </c>
    </row>
    <row r="22" spans="15:23">
      <c r="O22" s="5" t="s">
        <v>39</v>
      </c>
      <c r="P22" s="6">
        <f>COUNTIFS('스위칭 업체 Switch vendors'!$P$5:$P$400,$O22,'스위칭 업체 Switch vendors'!$B$5:$B$400,"&lt;&gt;Live",'스위칭 업체 Switch vendors'!$D$5:$D$400,"")</f>
        <v>0</v>
      </c>
      <c r="Q22" s="6">
        <f>COUNTIFS('스위칭 연동 Switching'!$M$5:$M$400,$O22,'스위칭 연동 Switching'!$B$5:$B$400,"&lt;&gt;Live",'스위칭 연동 Switching'!$D$5:$D$400,"")</f>
        <v>1</v>
      </c>
      <c r="R22" s="6">
        <f>COUNTIFS('서드파티 연동 3rd Party'!$M$5:$M$399,$O22,'서드파티 연동 3rd Party'!$B$5:$B$399,"&lt;&gt;Live",'서드파티 연동 3rd Party'!$D$5:$D$399,"")</f>
        <v>0</v>
      </c>
      <c r="S22" s="6">
        <f>COUNTIFS('우리가 공급사 OMH Supply'!$M$5:$M$399,$O22,'우리가 공급사 OMH Supply'!$B$5:$B$399,"&lt;&gt;Live",'우리가 공급사 OMH Supply'!$D$5:$D$399,"")</f>
        <v>22</v>
      </c>
      <c r="T22" s="6">
        <f>COUNTIFS('상호연동 Two-way'!$P$5:$P$400,$O22,'상호연동 Two-way'!$B$5:$B$400,"&lt;&gt;Live",'상호연동 Two-way'!$D$5:$D$400,"")</f>
        <v>1</v>
      </c>
      <c r="U22" s="8">
        <f t="shared" ref="U22:U28" si="3">SUM(P22:T22)</f>
        <v>24</v>
      </c>
      <c r="V22" s="11">
        <f ca="1">COUNTIFS('스위칭 업체 Switch vendors'!$P$5:$P$400,$O22,'스위칭 업체 Switch vendors'!$V$5:$V$400,"Stalled 60d+")+COUNTIFS('스위칭 업체 Switch vendors'!$P$5:$P$400,$O22,'스위칭 업체 Switch vendors'!$V$5:$V$400,"Stalled 90d+")+COUNTIFS('스위칭 연동 Switching'!$M$5:$M$400,$O22,'스위칭 연동 Switching'!$S$5:$S$400,"Stalled 60d+")+COUNTIFS('스위칭 연동 Switching'!$M$5:$M$400,$O22,'스위칭 연동 Switching'!$S$5:$S$400,"Stalled 90d+")+COUNTIFS('서드파티 연동 3rd Party'!$M$5:$M$399,$O22,'서드파티 연동 3rd Party'!$S$5:$S$399,"Stalled 60d+")+COUNTIFS('서드파티 연동 3rd Party'!$M$5:$M$399,$O22,'서드파티 연동 3rd Party'!$S$5:$S$399,"Stalled 90d+")+COUNTIFS('우리가 공급사 OMH Supply'!$M$5:$M$399,$O22,'우리가 공급사 OMH Supply'!$S$5:$S$399,"Stalled 60d+")+COUNTIFS('우리가 공급사 OMH Supply'!$M$5:$M$399,$O22,'우리가 공급사 OMH Supply'!$S$5:$S$399,"Stalled 90d+")+COUNTIFS('상호연동 Two-way'!$P$5:$P$400,$O22,'상호연동 Two-way'!$V$5:$V$400,"Stalled 60d+")+COUNTIFS('상호연동 Two-way'!$P$5:$P$400,$O22,'상호연동 Two-way'!$V$5:$V$400,"Stalled 90d+")</f>
        <v>7</v>
      </c>
      <c r="W22" s="12">
        <f ca="1">COUNTIFS('스위칭 업체 Switch vendors'!$P$5:$P$400,$O22,'스위칭 업체 Switch vendors'!$AC$5:$AC$400,"Chase Overdue")+COUNTIFS('스위칭 업체 Switch vendors'!$P$5:$P$400,$O22,'스위칭 업체 Switch vendors'!$AC$5:$AC$400,"Chase Needed")+COUNTIFS('스위칭 연동 Switching'!$M$5:$M$400,$O22,'스위칭 연동 Switching'!$Z$5:$Z$400,"Chase Overdue")+COUNTIFS('스위칭 연동 Switching'!$M$5:$M$400,$O22,'스위칭 연동 Switching'!$Z$5:$Z$400,"Chase Needed")+COUNTIFS('서드파티 연동 3rd Party'!$M$5:$M$399,$O22,'서드파티 연동 3rd Party'!$Z$5:$Z$399,"Chase Overdue")+COUNTIFS('서드파티 연동 3rd Party'!$M$5:$M$399,$O22,'서드파티 연동 3rd Party'!$Z$5:$Z$399,"Chase Needed")+COUNTIFS('우리가 공급사 OMH Supply'!$M$5:$M$399,$O22,'우리가 공급사 OMH Supply'!$Z$5:$Z$399,"Chase Overdue")+COUNTIFS('우리가 공급사 OMH Supply'!$M$5:$M$399,$O22,'우리가 공급사 OMH Supply'!$Z$5:$Z$399,"Chase Needed")+COUNTIFS('상호연동 Two-way'!$P$5:$P$400,$O22,'상호연동 Two-way'!$AC$5:$AC$400,"Chase Overdue")+COUNTIFS('상호연동 Two-way'!$P$5:$P$400,$O22,'상호연동 Two-way'!$AC$5:$AC$400,"Chase Needed")</f>
        <v>11</v>
      </c>
    </row>
    <row r="23" spans="15:23">
      <c r="O23" s="5" t="s">
        <v>40</v>
      </c>
      <c r="P23" s="6">
        <f>COUNTIFS('스위칭 업체 Switch vendors'!$P$5:$P$400,$O23,'스위칭 업체 Switch vendors'!$B$5:$B$400,"&lt;&gt;Live",'스위칭 업체 Switch vendors'!$D$5:$D$400,"")</f>
        <v>0</v>
      </c>
      <c r="Q23" s="6">
        <f>COUNTIFS('스위칭 연동 Switching'!$M$5:$M$400,$O23,'스위칭 연동 Switching'!$B$5:$B$400,"&lt;&gt;Live",'스위칭 연동 Switching'!$D$5:$D$400,"")</f>
        <v>4</v>
      </c>
      <c r="R23" s="6">
        <f>COUNTIFS('서드파티 연동 3rd Party'!$M$5:$M$399,$O23,'서드파티 연동 3rd Party'!$B$5:$B$399,"&lt;&gt;Live",'서드파티 연동 3rd Party'!$D$5:$D$399,"")</f>
        <v>0</v>
      </c>
      <c r="S23" s="6">
        <f>COUNTIFS('우리가 공급사 OMH Supply'!$M$5:$M$399,$O23,'우리가 공급사 OMH Supply'!$B$5:$B$399,"&lt;&gt;Live",'우리가 공급사 OMH Supply'!$D$5:$D$399,"")</f>
        <v>30</v>
      </c>
      <c r="T23" s="6">
        <f>COUNTIFS('상호연동 Two-way'!$P$5:$P$400,$O23,'상호연동 Two-way'!$B$5:$B$400,"&lt;&gt;Live",'상호연동 Two-way'!$D$5:$D$400,"")</f>
        <v>7</v>
      </c>
      <c r="U23" s="8">
        <f t="shared" si="3"/>
        <v>41</v>
      </c>
      <c r="V23" s="11">
        <f ca="1">COUNTIFS('스위칭 업체 Switch vendors'!$P$5:$P$400,$O23,'스위칭 업체 Switch vendors'!$V$5:$V$400,"Stalled 60d+")+COUNTIFS('스위칭 업체 Switch vendors'!$P$5:$P$400,$O23,'스위칭 업체 Switch vendors'!$V$5:$V$400,"Stalled 90d+")+COUNTIFS('스위칭 연동 Switching'!$M$5:$M$400,$O23,'스위칭 연동 Switching'!$S$5:$S$400,"Stalled 60d+")+COUNTIFS('스위칭 연동 Switching'!$M$5:$M$400,$O23,'스위칭 연동 Switching'!$S$5:$S$400,"Stalled 90d+")+COUNTIFS('서드파티 연동 3rd Party'!$M$5:$M$399,$O23,'서드파티 연동 3rd Party'!$S$5:$S$399,"Stalled 60d+")+COUNTIFS('서드파티 연동 3rd Party'!$M$5:$M$399,$O23,'서드파티 연동 3rd Party'!$S$5:$S$399,"Stalled 90d+")+COUNTIFS('우리가 공급사 OMH Supply'!$M$5:$M$399,$O23,'우리가 공급사 OMH Supply'!$S$5:$S$399,"Stalled 60d+")+COUNTIFS('우리가 공급사 OMH Supply'!$M$5:$M$399,$O23,'우리가 공급사 OMH Supply'!$S$5:$S$399,"Stalled 90d+")+COUNTIFS('상호연동 Two-way'!$P$5:$P$400,$O23,'상호연동 Two-way'!$V$5:$V$400,"Stalled 60d+")+COUNTIFS('상호연동 Two-way'!$P$5:$P$400,$O23,'상호연동 Two-way'!$V$5:$V$400,"Stalled 90d+")</f>
        <v>5</v>
      </c>
      <c r="W23" s="12">
        <f ca="1">COUNTIFS('스위칭 업체 Switch vendors'!$P$5:$P$400,$O23,'스위칭 업체 Switch vendors'!$AC$5:$AC$400,"Chase Overdue")+COUNTIFS('스위칭 업체 Switch vendors'!$P$5:$P$400,$O23,'스위칭 업체 Switch vendors'!$AC$5:$AC$400,"Chase Needed")+COUNTIFS('스위칭 연동 Switching'!$M$5:$M$400,$O23,'스위칭 연동 Switching'!$Z$5:$Z$400,"Chase Overdue")+COUNTIFS('스위칭 연동 Switching'!$M$5:$M$400,$O23,'스위칭 연동 Switching'!$Z$5:$Z$400,"Chase Needed")+COUNTIFS('서드파티 연동 3rd Party'!$M$5:$M$399,$O23,'서드파티 연동 3rd Party'!$Z$5:$Z$399,"Chase Overdue")+COUNTIFS('서드파티 연동 3rd Party'!$M$5:$M$399,$O23,'서드파티 연동 3rd Party'!$Z$5:$Z$399,"Chase Needed")+COUNTIFS('우리가 공급사 OMH Supply'!$M$5:$M$399,$O23,'우리가 공급사 OMH Supply'!$Z$5:$Z$399,"Chase Overdue")+COUNTIFS('우리가 공급사 OMH Supply'!$M$5:$M$399,$O23,'우리가 공급사 OMH Supply'!$Z$5:$Z$399,"Chase Needed")+COUNTIFS('상호연동 Two-way'!$P$5:$P$400,$O23,'상호연동 Two-way'!$AC$5:$AC$400,"Chase Overdue")+COUNTIFS('상호연동 Two-way'!$P$5:$P$400,$O23,'상호연동 Two-way'!$AC$5:$AC$400,"Chase Needed")</f>
        <v>23</v>
      </c>
    </row>
    <row r="24" spans="15:23">
      <c r="O24" s="5" t="s">
        <v>41</v>
      </c>
      <c r="P24" s="6">
        <f>COUNTIFS('스위칭 업체 Switch vendors'!$P$5:$P$400,$O24,'스위칭 업체 Switch vendors'!$B$5:$B$400,"&lt;&gt;Live",'스위칭 업체 Switch vendors'!$D$5:$D$400,"")</f>
        <v>3</v>
      </c>
      <c r="Q24" s="6">
        <f>COUNTIFS('스위칭 연동 Switching'!$M$5:$M$400,$O24,'스위칭 연동 Switching'!$B$5:$B$400,"&lt;&gt;Live",'스위칭 연동 Switching'!$D$5:$D$400,"")</f>
        <v>10</v>
      </c>
      <c r="R24" s="6">
        <f>COUNTIFS('서드파티 연동 3rd Party'!$M$5:$M$399,$O24,'서드파티 연동 3rd Party'!$B$5:$B$399,"&lt;&gt;Live",'서드파티 연동 3rd Party'!$D$5:$D$399,"")</f>
        <v>0</v>
      </c>
      <c r="S24" s="6">
        <f>COUNTIFS('우리가 공급사 OMH Supply'!$M$5:$M$399,$O24,'우리가 공급사 OMH Supply'!$B$5:$B$399,"&lt;&gt;Live",'우리가 공급사 OMH Supply'!$D$5:$D$399,"")</f>
        <v>0</v>
      </c>
      <c r="T24" s="6">
        <f>COUNTIFS('상호연동 Two-way'!$P$5:$P$400,$O24,'상호연동 Two-way'!$B$5:$B$400,"&lt;&gt;Live",'상호연동 Two-way'!$D$5:$D$400,"")</f>
        <v>8</v>
      </c>
      <c r="U24" s="8">
        <f t="shared" si="3"/>
        <v>21</v>
      </c>
      <c r="V24" s="11">
        <f ca="1">COUNTIFS('스위칭 업체 Switch vendors'!$P$5:$P$400,$O24,'스위칭 업체 Switch vendors'!$V$5:$V$400,"Stalled 60d+")+COUNTIFS('스위칭 업체 Switch vendors'!$P$5:$P$400,$O24,'스위칭 업체 Switch vendors'!$V$5:$V$400,"Stalled 90d+")+COUNTIFS('스위칭 연동 Switching'!$M$5:$M$400,$O24,'스위칭 연동 Switching'!$S$5:$S$400,"Stalled 60d+")+COUNTIFS('스위칭 연동 Switching'!$M$5:$M$400,$O24,'스위칭 연동 Switching'!$S$5:$S$400,"Stalled 90d+")+COUNTIFS('서드파티 연동 3rd Party'!$M$5:$M$399,$O24,'서드파티 연동 3rd Party'!$S$5:$S$399,"Stalled 60d+")+COUNTIFS('서드파티 연동 3rd Party'!$M$5:$M$399,$O24,'서드파티 연동 3rd Party'!$S$5:$S$399,"Stalled 90d+")+COUNTIFS('우리가 공급사 OMH Supply'!$M$5:$M$399,$O24,'우리가 공급사 OMH Supply'!$S$5:$S$399,"Stalled 60d+")+COUNTIFS('우리가 공급사 OMH Supply'!$M$5:$M$399,$O24,'우리가 공급사 OMH Supply'!$S$5:$S$399,"Stalled 90d+")+COUNTIFS('상호연동 Two-way'!$P$5:$P$400,$O24,'상호연동 Two-way'!$V$5:$V$400,"Stalled 60d+")+COUNTIFS('상호연동 Two-way'!$P$5:$P$400,$O24,'상호연동 Two-way'!$V$5:$V$400,"Stalled 90d+")</f>
        <v>1</v>
      </c>
      <c r="W24" s="12">
        <f ca="1">COUNTIFS('스위칭 업체 Switch vendors'!$P$5:$P$400,$O24,'스위칭 업체 Switch vendors'!$AC$5:$AC$400,"Chase Overdue")+COUNTIFS('스위칭 업체 Switch vendors'!$P$5:$P$400,$O24,'스위칭 업체 Switch vendors'!$AC$5:$AC$400,"Chase Needed")+COUNTIFS('스위칭 연동 Switching'!$M$5:$M$400,$O24,'스위칭 연동 Switching'!$Z$5:$Z$400,"Chase Overdue")+COUNTIFS('스위칭 연동 Switching'!$M$5:$M$400,$O24,'스위칭 연동 Switching'!$Z$5:$Z$400,"Chase Needed")+COUNTIFS('서드파티 연동 3rd Party'!$M$5:$M$399,$O24,'서드파티 연동 3rd Party'!$Z$5:$Z$399,"Chase Overdue")+COUNTIFS('서드파티 연동 3rd Party'!$M$5:$M$399,$O24,'서드파티 연동 3rd Party'!$Z$5:$Z$399,"Chase Needed")+COUNTIFS('우리가 공급사 OMH Supply'!$M$5:$M$399,$O24,'우리가 공급사 OMH Supply'!$Z$5:$Z$399,"Chase Overdue")+COUNTIFS('우리가 공급사 OMH Supply'!$M$5:$M$399,$O24,'우리가 공급사 OMH Supply'!$Z$5:$Z$399,"Chase Needed")+COUNTIFS('상호연동 Two-way'!$P$5:$P$400,$O24,'상호연동 Two-way'!$AC$5:$AC$400,"Chase Overdue")+COUNTIFS('상호연동 Two-way'!$P$5:$P$400,$O24,'상호연동 Two-way'!$AC$5:$AC$400,"Chase Needed")</f>
        <v>9</v>
      </c>
    </row>
    <row r="25" spans="15:23">
      <c r="O25" s="5" t="s">
        <v>42</v>
      </c>
      <c r="P25" s="6">
        <f>COUNTIFS('스위칭 업체 Switch vendors'!$P$5:$P$400,$O25,'스위칭 업체 Switch vendors'!$B$5:$B$400,"&lt;&gt;Live",'스위칭 업체 Switch vendors'!$D$5:$D$400,"")</f>
        <v>0</v>
      </c>
      <c r="Q25" s="6">
        <f>COUNTIFS('스위칭 연동 Switching'!$M$5:$M$400,$O25,'스위칭 연동 Switching'!$B$5:$B$400,"&lt;&gt;Live",'스위칭 연동 Switching'!$D$5:$D$400,"")</f>
        <v>0</v>
      </c>
      <c r="R25" s="6">
        <f>COUNTIFS('서드파티 연동 3rd Party'!$M$5:$M$399,$O25,'서드파티 연동 3rd Party'!$B$5:$B$399,"&lt;&gt;Live",'서드파티 연동 3rd Party'!$D$5:$D$399,"")</f>
        <v>0</v>
      </c>
      <c r="S25" s="6">
        <f>COUNTIFS('우리가 공급사 OMH Supply'!$M$5:$M$399,$O25,'우리가 공급사 OMH Supply'!$B$5:$B$399,"&lt;&gt;Live",'우리가 공급사 OMH Supply'!$D$5:$D$399,"")</f>
        <v>8</v>
      </c>
      <c r="T25" s="6">
        <f>COUNTIFS('상호연동 Two-way'!$P$5:$P$400,$O25,'상호연동 Two-way'!$B$5:$B$400,"&lt;&gt;Live",'상호연동 Two-way'!$D$5:$D$400,"")</f>
        <v>0</v>
      </c>
      <c r="U25" s="8">
        <f t="shared" si="3"/>
        <v>8</v>
      </c>
      <c r="V25" s="11">
        <f ca="1">COUNTIFS('스위칭 업체 Switch vendors'!$P$5:$P$400,$O25,'스위칭 업체 Switch vendors'!$V$5:$V$400,"Stalled 60d+")+COUNTIFS('스위칭 업체 Switch vendors'!$P$5:$P$400,$O25,'스위칭 업체 Switch vendors'!$V$5:$V$400,"Stalled 90d+")+COUNTIFS('스위칭 연동 Switching'!$M$5:$M$400,$O25,'스위칭 연동 Switching'!$S$5:$S$400,"Stalled 60d+")+COUNTIFS('스위칭 연동 Switching'!$M$5:$M$400,$O25,'스위칭 연동 Switching'!$S$5:$S$400,"Stalled 90d+")+COUNTIFS('서드파티 연동 3rd Party'!$M$5:$M$399,$O25,'서드파티 연동 3rd Party'!$S$5:$S$399,"Stalled 60d+")+COUNTIFS('서드파티 연동 3rd Party'!$M$5:$M$399,$O25,'서드파티 연동 3rd Party'!$S$5:$S$399,"Stalled 90d+")+COUNTIFS('우리가 공급사 OMH Supply'!$M$5:$M$399,$O25,'우리가 공급사 OMH Supply'!$S$5:$S$399,"Stalled 60d+")+COUNTIFS('우리가 공급사 OMH Supply'!$M$5:$M$399,$O25,'우리가 공급사 OMH Supply'!$S$5:$S$399,"Stalled 90d+")+COUNTIFS('상호연동 Two-way'!$P$5:$P$400,$O25,'상호연동 Two-way'!$V$5:$V$400,"Stalled 60d+")+COUNTIFS('상호연동 Two-way'!$P$5:$P$400,$O25,'상호연동 Two-way'!$V$5:$V$400,"Stalled 90d+")</f>
        <v>1</v>
      </c>
      <c r="W25" s="12">
        <f ca="1">COUNTIFS('스위칭 업체 Switch vendors'!$P$5:$P$400,$O25,'스위칭 업체 Switch vendors'!$AC$5:$AC$400,"Chase Overdue")+COUNTIFS('스위칭 업체 Switch vendors'!$P$5:$P$400,$O25,'스위칭 업체 Switch vendors'!$AC$5:$AC$400,"Chase Needed")+COUNTIFS('스위칭 연동 Switching'!$M$5:$M$400,$O25,'스위칭 연동 Switching'!$Z$5:$Z$400,"Chase Overdue")+COUNTIFS('스위칭 연동 Switching'!$M$5:$M$400,$O25,'스위칭 연동 Switching'!$Z$5:$Z$400,"Chase Needed")+COUNTIFS('서드파티 연동 3rd Party'!$M$5:$M$399,$O25,'서드파티 연동 3rd Party'!$Z$5:$Z$399,"Chase Overdue")+COUNTIFS('서드파티 연동 3rd Party'!$M$5:$M$399,$O25,'서드파티 연동 3rd Party'!$Z$5:$Z$399,"Chase Needed")+COUNTIFS('우리가 공급사 OMH Supply'!$M$5:$M$399,$O25,'우리가 공급사 OMH Supply'!$Z$5:$Z$399,"Chase Overdue")+COUNTIFS('우리가 공급사 OMH Supply'!$M$5:$M$399,$O25,'우리가 공급사 OMH Supply'!$Z$5:$Z$399,"Chase Needed")+COUNTIFS('상호연동 Two-way'!$P$5:$P$400,$O25,'상호연동 Two-way'!$AC$5:$AC$400,"Chase Overdue")+COUNTIFS('상호연동 Two-way'!$P$5:$P$400,$O25,'상호연동 Two-way'!$AC$5:$AC$400,"Chase Needed")</f>
        <v>2</v>
      </c>
    </row>
    <row r="26" spans="15:23">
      <c r="O26" s="5" t="s">
        <v>43</v>
      </c>
      <c r="P26" s="6">
        <f>COUNTIFS('스위칭 업체 Switch vendors'!$P$5:$P$400,$O26,'스위칭 업체 Switch vendors'!$B$5:$B$400,"&lt;&gt;Live",'스위칭 업체 Switch vendors'!$D$5:$D$400,"")</f>
        <v>0</v>
      </c>
      <c r="Q26" s="6">
        <f>COUNTIFS('스위칭 연동 Switching'!$M$5:$M$400,$O26,'스위칭 연동 Switching'!$B$5:$B$400,"&lt;&gt;Live",'스위칭 연동 Switching'!$D$5:$D$400,"")</f>
        <v>1</v>
      </c>
      <c r="R26" s="6">
        <f>COUNTIFS('서드파티 연동 3rd Party'!$M$5:$M$399,$O26,'서드파티 연동 3rd Party'!$B$5:$B$399,"&lt;&gt;Live",'서드파티 연동 3rd Party'!$D$5:$D$399,"")</f>
        <v>0</v>
      </c>
      <c r="S26" s="6">
        <f>COUNTIFS('우리가 공급사 OMH Supply'!$M$5:$M$399,$O26,'우리가 공급사 OMH Supply'!$B$5:$B$399,"&lt;&gt;Live",'우리가 공급사 OMH Supply'!$D$5:$D$399,"")</f>
        <v>2</v>
      </c>
      <c r="T26" s="6">
        <f>COUNTIFS('상호연동 Two-way'!$P$5:$P$400,$O26,'상호연동 Two-way'!$B$5:$B$400,"&lt;&gt;Live",'상호연동 Two-way'!$D$5:$D$400,"")</f>
        <v>0</v>
      </c>
      <c r="U26" s="8">
        <f t="shared" si="3"/>
        <v>3</v>
      </c>
      <c r="V26" s="11">
        <f>COUNTIFS('스위칭 업체 Switch vendors'!$P$5:$P$400,$O26,'스위칭 업체 Switch vendors'!$V$5:$V$400,"Stalled 60d+")+COUNTIFS('스위칭 업체 Switch vendors'!$P$5:$P$400,$O26,'스위칭 업체 Switch vendors'!$V$5:$V$400,"Stalled 90d+")+COUNTIFS('스위칭 연동 Switching'!$M$5:$M$400,$O26,'스위칭 연동 Switching'!$S$5:$S$400,"Stalled 60d+")+COUNTIFS('스위칭 연동 Switching'!$M$5:$M$400,$O26,'스위칭 연동 Switching'!$S$5:$S$400,"Stalled 90d+")+COUNTIFS('서드파티 연동 3rd Party'!$M$5:$M$399,$O26,'서드파티 연동 3rd Party'!$S$5:$S$399,"Stalled 60d+")+COUNTIFS('서드파티 연동 3rd Party'!$M$5:$M$399,$O26,'서드파티 연동 3rd Party'!$S$5:$S$399,"Stalled 90d+")+COUNTIFS('우리가 공급사 OMH Supply'!$M$5:$M$399,$O26,'우리가 공급사 OMH Supply'!$S$5:$S$399,"Stalled 60d+")+COUNTIFS('우리가 공급사 OMH Supply'!$M$5:$M$399,$O26,'우리가 공급사 OMH Supply'!$S$5:$S$399,"Stalled 90d+")+COUNTIFS('상호연동 Two-way'!$P$5:$P$400,$O26,'상호연동 Two-way'!$V$5:$V$400,"Stalled 60d+")+COUNTIFS('상호연동 Two-way'!$P$5:$P$400,$O26,'상호연동 Two-way'!$V$5:$V$400,"Stalled 90d+")</f>
        <v>0</v>
      </c>
      <c r="W26" s="12">
        <f ca="1">COUNTIFS('스위칭 업체 Switch vendors'!$P$5:$P$400,$O26,'스위칭 업체 Switch vendors'!$AC$5:$AC$400,"Chase Overdue")+COUNTIFS('스위칭 업체 Switch vendors'!$P$5:$P$400,$O26,'스위칭 업체 Switch vendors'!$AC$5:$AC$400,"Chase Needed")+COUNTIFS('스위칭 연동 Switching'!$M$5:$M$400,$O26,'스위칭 연동 Switching'!$Z$5:$Z$400,"Chase Overdue")+COUNTIFS('스위칭 연동 Switching'!$M$5:$M$400,$O26,'스위칭 연동 Switching'!$Z$5:$Z$400,"Chase Needed")+COUNTIFS('서드파티 연동 3rd Party'!$M$5:$M$399,$O26,'서드파티 연동 3rd Party'!$Z$5:$Z$399,"Chase Overdue")+COUNTIFS('서드파티 연동 3rd Party'!$M$5:$M$399,$O26,'서드파티 연동 3rd Party'!$Z$5:$Z$399,"Chase Needed")+COUNTIFS('우리가 공급사 OMH Supply'!$M$5:$M$399,$O26,'우리가 공급사 OMH Supply'!$Z$5:$Z$399,"Chase Overdue")+COUNTIFS('우리가 공급사 OMH Supply'!$M$5:$M$399,$O26,'우리가 공급사 OMH Supply'!$Z$5:$Z$399,"Chase Needed")+COUNTIFS('상호연동 Two-way'!$P$5:$P$400,$O26,'상호연동 Two-way'!$AC$5:$AC$400,"Chase Overdue")+COUNTIFS('상호연동 Two-way'!$P$5:$P$400,$O26,'상호연동 Two-way'!$AC$5:$AC$400,"Chase Needed")</f>
        <v>0</v>
      </c>
    </row>
    <row r="27" spans="15:23">
      <c r="O27" s="5" t="s">
        <v>44</v>
      </c>
      <c r="P27" s="6">
        <f>COUNTIFS('스위칭 업체 Switch vendors'!$P$5:$P$400,$O27,'스위칭 업체 Switch vendors'!$B$5:$B$400,"&lt;&gt;Live",'스위칭 업체 Switch vendors'!$D$5:$D$400,"")</f>
        <v>0</v>
      </c>
      <c r="Q27" s="6">
        <f>COUNTIFS('스위칭 연동 Switching'!$M$5:$M$400,$O27,'스위칭 연동 Switching'!$B$5:$B$400,"&lt;&gt;Live",'스위칭 연동 Switching'!$D$5:$D$400,"")</f>
        <v>0</v>
      </c>
      <c r="R27" s="6">
        <f>COUNTIFS('서드파티 연동 3rd Party'!$M$5:$M$399,$O27,'서드파티 연동 3rd Party'!$B$5:$B$399,"&lt;&gt;Live",'서드파티 연동 3rd Party'!$D$5:$D$399,"")</f>
        <v>0</v>
      </c>
      <c r="S27" s="6">
        <f>COUNTIFS('우리가 공급사 OMH Supply'!$M$5:$M$399,$O27,'우리가 공급사 OMH Supply'!$B$5:$B$399,"&lt;&gt;Live",'우리가 공급사 OMH Supply'!$D$5:$D$399,"")</f>
        <v>0</v>
      </c>
      <c r="T27" s="6">
        <f>COUNTIFS('상호연동 Two-way'!$P$5:$P$400,$O27,'상호연동 Two-way'!$B$5:$B$400,"&lt;&gt;Live",'상호연동 Two-way'!$D$5:$D$400,"")</f>
        <v>0</v>
      </c>
      <c r="U27" s="8">
        <f t="shared" si="3"/>
        <v>0</v>
      </c>
      <c r="V27" s="11">
        <f>COUNTIFS('스위칭 업체 Switch vendors'!$P$5:$P$400,$O27,'스위칭 업체 Switch vendors'!$V$5:$V$400,"Stalled 60d+")+COUNTIFS('스위칭 업체 Switch vendors'!$P$5:$P$400,$O27,'스위칭 업체 Switch vendors'!$V$5:$V$400,"Stalled 90d+")+COUNTIFS('스위칭 연동 Switching'!$M$5:$M$400,$O27,'스위칭 연동 Switching'!$S$5:$S$400,"Stalled 60d+")+COUNTIFS('스위칭 연동 Switching'!$M$5:$M$400,$O27,'스위칭 연동 Switching'!$S$5:$S$400,"Stalled 90d+")+COUNTIFS('서드파티 연동 3rd Party'!$M$5:$M$399,$O27,'서드파티 연동 3rd Party'!$S$5:$S$399,"Stalled 60d+")+COUNTIFS('서드파티 연동 3rd Party'!$M$5:$M$399,$O27,'서드파티 연동 3rd Party'!$S$5:$S$399,"Stalled 90d+")+COUNTIFS('우리가 공급사 OMH Supply'!$M$5:$M$399,$O27,'우리가 공급사 OMH Supply'!$S$5:$S$399,"Stalled 60d+")+COUNTIFS('우리가 공급사 OMH Supply'!$M$5:$M$399,$O27,'우리가 공급사 OMH Supply'!$S$5:$S$399,"Stalled 90d+")+COUNTIFS('상호연동 Two-way'!$P$5:$P$400,$O27,'상호연동 Two-way'!$V$5:$V$400,"Stalled 60d+")+COUNTIFS('상호연동 Two-way'!$P$5:$P$400,$O27,'상호연동 Two-way'!$V$5:$V$400,"Stalled 90d+")</f>
        <v>0</v>
      </c>
      <c r="W27" s="12">
        <f>COUNTIFS('스위칭 업체 Switch vendors'!$P$5:$P$400,$O27,'스위칭 업체 Switch vendors'!$AC$5:$AC$400,"Chase Overdue")+COUNTIFS('스위칭 업체 Switch vendors'!$P$5:$P$400,$O27,'스위칭 업체 Switch vendors'!$AC$5:$AC$400,"Chase Needed")+COUNTIFS('스위칭 연동 Switching'!$M$5:$M$400,$O27,'스위칭 연동 Switching'!$Z$5:$Z$400,"Chase Overdue")+COUNTIFS('스위칭 연동 Switching'!$M$5:$M$400,$O27,'스위칭 연동 Switching'!$Z$5:$Z$400,"Chase Needed")+COUNTIFS('서드파티 연동 3rd Party'!$M$5:$M$399,$O27,'서드파티 연동 3rd Party'!$Z$5:$Z$399,"Chase Overdue")+COUNTIFS('서드파티 연동 3rd Party'!$M$5:$M$399,$O27,'서드파티 연동 3rd Party'!$Z$5:$Z$399,"Chase Needed")+COUNTIFS('우리가 공급사 OMH Supply'!$M$5:$M$399,$O27,'우리가 공급사 OMH Supply'!$Z$5:$Z$399,"Chase Overdue")+COUNTIFS('우리가 공급사 OMH Supply'!$M$5:$M$399,$O27,'우리가 공급사 OMH Supply'!$Z$5:$Z$399,"Chase Needed")+COUNTIFS('상호연동 Two-way'!$P$5:$P$400,$O27,'상호연동 Two-way'!$AC$5:$AC$400,"Chase Overdue")+COUNTIFS('상호연동 Two-way'!$P$5:$P$400,$O27,'상호연동 Two-way'!$AC$5:$AC$400,"Chase Needed")</f>
        <v>0</v>
      </c>
    </row>
    <row r="28" spans="15:23">
      <c r="O28" s="5" t="s">
        <v>45</v>
      </c>
      <c r="P28" s="6">
        <f>COUNTIFS('스위칭 업체 Switch vendors'!$P$5:$P$400,$O28,'스위칭 업체 Switch vendors'!$B$5:$B$400,"&lt;&gt;Live",'스위칭 업체 Switch vendors'!$D$5:$D$400,"")</f>
        <v>0</v>
      </c>
      <c r="Q28" s="6">
        <f>COUNTIFS('스위칭 연동 Switching'!$M$5:$M$400,$O28,'스위칭 연동 Switching'!$B$5:$B$400,"&lt;&gt;Live",'스위칭 연동 Switching'!$D$5:$D$400,"")</f>
        <v>0</v>
      </c>
      <c r="R28" s="6">
        <f>COUNTIFS('서드파티 연동 3rd Party'!$M$5:$M$399,$O28,'서드파티 연동 3rd Party'!$B$5:$B$399,"&lt;&gt;Live",'서드파티 연동 3rd Party'!$D$5:$D$399,"")</f>
        <v>0</v>
      </c>
      <c r="S28" s="6">
        <f>COUNTIFS('우리가 공급사 OMH Supply'!$M$5:$M$399,$O28,'우리가 공급사 OMH Supply'!$B$5:$B$399,"&lt;&gt;Live",'우리가 공급사 OMH Supply'!$D$5:$D$399,"")</f>
        <v>0</v>
      </c>
      <c r="T28" s="6">
        <f>COUNTIFS('상호연동 Two-way'!$P$5:$P$400,$O28,'상호연동 Two-way'!$B$5:$B$400,"&lt;&gt;Live",'상호연동 Two-way'!$D$5:$D$400,"")</f>
        <v>0</v>
      </c>
      <c r="U28" s="8">
        <f t="shared" si="3"/>
        <v>0</v>
      </c>
      <c r="V28" s="11">
        <f>COUNTIFS('스위칭 업체 Switch vendors'!$P$5:$P$400,$O28,'스위칭 업체 Switch vendors'!$V$5:$V$400,"Stalled 60d+")+COUNTIFS('스위칭 업체 Switch vendors'!$P$5:$P$400,$O28,'스위칭 업체 Switch vendors'!$V$5:$V$400,"Stalled 90d+")+COUNTIFS('스위칭 연동 Switching'!$M$5:$M$400,$O28,'스위칭 연동 Switching'!$S$5:$S$400,"Stalled 60d+")+COUNTIFS('스위칭 연동 Switching'!$M$5:$M$400,$O28,'스위칭 연동 Switching'!$S$5:$S$400,"Stalled 90d+")+COUNTIFS('서드파티 연동 3rd Party'!$M$5:$M$399,$O28,'서드파티 연동 3rd Party'!$S$5:$S$399,"Stalled 60d+")+COUNTIFS('서드파티 연동 3rd Party'!$M$5:$M$399,$O28,'서드파티 연동 3rd Party'!$S$5:$S$399,"Stalled 90d+")+COUNTIFS('우리가 공급사 OMH Supply'!$M$5:$M$399,$O28,'우리가 공급사 OMH Supply'!$S$5:$S$399,"Stalled 60d+")+COUNTIFS('우리가 공급사 OMH Supply'!$M$5:$M$399,$O28,'우리가 공급사 OMH Supply'!$S$5:$S$399,"Stalled 90d+")+COUNTIFS('상호연동 Two-way'!$P$5:$P$400,$O28,'상호연동 Two-way'!$V$5:$V$400,"Stalled 60d+")+COUNTIFS('상호연동 Two-way'!$P$5:$P$400,$O28,'상호연동 Two-way'!$V$5:$V$400,"Stalled 90d+")</f>
        <v>0</v>
      </c>
      <c r="W28" s="12">
        <f ca="1">COUNTIFS('스위칭 업체 Switch vendors'!$P$5:$P$400,$O28,'스위칭 업체 Switch vendors'!$AC$5:$AC$400,"Chase Overdue")+COUNTIFS('스위칭 업체 Switch vendors'!$P$5:$P$400,$O28,'스위칭 업체 Switch vendors'!$AC$5:$AC$400,"Chase Needed")+COUNTIFS('스위칭 연동 Switching'!$M$5:$M$400,$O28,'스위칭 연동 Switching'!$Z$5:$Z$400,"Chase Overdue")+COUNTIFS('스위칭 연동 Switching'!$M$5:$M$400,$O28,'스위칭 연동 Switching'!$Z$5:$Z$400,"Chase Needed")+COUNTIFS('서드파티 연동 3rd Party'!$M$5:$M$399,$O28,'서드파티 연동 3rd Party'!$Z$5:$Z$399,"Chase Overdue")+COUNTIFS('서드파티 연동 3rd Party'!$M$5:$M$399,$O28,'서드파티 연동 3rd Party'!$Z$5:$Z$399,"Chase Needed")+COUNTIFS('우리가 공급사 OMH Supply'!$M$5:$M$399,$O28,'우리가 공급사 OMH Supply'!$Z$5:$Z$399,"Chase Overdue")+COUNTIFS('우리가 공급사 OMH Supply'!$M$5:$M$399,$O28,'우리가 공급사 OMH Supply'!$Z$5:$Z$399,"Chase Needed")+COUNTIFS('상호연동 Two-way'!$P$5:$P$400,$O28,'상호연동 Two-way'!$AC$5:$AC$400,"Chase Overdue")+COUNTIFS('상호연동 Two-way'!$P$5:$P$400,$O28,'상호연동 Two-way'!$AC$5:$AC$400,"Chase Needed")</f>
        <v>0</v>
      </c>
    </row>
    <row r="35" spans="2:13" ht="15.95">
      <c r="B35" s="3" t="s">
        <v>46</v>
      </c>
    </row>
    <row r="36" spans="2:13" ht="30" customHeight="1">
      <c r="B36" s="4" t="s">
        <v>47</v>
      </c>
      <c r="C36" s="4" t="s">
        <v>48</v>
      </c>
      <c r="D36" s="4" t="s">
        <v>49</v>
      </c>
      <c r="E36" s="4" t="s">
        <v>50</v>
      </c>
      <c r="F36" s="4" t="s">
        <v>51</v>
      </c>
      <c r="G36" s="4" t="s">
        <v>52</v>
      </c>
      <c r="H36" s="75" t="s">
        <v>53</v>
      </c>
      <c r="I36" s="89"/>
      <c r="J36" s="89"/>
      <c r="K36" s="89"/>
      <c r="L36" s="89"/>
      <c r="M36" s="90"/>
    </row>
    <row r="37" spans="2:13" ht="20.100000000000001" customHeight="1">
      <c r="B37" s="13" t="s">
        <v>25</v>
      </c>
      <c r="C37" s="13" t="s">
        <v>54</v>
      </c>
      <c r="D37" s="13" t="s">
        <v>29</v>
      </c>
      <c r="E37" s="13" t="s">
        <v>39</v>
      </c>
      <c r="F37" s="14">
        <v>0.2</v>
      </c>
      <c r="G37" s="15">
        <v>406</v>
      </c>
      <c r="H37" s="73"/>
      <c r="I37" s="89"/>
      <c r="J37" s="89"/>
      <c r="K37" s="89"/>
      <c r="L37" s="89"/>
      <c r="M37" s="90"/>
    </row>
    <row r="38" spans="2:13" ht="69.95" customHeight="1">
      <c r="B38" s="13" t="s">
        <v>23</v>
      </c>
      <c r="C38" s="13" t="s">
        <v>55</v>
      </c>
      <c r="D38" s="13" t="s">
        <v>29</v>
      </c>
      <c r="E38" s="13" t="s">
        <v>39</v>
      </c>
      <c r="F38" s="14">
        <v>0.2</v>
      </c>
      <c r="G38" s="15">
        <v>402</v>
      </c>
      <c r="H38" s="73" t="s">
        <v>56</v>
      </c>
      <c r="I38" s="89"/>
      <c r="J38" s="89"/>
      <c r="K38" s="89"/>
      <c r="L38" s="89"/>
      <c r="M38" s="90"/>
    </row>
    <row r="39" spans="2:13" ht="20.100000000000001" customHeight="1">
      <c r="B39" s="13" t="s">
        <v>25</v>
      </c>
      <c r="C39" s="13" t="s">
        <v>57</v>
      </c>
      <c r="D39" s="13" t="s">
        <v>29</v>
      </c>
      <c r="E39" s="13" t="s">
        <v>39</v>
      </c>
      <c r="F39" s="14">
        <v>0.2</v>
      </c>
      <c r="G39" s="15">
        <v>357</v>
      </c>
      <c r="H39" s="73"/>
      <c r="I39" s="89"/>
      <c r="J39" s="89"/>
      <c r="K39" s="89"/>
      <c r="L39" s="89"/>
      <c r="M39" s="90"/>
    </row>
    <row r="40" spans="2:13" ht="20.100000000000001" customHeight="1">
      <c r="B40" s="13" t="s">
        <v>25</v>
      </c>
      <c r="C40" s="13" t="s">
        <v>58</v>
      </c>
      <c r="D40" s="13" t="s">
        <v>29</v>
      </c>
      <c r="E40" s="13" t="s">
        <v>39</v>
      </c>
      <c r="F40" s="14">
        <v>0.5</v>
      </c>
      <c r="G40" s="15">
        <v>321</v>
      </c>
      <c r="H40" s="73"/>
      <c r="I40" s="89"/>
      <c r="J40" s="89"/>
      <c r="K40" s="89"/>
      <c r="L40" s="89"/>
      <c r="M40" s="90"/>
    </row>
    <row r="41" spans="2:13" ht="42" customHeight="1">
      <c r="B41" s="13" t="s">
        <v>26</v>
      </c>
      <c r="C41" s="13" t="s">
        <v>59</v>
      </c>
      <c r="D41" s="13" t="s">
        <v>30</v>
      </c>
      <c r="E41" s="13" t="s">
        <v>41</v>
      </c>
      <c r="F41" s="14">
        <v>0.3</v>
      </c>
      <c r="G41" s="15">
        <v>313</v>
      </c>
      <c r="H41" s="73" t="s">
        <v>60</v>
      </c>
      <c r="I41" s="89"/>
      <c r="J41" s="89"/>
      <c r="K41" s="89"/>
      <c r="L41" s="89"/>
      <c r="M41" s="90"/>
    </row>
    <row r="42" spans="2:13" ht="20.100000000000001" customHeight="1">
      <c r="B42" s="13" t="s">
        <v>25</v>
      </c>
      <c r="C42" s="13" t="s">
        <v>61</v>
      </c>
      <c r="D42" s="13" t="s">
        <v>29</v>
      </c>
      <c r="E42" s="13" t="s">
        <v>39</v>
      </c>
      <c r="F42" s="14">
        <v>0.2</v>
      </c>
      <c r="G42" s="15">
        <v>287</v>
      </c>
      <c r="H42" s="73"/>
      <c r="I42" s="89"/>
      <c r="J42" s="89"/>
      <c r="K42" s="89"/>
      <c r="L42" s="89"/>
      <c r="M42" s="90"/>
    </row>
    <row r="43" spans="2:13" ht="42" customHeight="1">
      <c r="B43" s="13" t="s">
        <v>25</v>
      </c>
      <c r="C43" s="13" t="s">
        <v>62</v>
      </c>
      <c r="D43" s="13" t="s">
        <v>30</v>
      </c>
      <c r="E43" s="13" t="s">
        <v>40</v>
      </c>
      <c r="F43" s="14">
        <v>0.4</v>
      </c>
      <c r="G43" s="15">
        <v>102</v>
      </c>
      <c r="H43" s="73" t="s">
        <v>63</v>
      </c>
      <c r="I43" s="89"/>
      <c r="J43" s="89"/>
      <c r="K43" s="89"/>
      <c r="L43" s="89"/>
      <c r="M43" s="90"/>
    </row>
    <row r="44" spans="2:13" ht="20.100000000000001" customHeight="1">
      <c r="B44" s="13" t="s">
        <v>26</v>
      </c>
      <c r="C44" s="13" t="s">
        <v>64</v>
      </c>
      <c r="D44" s="13" t="s">
        <v>34</v>
      </c>
      <c r="E44" s="13" t="s">
        <v>40</v>
      </c>
      <c r="F44" s="14">
        <v>0.2</v>
      </c>
      <c r="G44" s="15">
        <v>101</v>
      </c>
      <c r="H44" s="73"/>
      <c r="I44" s="89"/>
      <c r="J44" s="89"/>
      <c r="K44" s="89"/>
      <c r="L44" s="89"/>
      <c r="M44" s="90"/>
    </row>
    <row r="45" spans="2:13" ht="27.95" customHeight="1">
      <c r="B45" s="13" t="s">
        <v>26</v>
      </c>
      <c r="C45" s="13" t="s">
        <v>65</v>
      </c>
      <c r="D45" s="13" t="s">
        <v>30</v>
      </c>
      <c r="E45" s="13" t="s">
        <v>40</v>
      </c>
      <c r="F45" s="14">
        <v>0.2</v>
      </c>
      <c r="G45" s="15">
        <v>68</v>
      </c>
      <c r="H45" s="73" t="s">
        <v>66</v>
      </c>
      <c r="I45" s="89"/>
      <c r="J45" s="89"/>
      <c r="K45" s="89"/>
      <c r="L45" s="89"/>
      <c r="M45" s="90"/>
    </row>
    <row r="46" spans="2:13" ht="27.95" customHeight="1">
      <c r="B46" s="13" t="s">
        <v>26</v>
      </c>
      <c r="C46" s="13" t="s">
        <v>65</v>
      </c>
      <c r="D46" s="13" t="s">
        <v>30</v>
      </c>
      <c r="E46" s="13" t="s">
        <v>40</v>
      </c>
      <c r="F46" s="14">
        <v>0.2</v>
      </c>
      <c r="G46" s="15">
        <v>68</v>
      </c>
      <c r="H46" s="73" t="s">
        <v>66</v>
      </c>
      <c r="I46" s="89"/>
      <c r="J46" s="89"/>
      <c r="K46" s="89"/>
      <c r="L46" s="89"/>
      <c r="M46" s="90"/>
    </row>
    <row r="47" spans="2:13" ht="42" customHeight="1">
      <c r="B47" s="13" t="s">
        <v>25</v>
      </c>
      <c r="C47" s="13" t="s">
        <v>67</v>
      </c>
      <c r="D47" s="13" t="s">
        <v>29</v>
      </c>
      <c r="E47" s="13" t="s">
        <v>39</v>
      </c>
      <c r="F47" s="14">
        <v>0.5</v>
      </c>
      <c r="G47" s="15">
        <v>66</v>
      </c>
      <c r="H47" s="73" t="s">
        <v>68</v>
      </c>
      <c r="I47" s="89"/>
      <c r="J47" s="89"/>
      <c r="K47" s="89"/>
      <c r="L47" s="89"/>
      <c r="M47" s="90"/>
    </row>
    <row r="48" spans="2:13" ht="20.100000000000001" customHeight="1">
      <c r="B48" s="13" t="s">
        <v>25</v>
      </c>
      <c r="C48" s="13" t="s">
        <v>69</v>
      </c>
      <c r="D48" s="13" t="s">
        <v>29</v>
      </c>
      <c r="E48" s="13" t="s">
        <v>39</v>
      </c>
      <c r="F48" s="14">
        <v>0.5</v>
      </c>
      <c r="G48" s="15">
        <v>66</v>
      </c>
      <c r="H48" s="73"/>
      <c r="I48" s="89"/>
      <c r="J48" s="89"/>
      <c r="K48" s="89"/>
      <c r="L48" s="89"/>
      <c r="M48" s="90"/>
    </row>
    <row r="49" spans="2:13" ht="42" customHeight="1">
      <c r="B49" s="13" t="s">
        <v>25</v>
      </c>
      <c r="C49" s="13" t="s">
        <v>70</v>
      </c>
      <c r="D49" s="13" t="s">
        <v>33</v>
      </c>
      <c r="E49" s="13" t="s">
        <v>40</v>
      </c>
      <c r="F49" s="14">
        <v>0.5</v>
      </c>
      <c r="G49" s="15">
        <v>61</v>
      </c>
      <c r="H49" s="73" t="s">
        <v>71</v>
      </c>
      <c r="I49" s="89"/>
      <c r="J49" s="89"/>
      <c r="K49" s="89"/>
      <c r="L49" s="89"/>
      <c r="M49" s="90"/>
    </row>
  </sheetData>
  <mergeCells count="28">
    <mergeCell ref="N5:O6"/>
    <mergeCell ref="B4:C4"/>
    <mergeCell ref="N4:O4"/>
    <mergeCell ref="D4:E4"/>
    <mergeCell ref="H38:M38"/>
    <mergeCell ref="B5:C6"/>
    <mergeCell ref="D5:E6"/>
    <mergeCell ref="F4:G4"/>
    <mergeCell ref="F5:G6"/>
    <mergeCell ref="H4:I4"/>
    <mergeCell ref="J4:K4"/>
    <mergeCell ref="L4:M4"/>
    <mergeCell ref="H40:M40"/>
    <mergeCell ref="H39:M39"/>
    <mergeCell ref="L5:M6"/>
    <mergeCell ref="H37:M37"/>
    <mergeCell ref="H49:M49"/>
    <mergeCell ref="H46:M46"/>
    <mergeCell ref="H36:M36"/>
    <mergeCell ref="H45:M45"/>
    <mergeCell ref="H48:M48"/>
    <mergeCell ref="H47:M47"/>
    <mergeCell ref="H5:I6"/>
    <mergeCell ref="J5:K6"/>
    <mergeCell ref="H42:M42"/>
    <mergeCell ref="H43:M43"/>
    <mergeCell ref="H41:M41"/>
    <mergeCell ref="H44:M44"/>
  </mergeCells>
  <phoneticPr fontId="37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AF5B-646B-44F7-9F9D-96F07EF9356F}">
  <dimension ref="A1:AJ58"/>
  <sheetViews>
    <sheetView showGridLines="0" tabSelected="1" workbookViewId="0">
      <pane xSplit="10" ySplit="8" topLeftCell="K9" activePane="bottomRight" state="frozen"/>
      <selection pane="bottomRight" activeCell="F17" sqref="F17"/>
      <selection pane="bottomLeft"/>
      <selection pane="topRight"/>
    </sheetView>
  </sheetViews>
  <sheetFormatPr defaultColWidth="9" defaultRowHeight="14.45"/>
  <cols>
    <col min="1" max="1" width="1.5703125" style="42" customWidth="1"/>
    <col min="2" max="2" width="5.42578125" style="42" customWidth="1"/>
    <col min="3" max="3" width="16.28515625" style="42" customWidth="1"/>
    <col min="4" max="4" width="13.42578125" style="42" customWidth="1"/>
    <col min="5" max="5" width="13.85546875" style="42" customWidth="1"/>
    <col min="6" max="8" width="13" style="42" customWidth="1"/>
    <col min="9" max="9" width="8.7109375" style="42" customWidth="1"/>
    <col min="10" max="10" width="13" style="42" customWidth="1"/>
    <col min="11" max="36" width="6" style="42" customWidth="1"/>
    <col min="37" max="160" width="2.42578125" style="43" customWidth="1"/>
    <col min="161" max="16384" width="9" style="43"/>
  </cols>
  <sheetData>
    <row r="1" spans="2:36" ht="23.1">
      <c r="B1" s="63" t="s">
        <v>72</v>
      </c>
    </row>
    <row r="2" spans="2:36">
      <c r="B2" s="64" t="str">
        <f ca="1">"오늘 Today "&amp;TEXT(TODAY(),"yyyy-mm-dd")&amp;"  ·  주 단위 간트 · 날짜는 해당 주의 아무 날짜나 입력해도 그 주에 표시됩니다 · Weekly view – any date in the week works"</f>
        <v>오늘 Today 2026-10-30  ·  주 단위 간트 · 날짜는 해당 주의 아무 날짜나 입력해도 그 주에 표시됩니다 · Weekly view – any date in the week works</v>
      </c>
    </row>
    <row r="4" spans="2:36" ht="17.25" customHeight="1">
      <c r="B4" s="69" t="s">
        <v>73</v>
      </c>
      <c r="C4" s="69"/>
      <c r="D4"/>
      <c r="E4" s="70">
        <f ca="1">EOMONTH(TODAY(),-2)+1</f>
        <v>46266</v>
      </c>
      <c r="F4" s="44" t="s">
        <v>74</v>
      </c>
      <c r="J4" s="71" t="s">
        <v>75</v>
      </c>
      <c r="K4" s="71"/>
      <c r="L4" s="45"/>
      <c r="M4" s="65" t="s">
        <v>76</v>
      </c>
      <c r="N4" s="46"/>
      <c r="O4" s="47"/>
      <c r="P4" s="65" t="s">
        <v>77</v>
      </c>
      <c r="Q4" s="46"/>
      <c r="R4" s="48"/>
      <c r="S4" s="65" t="s">
        <v>78</v>
      </c>
      <c r="T4" s="46"/>
      <c r="U4" s="49"/>
      <c r="V4" s="65" t="s">
        <v>79</v>
      </c>
      <c r="W4" s="46"/>
      <c r="X4" s="50"/>
      <c r="Y4" s="65" t="s">
        <v>80</v>
      </c>
      <c r="Z4" s="46"/>
    </row>
    <row r="5" spans="2:36" ht="17.25" customHeight="1">
      <c r="B5" s="69"/>
      <c r="C5" s="69"/>
      <c r="D5"/>
      <c r="E5" s="70"/>
      <c r="J5" s="71"/>
      <c r="K5" s="71"/>
      <c r="L5" s="45"/>
      <c r="M5" s="65" t="s">
        <v>81</v>
      </c>
      <c r="O5" s="47"/>
      <c r="P5" s="65" t="s">
        <v>82</v>
      </c>
      <c r="R5" s="48"/>
      <c r="S5" s="65" t="s">
        <v>83</v>
      </c>
      <c r="U5" s="49"/>
      <c r="V5" s="65" t="s">
        <v>84</v>
      </c>
      <c r="X5" s="50"/>
      <c r="Y5" s="65" t="s">
        <v>85</v>
      </c>
    </row>
    <row r="6" spans="2:36" ht="15.75" customHeight="1">
      <c r="B6" s="72" t="s">
        <v>86</v>
      </c>
      <c r="C6" s="72" t="s">
        <v>87</v>
      </c>
      <c r="D6" s="72" t="s">
        <v>88</v>
      </c>
      <c r="E6" s="72" t="s">
        <v>89</v>
      </c>
      <c r="F6" s="72" t="s">
        <v>90</v>
      </c>
      <c r="G6" s="72" t="s">
        <v>91</v>
      </c>
      <c r="H6" s="72" t="s">
        <v>92</v>
      </c>
      <c r="I6" s="72" t="s">
        <v>93</v>
      </c>
      <c r="J6" s="72" t="s">
        <v>94</v>
      </c>
      <c r="K6" s="51" t="str">
        <f ca="1">TEXT(K8,"yyyy-mm")</f>
        <v>2026-08</v>
      </c>
      <c r="L6" s="51" t="str">
        <f ca="1">IF(MONTH(L8)&lt;&gt;MONTH(K8),TEXT(L8,"yyyy-mm"),"")</f>
        <v>2026-09</v>
      </c>
      <c r="M6" s="51" t="str">
        <f t="shared" ref="M6:AJ6" ca="1" si="0">IF(MONTH(M8)&lt;&gt;MONTH(L8),TEXT(M8,"yyyy-mm"),"")</f>
        <v/>
      </c>
      <c r="N6" s="51" t="str">
        <f t="shared" ca="1" si="0"/>
        <v/>
      </c>
      <c r="O6" s="51" t="str">
        <f t="shared" ca="1" si="0"/>
        <v/>
      </c>
      <c r="P6" s="51" t="str">
        <f t="shared" ca="1" si="0"/>
        <v>2026-10</v>
      </c>
      <c r="Q6" s="51" t="str">
        <f t="shared" ca="1" si="0"/>
        <v/>
      </c>
      <c r="R6" s="51" t="str">
        <f t="shared" ca="1" si="0"/>
        <v/>
      </c>
      <c r="S6" s="51" t="str">
        <f t="shared" ca="1" si="0"/>
        <v/>
      </c>
      <c r="T6" s="51" t="str">
        <f t="shared" ca="1" si="0"/>
        <v>2026-11</v>
      </c>
      <c r="U6" s="51" t="str">
        <f t="shared" ca="1" si="0"/>
        <v/>
      </c>
      <c r="V6" s="51" t="str">
        <f t="shared" ca="1" si="0"/>
        <v/>
      </c>
      <c r="W6" s="51" t="str">
        <f t="shared" ca="1" si="0"/>
        <v/>
      </c>
      <c r="X6" s="51" t="str">
        <f t="shared" ca="1" si="0"/>
        <v/>
      </c>
      <c r="Y6" s="51" t="str">
        <f t="shared" ca="1" si="0"/>
        <v>2026-12</v>
      </c>
      <c r="Z6" s="51" t="str">
        <f t="shared" ca="1" si="0"/>
        <v/>
      </c>
      <c r="AA6" s="51" t="str">
        <f t="shared" ca="1" si="0"/>
        <v/>
      </c>
      <c r="AB6" s="51" t="str">
        <f t="shared" ca="1" si="0"/>
        <v/>
      </c>
      <c r="AC6" s="51" t="str">
        <f t="shared" ca="1" si="0"/>
        <v>2027-01</v>
      </c>
      <c r="AD6" s="51" t="str">
        <f t="shared" ca="1" si="0"/>
        <v/>
      </c>
      <c r="AE6" s="51" t="str">
        <f t="shared" ca="1" si="0"/>
        <v/>
      </c>
      <c r="AF6" s="51" t="str">
        <f t="shared" ca="1" si="0"/>
        <v/>
      </c>
      <c r="AG6" s="51" t="str">
        <f t="shared" ca="1" si="0"/>
        <v>2027-02</v>
      </c>
      <c r="AH6" s="51" t="str">
        <f t="shared" ca="1" si="0"/>
        <v/>
      </c>
      <c r="AI6" s="51" t="str">
        <f t="shared" ca="1" si="0"/>
        <v/>
      </c>
      <c r="AJ6" s="51" t="str">
        <f t="shared" ca="1" si="0"/>
        <v/>
      </c>
    </row>
    <row r="7" spans="2:36" ht="15.75" customHeight="1">
      <c r="B7" s="72"/>
      <c r="C7" s="72"/>
      <c r="D7" s="72"/>
      <c r="E7" s="72"/>
      <c r="F7" s="72"/>
      <c r="G7" s="72"/>
      <c r="H7" s="72"/>
      <c r="I7" s="72"/>
      <c r="J7" s="72"/>
      <c r="K7" s="51" t="str">
        <f ca="1">INT((DAY(K8)-1)/7)+1&amp;"주"</f>
        <v>5주</v>
      </c>
      <c r="L7" s="51" t="str">
        <f t="shared" ref="L7:AJ7" ca="1" si="1">INT((DAY(L8)-1)/7)+1&amp;"주"</f>
        <v>1주</v>
      </c>
      <c r="M7" s="51" t="str">
        <f t="shared" ca="1" si="1"/>
        <v>2주</v>
      </c>
      <c r="N7" s="51" t="str">
        <f t="shared" ca="1" si="1"/>
        <v>3주</v>
      </c>
      <c r="O7" s="51" t="str">
        <f t="shared" ca="1" si="1"/>
        <v>4주</v>
      </c>
      <c r="P7" s="51" t="str">
        <f t="shared" ca="1" si="1"/>
        <v>1주</v>
      </c>
      <c r="Q7" s="51" t="str">
        <f t="shared" ca="1" si="1"/>
        <v>2주</v>
      </c>
      <c r="R7" s="51" t="str">
        <f t="shared" ca="1" si="1"/>
        <v>3주</v>
      </c>
      <c r="S7" s="51" t="str">
        <f t="shared" ca="1" si="1"/>
        <v>4주</v>
      </c>
      <c r="T7" s="51" t="str">
        <f t="shared" ca="1" si="1"/>
        <v>1주</v>
      </c>
      <c r="U7" s="51" t="str">
        <f t="shared" ca="1" si="1"/>
        <v>2주</v>
      </c>
      <c r="V7" s="51" t="str">
        <f t="shared" ca="1" si="1"/>
        <v>3주</v>
      </c>
      <c r="W7" s="51" t="str">
        <f t="shared" ca="1" si="1"/>
        <v>4주</v>
      </c>
      <c r="X7" s="51" t="str">
        <f t="shared" ca="1" si="1"/>
        <v>5주</v>
      </c>
      <c r="Y7" s="51" t="str">
        <f t="shared" ca="1" si="1"/>
        <v>1주</v>
      </c>
      <c r="Z7" s="51" t="str">
        <f t="shared" ca="1" si="1"/>
        <v>2주</v>
      </c>
      <c r="AA7" s="51" t="str">
        <f t="shared" ca="1" si="1"/>
        <v>3주</v>
      </c>
      <c r="AB7" s="51" t="str">
        <f t="shared" ca="1" si="1"/>
        <v>4주</v>
      </c>
      <c r="AC7" s="51" t="str">
        <f t="shared" ca="1" si="1"/>
        <v>1주</v>
      </c>
      <c r="AD7" s="51" t="str">
        <f t="shared" ca="1" si="1"/>
        <v>2주</v>
      </c>
      <c r="AE7" s="51" t="str">
        <f t="shared" ca="1" si="1"/>
        <v>3주</v>
      </c>
      <c r="AF7" s="51" t="str">
        <f t="shared" ca="1" si="1"/>
        <v>4주</v>
      </c>
      <c r="AG7" s="51" t="str">
        <f t="shared" ca="1" si="1"/>
        <v>1주</v>
      </c>
      <c r="AH7" s="51" t="str">
        <f t="shared" ca="1" si="1"/>
        <v>2주</v>
      </c>
      <c r="AI7" s="51" t="str">
        <f t="shared" ca="1" si="1"/>
        <v>3주</v>
      </c>
      <c r="AJ7" s="51" t="str">
        <f t="shared" ca="1" si="1"/>
        <v>4주</v>
      </c>
    </row>
    <row r="8" spans="2:36" ht="20.25" customHeight="1">
      <c r="B8" s="72"/>
      <c r="C8" s="72"/>
      <c r="D8" s="72"/>
      <c r="E8" s="72"/>
      <c r="F8" s="72"/>
      <c r="G8" s="72"/>
      <c r="H8" s="72"/>
      <c r="I8" s="72"/>
      <c r="J8" s="72"/>
      <c r="K8" s="52">
        <f ca="1">$E$4-WEEKDAY($E$4,3)</f>
        <v>46265</v>
      </c>
      <c r="L8" s="52">
        <f ca="1">K8+7</f>
        <v>46272</v>
      </c>
      <c r="M8" s="52">
        <f t="shared" ref="M8:AJ8" ca="1" si="2">L8+7</f>
        <v>46279</v>
      </c>
      <c r="N8" s="52">
        <f t="shared" ca="1" si="2"/>
        <v>46286</v>
      </c>
      <c r="O8" s="52">
        <f t="shared" ca="1" si="2"/>
        <v>46293</v>
      </c>
      <c r="P8" s="52">
        <f t="shared" ca="1" si="2"/>
        <v>46300</v>
      </c>
      <c r="Q8" s="52">
        <f t="shared" ca="1" si="2"/>
        <v>46307</v>
      </c>
      <c r="R8" s="52">
        <f t="shared" ca="1" si="2"/>
        <v>46314</v>
      </c>
      <c r="S8" s="52">
        <f t="shared" ca="1" si="2"/>
        <v>46321</v>
      </c>
      <c r="T8" s="52">
        <f t="shared" ca="1" si="2"/>
        <v>46328</v>
      </c>
      <c r="U8" s="52">
        <f t="shared" ca="1" si="2"/>
        <v>46335</v>
      </c>
      <c r="V8" s="52">
        <f t="shared" ca="1" si="2"/>
        <v>46342</v>
      </c>
      <c r="W8" s="52">
        <f t="shared" ca="1" si="2"/>
        <v>46349</v>
      </c>
      <c r="X8" s="52">
        <f t="shared" ca="1" si="2"/>
        <v>46356</v>
      </c>
      <c r="Y8" s="52">
        <f t="shared" ca="1" si="2"/>
        <v>46363</v>
      </c>
      <c r="Z8" s="52">
        <f t="shared" ca="1" si="2"/>
        <v>46370</v>
      </c>
      <c r="AA8" s="52">
        <f t="shared" ca="1" si="2"/>
        <v>46377</v>
      </c>
      <c r="AB8" s="52">
        <f t="shared" ca="1" si="2"/>
        <v>46384</v>
      </c>
      <c r="AC8" s="52">
        <f t="shared" ca="1" si="2"/>
        <v>46391</v>
      </c>
      <c r="AD8" s="52">
        <f t="shared" ca="1" si="2"/>
        <v>46398</v>
      </c>
      <c r="AE8" s="52">
        <f t="shared" ca="1" si="2"/>
        <v>46405</v>
      </c>
      <c r="AF8" s="52">
        <f t="shared" ca="1" si="2"/>
        <v>46412</v>
      </c>
      <c r="AG8" s="52">
        <f t="shared" ca="1" si="2"/>
        <v>46419</v>
      </c>
      <c r="AH8" s="52">
        <f t="shared" ca="1" si="2"/>
        <v>46426</v>
      </c>
      <c r="AI8" s="52">
        <f t="shared" ca="1" si="2"/>
        <v>46433</v>
      </c>
      <c r="AJ8" s="52">
        <f t="shared" ca="1" si="2"/>
        <v>46440</v>
      </c>
    </row>
    <row r="9" spans="2:36" ht="18" customHeight="1">
      <c r="B9" s="53">
        <f>IF(C9="","",ROW()-8)</f>
        <v>1</v>
      </c>
      <c r="C9" s="54" t="s">
        <v>95</v>
      </c>
      <c r="D9" s="66"/>
      <c r="E9" s="54" t="s">
        <v>45</v>
      </c>
      <c r="F9" s="55">
        <v>46322</v>
      </c>
      <c r="G9" s="55">
        <v>46337</v>
      </c>
      <c r="H9" s="55">
        <v>46351</v>
      </c>
      <c r="I9" s="53">
        <f>IF(OR(F9="",G9=""),"",ROUNDUP((G9-F9+1)/7,0))</f>
        <v>3</v>
      </c>
      <c r="J9" s="53" t="str">
        <f ca="1">IF(C9="","",IF(AND(H9&lt;&gt;"",H9&lt;=TODAY()),"라이브 Live",IF(F9="","미정 TBD",IF(TODAY()&lt;F9,"예정 Planned",IF(AND(G9&lt;&gt;"",TODAY()&gt;G9),"지연 Overdue","개발중 In Dev")))))</f>
        <v>개발중 In Dev</v>
      </c>
      <c r="K9" s="56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2:36" ht="18" customHeight="1">
      <c r="B10" s="58">
        <f t="shared" ref="B10:B58" si="3">IF(C10="","",ROW()-8)</f>
        <v>2</v>
      </c>
      <c r="C10" s="59" t="s">
        <v>96</v>
      </c>
      <c r="D10" s="67"/>
      <c r="E10" s="59" t="s">
        <v>97</v>
      </c>
      <c r="F10" s="55">
        <v>46357</v>
      </c>
      <c r="G10" s="55">
        <v>46386</v>
      </c>
      <c r="H10" s="60"/>
      <c r="I10" s="53">
        <f t="shared" ref="I10:I58" si="4">IF(OR(F10="",G10=""),"",ROUNDUP((G10-F10+1)/7,0))</f>
        <v>5</v>
      </c>
      <c r="J10" s="58" t="str">
        <f t="shared" ref="J10:J58" ca="1" si="5">IF(C10="","",IF(AND(H10&lt;&gt;"",H10&lt;=TODAY()),"라이브 Live",IF(F10="","미정 TBD",IF(TODAY()&lt;F10,"예정 Planned",IF(AND(G10&lt;&gt;"",TODAY()&gt;G10),"지연 Overdue","개발중 In Dev")))))</f>
        <v>예정 Planned</v>
      </c>
      <c r="K10" s="61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</row>
    <row r="11" spans="2:36" ht="18" customHeight="1">
      <c r="B11" s="58">
        <v>3</v>
      </c>
      <c r="C11" s="59" t="s">
        <v>98</v>
      </c>
      <c r="D11" s="67"/>
      <c r="E11" s="59" t="s">
        <v>97</v>
      </c>
      <c r="F11" s="60">
        <v>46328</v>
      </c>
      <c r="G11" s="60">
        <v>46356</v>
      </c>
      <c r="H11" s="60"/>
      <c r="I11" s="53">
        <f t="shared" si="4"/>
        <v>5</v>
      </c>
      <c r="J11" s="58" t="str">
        <f t="shared" ca="1" si="5"/>
        <v>예정 Planned</v>
      </c>
      <c r="K11" s="61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</row>
    <row r="12" spans="2:36" ht="18" customHeight="1">
      <c r="B12" s="58">
        <v>4</v>
      </c>
      <c r="C12" s="59" t="s">
        <v>99</v>
      </c>
      <c r="D12" s="67"/>
      <c r="E12" s="59" t="s">
        <v>100</v>
      </c>
      <c r="F12" s="55">
        <v>46371</v>
      </c>
      <c r="G12" s="60">
        <v>46402</v>
      </c>
      <c r="H12" s="60"/>
      <c r="I12" s="53">
        <f t="shared" si="4"/>
        <v>5</v>
      </c>
      <c r="J12" s="58" t="str">
        <f t="shared" ca="1" si="5"/>
        <v>예정 Planned</v>
      </c>
      <c r="K12" s="61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</row>
    <row r="13" spans="2:36" ht="18" customHeight="1">
      <c r="B13" s="58">
        <v>5</v>
      </c>
      <c r="C13" s="59"/>
      <c r="D13" s="67"/>
      <c r="E13" s="59"/>
      <c r="F13" s="60"/>
      <c r="G13" s="60"/>
      <c r="H13" s="60"/>
      <c r="I13" s="53" t="str">
        <f t="shared" si="4"/>
        <v/>
      </c>
      <c r="J13" s="58" t="str">
        <f t="shared" ca="1" si="5"/>
        <v/>
      </c>
      <c r="K13" s="61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</row>
    <row r="14" spans="2:36" ht="18" customHeight="1">
      <c r="B14" s="58">
        <v>6</v>
      </c>
      <c r="C14" s="59"/>
      <c r="D14" s="67"/>
      <c r="E14" s="59"/>
      <c r="F14" s="60"/>
      <c r="G14" s="60"/>
      <c r="H14" s="60"/>
      <c r="I14" s="53" t="str">
        <f t="shared" si="4"/>
        <v/>
      </c>
      <c r="J14" s="58" t="str">
        <f t="shared" ca="1" si="5"/>
        <v/>
      </c>
      <c r="K14" s="61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</row>
    <row r="15" spans="2:36" ht="18" customHeight="1">
      <c r="B15" s="58">
        <v>7</v>
      </c>
      <c r="C15" s="59"/>
      <c r="D15" s="67"/>
      <c r="E15" s="59"/>
      <c r="F15" s="60"/>
      <c r="G15" s="60"/>
      <c r="H15" s="60"/>
      <c r="I15" s="53" t="str">
        <f t="shared" si="4"/>
        <v/>
      </c>
      <c r="J15" s="58" t="str">
        <f t="shared" ca="1" si="5"/>
        <v/>
      </c>
      <c r="K15" s="61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</row>
    <row r="16" spans="2:36" ht="18" customHeight="1">
      <c r="B16" s="58">
        <v>8</v>
      </c>
      <c r="C16" s="59"/>
      <c r="D16" s="67"/>
      <c r="E16" s="59"/>
      <c r="F16" s="60"/>
      <c r="G16" s="60"/>
      <c r="H16" s="60"/>
      <c r="I16" s="53" t="str">
        <f t="shared" si="4"/>
        <v/>
      </c>
      <c r="J16" s="58" t="str">
        <f t="shared" ca="1" si="5"/>
        <v/>
      </c>
      <c r="K16" s="61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</row>
    <row r="17" spans="2:36" ht="18" customHeight="1">
      <c r="B17" s="58">
        <v>9</v>
      </c>
      <c r="C17" s="59"/>
      <c r="D17" s="67"/>
      <c r="E17" s="59"/>
      <c r="F17" s="60"/>
      <c r="G17" s="60"/>
      <c r="H17" s="60"/>
      <c r="I17" s="53" t="str">
        <f t="shared" si="4"/>
        <v/>
      </c>
      <c r="J17" s="58" t="str">
        <f t="shared" ca="1" si="5"/>
        <v/>
      </c>
      <c r="K17" s="61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</row>
    <row r="18" spans="2:36" ht="18" customHeight="1">
      <c r="B18" s="58">
        <v>10</v>
      </c>
      <c r="C18" s="59"/>
      <c r="D18" s="67"/>
      <c r="E18" s="59"/>
      <c r="F18" s="60"/>
      <c r="G18" s="60"/>
      <c r="H18" s="60"/>
      <c r="I18" s="53" t="str">
        <f t="shared" si="4"/>
        <v/>
      </c>
      <c r="J18" s="58" t="str">
        <f t="shared" ca="1" si="5"/>
        <v/>
      </c>
      <c r="K18" s="61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</row>
    <row r="19" spans="2:36" ht="18" customHeight="1">
      <c r="B19" s="58">
        <v>11</v>
      </c>
      <c r="C19" s="59"/>
      <c r="D19" s="67"/>
      <c r="E19" s="59"/>
      <c r="F19" s="60"/>
      <c r="G19" s="60"/>
      <c r="H19" s="60"/>
      <c r="I19" s="53" t="str">
        <f t="shared" si="4"/>
        <v/>
      </c>
      <c r="J19" s="58" t="str">
        <f t="shared" ca="1" si="5"/>
        <v/>
      </c>
      <c r="K19" s="61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</row>
    <row r="20" spans="2:36" ht="18" customHeight="1">
      <c r="B20" s="58" t="str">
        <f t="shared" si="3"/>
        <v/>
      </c>
      <c r="C20" s="59"/>
      <c r="D20" s="67"/>
      <c r="E20" s="59"/>
      <c r="F20" s="60"/>
      <c r="G20" s="60"/>
      <c r="H20" s="60"/>
      <c r="I20" s="53" t="str">
        <f t="shared" si="4"/>
        <v/>
      </c>
      <c r="J20" s="58" t="str">
        <f t="shared" ca="1" si="5"/>
        <v/>
      </c>
      <c r="K20" s="61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</row>
    <row r="21" spans="2:36" ht="18" customHeight="1">
      <c r="B21" s="58" t="str">
        <f t="shared" si="3"/>
        <v/>
      </c>
      <c r="C21" s="59"/>
      <c r="D21" s="67"/>
      <c r="E21" s="59"/>
      <c r="F21" s="60"/>
      <c r="G21" s="60"/>
      <c r="H21" s="60"/>
      <c r="I21" s="53" t="str">
        <f t="shared" si="4"/>
        <v/>
      </c>
      <c r="J21" s="58" t="str">
        <f t="shared" ca="1" si="5"/>
        <v/>
      </c>
      <c r="K21" s="61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</row>
    <row r="22" spans="2:36" ht="18" customHeight="1">
      <c r="B22" s="58" t="str">
        <f t="shared" si="3"/>
        <v/>
      </c>
      <c r="C22" s="59"/>
      <c r="D22" s="67"/>
      <c r="E22" s="59"/>
      <c r="F22" s="60"/>
      <c r="G22" s="60"/>
      <c r="H22" s="60"/>
      <c r="I22" s="53" t="str">
        <f t="shared" si="4"/>
        <v/>
      </c>
      <c r="J22" s="58" t="str">
        <f t="shared" ca="1" si="5"/>
        <v/>
      </c>
      <c r="K22" s="61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</row>
    <row r="23" spans="2:36" ht="18" customHeight="1">
      <c r="B23" s="58" t="str">
        <f t="shared" si="3"/>
        <v/>
      </c>
      <c r="C23" s="59"/>
      <c r="D23" s="67"/>
      <c r="E23" s="59"/>
      <c r="F23" s="60"/>
      <c r="G23" s="60"/>
      <c r="H23" s="60"/>
      <c r="I23" s="53" t="str">
        <f t="shared" si="4"/>
        <v/>
      </c>
      <c r="J23" s="58" t="str">
        <f t="shared" ca="1" si="5"/>
        <v/>
      </c>
      <c r="K23" s="61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</row>
    <row r="24" spans="2:36" ht="18" customHeight="1">
      <c r="B24" s="58" t="str">
        <f t="shared" si="3"/>
        <v/>
      </c>
      <c r="C24" s="59"/>
      <c r="D24" s="67"/>
      <c r="E24" s="59"/>
      <c r="F24" s="60"/>
      <c r="G24" s="60"/>
      <c r="H24" s="60"/>
      <c r="I24" s="53" t="str">
        <f t="shared" si="4"/>
        <v/>
      </c>
      <c r="J24" s="58" t="str">
        <f t="shared" ca="1" si="5"/>
        <v/>
      </c>
      <c r="K24" s="61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</row>
    <row r="25" spans="2:36" ht="18" customHeight="1">
      <c r="B25" s="58" t="str">
        <f t="shared" si="3"/>
        <v/>
      </c>
      <c r="C25" s="59"/>
      <c r="D25" s="67"/>
      <c r="E25" s="59"/>
      <c r="F25" s="60"/>
      <c r="G25" s="60"/>
      <c r="H25" s="60"/>
      <c r="I25" s="53" t="str">
        <f t="shared" si="4"/>
        <v/>
      </c>
      <c r="J25" s="58" t="str">
        <f t="shared" ca="1" si="5"/>
        <v/>
      </c>
      <c r="K25" s="61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</row>
    <row r="26" spans="2:36" ht="18" customHeight="1">
      <c r="B26" s="58" t="str">
        <f t="shared" si="3"/>
        <v/>
      </c>
      <c r="C26" s="59"/>
      <c r="D26" s="67"/>
      <c r="E26" s="59"/>
      <c r="F26" s="60"/>
      <c r="G26" s="60"/>
      <c r="H26" s="60"/>
      <c r="I26" s="53" t="str">
        <f t="shared" si="4"/>
        <v/>
      </c>
      <c r="J26" s="58" t="str">
        <f t="shared" ca="1" si="5"/>
        <v/>
      </c>
      <c r="K26" s="61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</row>
    <row r="27" spans="2:36" ht="18" customHeight="1">
      <c r="B27" s="58" t="str">
        <f t="shared" si="3"/>
        <v/>
      </c>
      <c r="C27" s="59"/>
      <c r="D27" s="67"/>
      <c r="E27" s="59"/>
      <c r="F27" s="60"/>
      <c r="G27" s="60"/>
      <c r="H27" s="60"/>
      <c r="I27" s="53" t="str">
        <f t="shared" si="4"/>
        <v/>
      </c>
      <c r="J27" s="58" t="str">
        <f t="shared" ca="1" si="5"/>
        <v/>
      </c>
      <c r="K27" s="61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</row>
    <row r="28" spans="2:36" ht="18" customHeight="1">
      <c r="B28" s="58" t="str">
        <f t="shared" si="3"/>
        <v/>
      </c>
      <c r="C28" s="59"/>
      <c r="D28" s="67"/>
      <c r="E28" s="59"/>
      <c r="F28" s="60"/>
      <c r="G28" s="60"/>
      <c r="H28" s="60"/>
      <c r="I28" s="53" t="str">
        <f t="shared" si="4"/>
        <v/>
      </c>
      <c r="J28" s="58" t="str">
        <f t="shared" ca="1" si="5"/>
        <v/>
      </c>
      <c r="K28" s="61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</row>
    <row r="29" spans="2:36" ht="18" customHeight="1">
      <c r="B29" s="58" t="str">
        <f t="shared" si="3"/>
        <v/>
      </c>
      <c r="C29" s="59"/>
      <c r="D29" s="67"/>
      <c r="E29" s="59"/>
      <c r="F29" s="60"/>
      <c r="G29" s="60"/>
      <c r="H29" s="60"/>
      <c r="I29" s="53" t="str">
        <f t="shared" si="4"/>
        <v/>
      </c>
      <c r="J29" s="58" t="str">
        <f t="shared" ca="1" si="5"/>
        <v/>
      </c>
      <c r="K29" s="61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</row>
    <row r="30" spans="2:36" ht="18" customHeight="1">
      <c r="B30" s="58" t="str">
        <f t="shared" si="3"/>
        <v/>
      </c>
      <c r="C30" s="59"/>
      <c r="D30" s="67"/>
      <c r="E30" s="59"/>
      <c r="F30" s="60"/>
      <c r="G30" s="60"/>
      <c r="H30" s="60"/>
      <c r="I30" s="53" t="str">
        <f t="shared" si="4"/>
        <v/>
      </c>
      <c r="J30" s="58" t="str">
        <f t="shared" ca="1" si="5"/>
        <v/>
      </c>
      <c r="K30" s="61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</row>
    <row r="31" spans="2:36" ht="18" customHeight="1">
      <c r="B31" s="58" t="str">
        <f t="shared" si="3"/>
        <v/>
      </c>
      <c r="C31" s="59"/>
      <c r="D31" s="67"/>
      <c r="E31" s="59"/>
      <c r="F31" s="60"/>
      <c r="G31" s="60"/>
      <c r="H31" s="60"/>
      <c r="I31" s="53" t="str">
        <f t="shared" si="4"/>
        <v/>
      </c>
      <c r="J31" s="58" t="str">
        <f t="shared" ca="1" si="5"/>
        <v/>
      </c>
      <c r="K31" s="61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</row>
    <row r="32" spans="2:36" ht="18" customHeight="1">
      <c r="B32" s="58" t="str">
        <f t="shared" si="3"/>
        <v/>
      </c>
      <c r="C32" s="59"/>
      <c r="D32" s="67"/>
      <c r="E32" s="59"/>
      <c r="F32" s="60"/>
      <c r="G32" s="60"/>
      <c r="H32" s="60"/>
      <c r="I32" s="53" t="str">
        <f t="shared" si="4"/>
        <v/>
      </c>
      <c r="J32" s="58" t="str">
        <f t="shared" ca="1" si="5"/>
        <v/>
      </c>
      <c r="K32" s="61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</row>
    <row r="33" spans="2:36" ht="18" customHeight="1">
      <c r="B33" s="58" t="str">
        <f t="shared" si="3"/>
        <v/>
      </c>
      <c r="C33" s="59"/>
      <c r="D33" s="67"/>
      <c r="E33" s="59"/>
      <c r="F33" s="60"/>
      <c r="G33" s="60"/>
      <c r="H33" s="60"/>
      <c r="I33" s="53" t="str">
        <f t="shared" si="4"/>
        <v/>
      </c>
      <c r="J33" s="58" t="str">
        <f t="shared" ca="1" si="5"/>
        <v/>
      </c>
      <c r="K33" s="61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</row>
    <row r="34" spans="2:36" ht="18" customHeight="1">
      <c r="B34" s="58" t="str">
        <f t="shared" si="3"/>
        <v/>
      </c>
      <c r="C34" s="59"/>
      <c r="D34" s="67"/>
      <c r="E34" s="59"/>
      <c r="F34" s="60"/>
      <c r="G34" s="60"/>
      <c r="H34" s="60"/>
      <c r="I34" s="53" t="str">
        <f t="shared" si="4"/>
        <v/>
      </c>
      <c r="J34" s="58" t="str">
        <f t="shared" ca="1" si="5"/>
        <v/>
      </c>
      <c r="K34" s="61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</row>
    <row r="35" spans="2:36" ht="18" customHeight="1">
      <c r="B35" s="58" t="str">
        <f t="shared" si="3"/>
        <v/>
      </c>
      <c r="C35" s="59"/>
      <c r="D35" s="67"/>
      <c r="E35" s="59"/>
      <c r="F35" s="60"/>
      <c r="G35" s="60"/>
      <c r="H35" s="60"/>
      <c r="I35" s="53" t="str">
        <f t="shared" si="4"/>
        <v/>
      </c>
      <c r="J35" s="58" t="str">
        <f t="shared" ca="1" si="5"/>
        <v/>
      </c>
      <c r="K35" s="61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</row>
    <row r="36" spans="2:36" ht="18" customHeight="1">
      <c r="B36" s="58" t="str">
        <f t="shared" si="3"/>
        <v/>
      </c>
      <c r="C36" s="59"/>
      <c r="D36" s="67"/>
      <c r="E36" s="59"/>
      <c r="F36" s="60"/>
      <c r="G36" s="60"/>
      <c r="H36" s="60"/>
      <c r="I36" s="53" t="str">
        <f t="shared" si="4"/>
        <v/>
      </c>
      <c r="J36" s="58" t="str">
        <f t="shared" ca="1" si="5"/>
        <v/>
      </c>
      <c r="K36" s="61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</row>
    <row r="37" spans="2:36" ht="18" customHeight="1">
      <c r="B37" s="58" t="str">
        <f t="shared" si="3"/>
        <v/>
      </c>
      <c r="C37" s="59"/>
      <c r="D37" s="67"/>
      <c r="E37" s="59"/>
      <c r="F37" s="60"/>
      <c r="G37" s="60"/>
      <c r="H37" s="60"/>
      <c r="I37" s="53" t="str">
        <f t="shared" si="4"/>
        <v/>
      </c>
      <c r="J37" s="58" t="str">
        <f t="shared" ca="1" si="5"/>
        <v/>
      </c>
      <c r="K37" s="61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</row>
    <row r="38" spans="2:36" ht="18" customHeight="1">
      <c r="B38" s="58" t="str">
        <f t="shared" si="3"/>
        <v/>
      </c>
      <c r="C38" s="59"/>
      <c r="D38" s="67"/>
      <c r="E38" s="59"/>
      <c r="F38" s="60"/>
      <c r="G38" s="60"/>
      <c r="H38" s="60"/>
      <c r="I38" s="53" t="str">
        <f t="shared" si="4"/>
        <v/>
      </c>
      <c r="J38" s="58" t="str">
        <f t="shared" ca="1" si="5"/>
        <v/>
      </c>
      <c r="K38" s="61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</row>
    <row r="39" spans="2:36" ht="18" customHeight="1">
      <c r="B39" s="58" t="str">
        <f t="shared" si="3"/>
        <v/>
      </c>
      <c r="C39" s="59"/>
      <c r="D39" s="67"/>
      <c r="E39" s="59"/>
      <c r="F39" s="60"/>
      <c r="G39" s="60"/>
      <c r="H39" s="60"/>
      <c r="I39" s="53" t="str">
        <f t="shared" si="4"/>
        <v/>
      </c>
      <c r="J39" s="58" t="str">
        <f t="shared" ca="1" si="5"/>
        <v/>
      </c>
      <c r="K39" s="61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</row>
    <row r="40" spans="2:36" ht="18" customHeight="1">
      <c r="B40" s="58" t="str">
        <f t="shared" si="3"/>
        <v/>
      </c>
      <c r="C40" s="59"/>
      <c r="D40" s="67"/>
      <c r="E40" s="59"/>
      <c r="F40" s="60"/>
      <c r="G40" s="60"/>
      <c r="H40" s="60"/>
      <c r="I40" s="53" t="str">
        <f t="shared" si="4"/>
        <v/>
      </c>
      <c r="J40" s="58" t="str">
        <f t="shared" ca="1" si="5"/>
        <v/>
      </c>
      <c r="K40" s="61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</row>
    <row r="41" spans="2:36" ht="18" customHeight="1">
      <c r="B41" s="58" t="str">
        <f t="shared" si="3"/>
        <v/>
      </c>
      <c r="C41" s="59"/>
      <c r="D41" s="67"/>
      <c r="E41" s="59"/>
      <c r="F41" s="60"/>
      <c r="G41" s="60"/>
      <c r="H41" s="60"/>
      <c r="I41" s="53" t="str">
        <f t="shared" si="4"/>
        <v/>
      </c>
      <c r="J41" s="58" t="str">
        <f t="shared" ca="1" si="5"/>
        <v/>
      </c>
      <c r="K41" s="61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</row>
    <row r="42" spans="2:36" ht="18" customHeight="1">
      <c r="B42" s="58" t="str">
        <f t="shared" si="3"/>
        <v/>
      </c>
      <c r="C42" s="59"/>
      <c r="D42" s="67"/>
      <c r="E42" s="59"/>
      <c r="F42" s="60"/>
      <c r="G42" s="60"/>
      <c r="H42" s="60"/>
      <c r="I42" s="53" t="str">
        <f t="shared" si="4"/>
        <v/>
      </c>
      <c r="J42" s="58" t="str">
        <f t="shared" ca="1" si="5"/>
        <v/>
      </c>
      <c r="K42" s="61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 spans="2:36" ht="18" customHeight="1">
      <c r="B43" s="58" t="str">
        <f t="shared" si="3"/>
        <v/>
      </c>
      <c r="C43" s="59"/>
      <c r="D43" s="67"/>
      <c r="E43" s="59"/>
      <c r="F43" s="60"/>
      <c r="G43" s="60"/>
      <c r="H43" s="60"/>
      <c r="I43" s="53" t="str">
        <f t="shared" si="4"/>
        <v/>
      </c>
      <c r="J43" s="58" t="str">
        <f t="shared" ca="1" si="5"/>
        <v/>
      </c>
      <c r="K43" s="61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</row>
    <row r="44" spans="2:36" ht="18" customHeight="1">
      <c r="B44" s="58" t="str">
        <f t="shared" si="3"/>
        <v/>
      </c>
      <c r="C44" s="59"/>
      <c r="D44" s="67"/>
      <c r="E44" s="59"/>
      <c r="F44" s="60"/>
      <c r="G44" s="60"/>
      <c r="H44" s="60"/>
      <c r="I44" s="53" t="str">
        <f t="shared" si="4"/>
        <v/>
      </c>
      <c r="J44" s="58" t="str">
        <f t="shared" ca="1" si="5"/>
        <v/>
      </c>
      <c r="K44" s="61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</row>
    <row r="45" spans="2:36" ht="18" customHeight="1">
      <c r="B45" s="58" t="str">
        <f t="shared" si="3"/>
        <v/>
      </c>
      <c r="C45" s="59"/>
      <c r="D45" s="67"/>
      <c r="E45" s="59"/>
      <c r="F45" s="60"/>
      <c r="G45" s="60"/>
      <c r="H45" s="60"/>
      <c r="I45" s="53" t="str">
        <f t="shared" si="4"/>
        <v/>
      </c>
      <c r="J45" s="58" t="str">
        <f t="shared" ca="1" si="5"/>
        <v/>
      </c>
      <c r="K45" s="61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</row>
    <row r="46" spans="2:36" ht="18" customHeight="1">
      <c r="B46" s="58" t="str">
        <f t="shared" si="3"/>
        <v/>
      </c>
      <c r="C46" s="59"/>
      <c r="D46" s="67"/>
      <c r="E46" s="59"/>
      <c r="F46" s="60"/>
      <c r="G46" s="60"/>
      <c r="H46" s="60"/>
      <c r="I46" s="53" t="str">
        <f t="shared" si="4"/>
        <v/>
      </c>
      <c r="J46" s="58" t="str">
        <f t="shared" ca="1" si="5"/>
        <v/>
      </c>
      <c r="K46" s="61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</row>
    <row r="47" spans="2:36" ht="18" customHeight="1">
      <c r="B47" s="58" t="str">
        <f t="shared" si="3"/>
        <v/>
      </c>
      <c r="C47" s="59"/>
      <c r="D47" s="67"/>
      <c r="E47" s="59"/>
      <c r="F47" s="60"/>
      <c r="G47" s="60"/>
      <c r="H47" s="60"/>
      <c r="I47" s="53" t="str">
        <f t="shared" si="4"/>
        <v/>
      </c>
      <c r="J47" s="58" t="str">
        <f t="shared" ca="1" si="5"/>
        <v/>
      </c>
      <c r="K47" s="61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</row>
    <row r="48" spans="2:36" ht="18" customHeight="1">
      <c r="B48" s="58" t="str">
        <f t="shared" si="3"/>
        <v/>
      </c>
      <c r="C48" s="59"/>
      <c r="D48" s="67"/>
      <c r="E48" s="59"/>
      <c r="F48" s="60"/>
      <c r="G48" s="60"/>
      <c r="H48" s="60"/>
      <c r="I48" s="53" t="str">
        <f t="shared" si="4"/>
        <v/>
      </c>
      <c r="J48" s="58" t="str">
        <f t="shared" ca="1" si="5"/>
        <v/>
      </c>
      <c r="K48" s="61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</row>
    <row r="49" spans="2:36" ht="18" customHeight="1">
      <c r="B49" s="58" t="str">
        <f t="shared" si="3"/>
        <v/>
      </c>
      <c r="C49" s="59"/>
      <c r="D49" s="67"/>
      <c r="E49" s="59"/>
      <c r="F49" s="60"/>
      <c r="G49" s="60"/>
      <c r="H49" s="60"/>
      <c r="I49" s="53" t="str">
        <f t="shared" si="4"/>
        <v/>
      </c>
      <c r="J49" s="58" t="str">
        <f t="shared" ca="1" si="5"/>
        <v/>
      </c>
      <c r="K49" s="61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</row>
    <row r="50" spans="2:36" ht="18" customHeight="1">
      <c r="B50" s="58" t="str">
        <f t="shared" si="3"/>
        <v/>
      </c>
      <c r="C50" s="59"/>
      <c r="D50" s="67"/>
      <c r="E50" s="59"/>
      <c r="F50" s="60"/>
      <c r="G50" s="60"/>
      <c r="H50" s="60"/>
      <c r="I50" s="53" t="str">
        <f t="shared" si="4"/>
        <v/>
      </c>
      <c r="J50" s="58" t="str">
        <f t="shared" ca="1" si="5"/>
        <v/>
      </c>
      <c r="K50" s="61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</row>
    <row r="51" spans="2:36" ht="18" customHeight="1">
      <c r="B51" s="58" t="str">
        <f t="shared" si="3"/>
        <v/>
      </c>
      <c r="C51" s="59"/>
      <c r="D51" s="67"/>
      <c r="E51" s="59"/>
      <c r="F51" s="60"/>
      <c r="G51" s="60"/>
      <c r="H51" s="60"/>
      <c r="I51" s="53" t="str">
        <f t="shared" si="4"/>
        <v/>
      </c>
      <c r="J51" s="58" t="str">
        <f t="shared" ca="1" si="5"/>
        <v/>
      </c>
      <c r="K51" s="61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</row>
    <row r="52" spans="2:36" ht="18" customHeight="1">
      <c r="B52" s="58" t="str">
        <f t="shared" si="3"/>
        <v/>
      </c>
      <c r="C52" s="59"/>
      <c r="D52" s="67"/>
      <c r="E52" s="59"/>
      <c r="F52" s="60"/>
      <c r="G52" s="60"/>
      <c r="H52" s="60"/>
      <c r="I52" s="53" t="str">
        <f t="shared" si="4"/>
        <v/>
      </c>
      <c r="J52" s="58" t="str">
        <f t="shared" ca="1" si="5"/>
        <v/>
      </c>
      <c r="K52" s="61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</row>
    <row r="53" spans="2:36" ht="18" customHeight="1">
      <c r="B53" s="58" t="str">
        <f t="shared" si="3"/>
        <v/>
      </c>
      <c r="C53" s="59"/>
      <c r="D53" s="67"/>
      <c r="E53" s="59"/>
      <c r="F53" s="60"/>
      <c r="G53" s="60"/>
      <c r="H53" s="60"/>
      <c r="I53" s="53" t="str">
        <f t="shared" si="4"/>
        <v/>
      </c>
      <c r="J53" s="58" t="str">
        <f t="shared" ca="1" si="5"/>
        <v/>
      </c>
      <c r="K53" s="61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</row>
    <row r="54" spans="2:36" ht="18" customHeight="1">
      <c r="B54" s="58" t="str">
        <f t="shared" si="3"/>
        <v/>
      </c>
      <c r="C54" s="59"/>
      <c r="D54" s="67"/>
      <c r="E54" s="59"/>
      <c r="F54" s="60"/>
      <c r="G54" s="60"/>
      <c r="H54" s="60"/>
      <c r="I54" s="53" t="str">
        <f t="shared" si="4"/>
        <v/>
      </c>
      <c r="J54" s="58" t="str">
        <f t="shared" ca="1" si="5"/>
        <v/>
      </c>
      <c r="K54" s="61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</row>
    <row r="55" spans="2:36" ht="18" customHeight="1">
      <c r="B55" s="58" t="str">
        <f t="shared" si="3"/>
        <v/>
      </c>
      <c r="C55" s="59"/>
      <c r="D55" s="67"/>
      <c r="E55" s="59"/>
      <c r="F55" s="60"/>
      <c r="G55" s="60"/>
      <c r="H55" s="60"/>
      <c r="I55" s="53" t="str">
        <f t="shared" si="4"/>
        <v/>
      </c>
      <c r="J55" s="58" t="str">
        <f t="shared" ca="1" si="5"/>
        <v/>
      </c>
      <c r="K55" s="61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</row>
    <row r="56" spans="2:36" ht="18" customHeight="1">
      <c r="B56" s="58" t="str">
        <f t="shared" si="3"/>
        <v/>
      </c>
      <c r="C56" s="59"/>
      <c r="D56" s="67"/>
      <c r="E56" s="59"/>
      <c r="F56" s="60"/>
      <c r="G56" s="60"/>
      <c r="H56" s="60"/>
      <c r="I56" s="53" t="str">
        <f t="shared" si="4"/>
        <v/>
      </c>
      <c r="J56" s="58" t="str">
        <f t="shared" ca="1" si="5"/>
        <v/>
      </c>
      <c r="K56" s="61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</row>
    <row r="57" spans="2:36" ht="18" customHeight="1">
      <c r="B57" s="58" t="str">
        <f t="shared" si="3"/>
        <v/>
      </c>
      <c r="C57" s="59"/>
      <c r="D57" s="67"/>
      <c r="E57" s="59"/>
      <c r="F57" s="60"/>
      <c r="G57" s="60"/>
      <c r="H57" s="60"/>
      <c r="I57" s="53" t="str">
        <f t="shared" si="4"/>
        <v/>
      </c>
      <c r="J57" s="58" t="str">
        <f t="shared" ca="1" si="5"/>
        <v/>
      </c>
      <c r="K57" s="61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</row>
    <row r="58" spans="2:36" ht="18" customHeight="1">
      <c r="B58" s="58" t="str">
        <f t="shared" si="3"/>
        <v/>
      </c>
      <c r="C58" s="59"/>
      <c r="D58" s="67"/>
      <c r="E58" s="59"/>
      <c r="F58" s="60"/>
      <c r="G58" s="60"/>
      <c r="H58" s="60"/>
      <c r="I58" s="53" t="str">
        <f t="shared" si="4"/>
        <v/>
      </c>
      <c r="J58" s="58" t="str">
        <f t="shared" ca="1" si="5"/>
        <v/>
      </c>
      <c r="K58" s="61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</row>
  </sheetData>
  <mergeCells count="12">
    <mergeCell ref="B4:C5"/>
    <mergeCell ref="E4:E5"/>
    <mergeCell ref="J4:K5"/>
    <mergeCell ref="H6:H8"/>
    <mergeCell ref="I6:I8"/>
    <mergeCell ref="J6:J8"/>
    <mergeCell ref="B6:B8"/>
    <mergeCell ref="C6:C8"/>
    <mergeCell ref="E6:E8"/>
    <mergeCell ref="F6:F8"/>
    <mergeCell ref="G6:G8"/>
    <mergeCell ref="D6:D8"/>
  </mergeCells>
  <conditionalFormatting sqref="G9 G12:G58">
    <cfRule type="expression" dxfId="101" priority="17">
      <formula>AND(F9&lt;&gt;"",G9&lt;&gt;"",G9&lt;F9)</formula>
    </cfRule>
  </conditionalFormatting>
  <conditionalFormatting sqref="J9:J58">
    <cfRule type="containsText" dxfId="100" priority="14" operator="containsText" text="라이브 Live">
      <formula>NOT(ISERROR(SEARCH("라이브 Live",J9)))</formula>
    </cfRule>
    <cfRule type="containsText" dxfId="99" priority="15" operator="containsText" text="지연 Overdue">
      <formula>NOT(ISERROR(SEARCH("지연 Overdue",J9)))</formula>
    </cfRule>
    <cfRule type="containsText" dxfId="98" priority="16" operator="containsText" text="개발중 In Dev">
      <formula>NOT(ISERROR(SEARCH("개발중 In Dev",J9)))</formula>
    </cfRule>
  </conditionalFormatting>
  <conditionalFormatting sqref="K7:AJ8">
    <cfRule type="expression" dxfId="97" priority="27">
      <formula>AND(TODAY()&gt;=K$8,TODAY()&lt;=K$8+6)</formula>
    </cfRule>
  </conditionalFormatting>
  <conditionalFormatting sqref="K9:AJ58">
    <cfRule type="expression" dxfId="96" priority="19" stopIfTrue="1">
      <formula>AND($H9&lt;&gt;"",$H9&gt;=K$8,$H9&lt;=K$8+6)</formula>
    </cfRule>
    <cfRule type="expression" dxfId="95" priority="21" stopIfTrue="1">
      <formula>AND($J9="지연 Overdue",$G9&lt;&gt;"",K$8+6&gt;$G9,K$8&lt;=TODAY())</formula>
    </cfRule>
    <cfRule type="expression" dxfId="94" priority="23" stopIfTrue="1">
      <formula>AND($F9&lt;&gt;"",OR($J9="예정 Planned",$J9="라이브 Live"),$F9&lt;=K$8+6,IF($G9="",TODAY(),$G9)&gt;=K$8)</formula>
    </cfRule>
    <cfRule type="expression" dxfId="93" priority="25" stopIfTrue="1">
      <formula>AND($F9&lt;&gt;"",$F9&lt;=K$8+6,IF($G9="",TODAY(),$G9)&gt;=K$8)</formula>
    </cfRule>
    <cfRule type="expression" dxfId="92" priority="26">
      <formula>AND(TODAY()&gt;=K$8,TODAY()&lt;=K$8+6)</formula>
    </cfRule>
  </conditionalFormatting>
  <dataValidations count="1">
    <dataValidation type="date" operator="greaterThan" allowBlank="1" showInputMessage="1" showErrorMessage="1" errorTitle="날짜 Date" error="날짜를 입력하세요 (예: 2026-11-15) · Enter a date" sqref="F9:H58" xr:uid="{E6782142-0F89-4BCA-87FB-2F6E981B8885}">
      <formula1>43831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2"/>
  <sheetViews>
    <sheetView zoomScale="90" workbookViewId="0">
      <pane xSplit="7" ySplit="4" topLeftCell="H5" activePane="bottomRight" state="frozen"/>
      <selection pane="bottomRight" activeCell="G9" sqref="G9"/>
      <selection pane="bottomLeft"/>
      <selection pane="topRight"/>
    </sheetView>
  </sheetViews>
  <sheetFormatPr defaultRowHeight="14.45"/>
  <cols>
    <col min="1" max="1" width="5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26" customWidth="1"/>
    <col min="8" max="8" width="18" customWidth="1"/>
    <col min="9" max="10" width="24" customWidth="1"/>
    <col min="11" max="11" width="11" customWidth="1"/>
    <col min="12" max="12" width="20" customWidth="1"/>
    <col min="13" max="13" width="15" customWidth="1"/>
    <col min="14" max="14" width="9" customWidth="1"/>
    <col min="15" max="15" width="18" customWidth="1"/>
    <col min="16" max="16" width="20" customWidth="1"/>
    <col min="17" max="17" width="14" customWidth="1"/>
    <col min="18" max="18" width="9" customWidth="1"/>
    <col min="19" max="19" width="10" customWidth="1"/>
    <col min="20" max="20" width="12" customWidth="1"/>
    <col min="21" max="21" width="9" customWidth="1"/>
    <col min="22" max="22" width="13" customWidth="1"/>
    <col min="23" max="23" width="22" customWidth="1"/>
    <col min="24" max="24" width="10" customWidth="1"/>
    <col min="25" max="25" width="8" customWidth="1"/>
    <col min="26" max="26" width="12" customWidth="1"/>
    <col min="27" max="27" width="10" customWidth="1"/>
    <col min="28" max="28" width="12" customWidth="1"/>
    <col min="29" max="29" width="14" customWidth="1"/>
    <col min="30" max="30" width="12" customWidth="1"/>
    <col min="31" max="31" width="16" customWidth="1"/>
    <col min="32" max="33" width="50" customWidth="1"/>
    <col min="34" max="34" width="40" customWidth="1"/>
    <col min="35" max="35" width="12" customWidth="1"/>
    <col min="36" max="36" width="30" customWidth="1"/>
    <col min="37" max="43" width="14" customWidth="1"/>
    <col min="44" max="44" width="19" customWidth="1"/>
    <col min="45" max="49" width="14" customWidth="1"/>
    <col min="50" max="50" width="19" customWidth="1"/>
  </cols>
  <sheetData>
    <row r="1" spans="1:50" ht="33.950000000000003" customHeight="1">
      <c r="A1" s="17" t="s">
        <v>22</v>
      </c>
      <c r="E1" s="87" t="s">
        <v>101</v>
      </c>
      <c r="F1" s="91"/>
      <c r="G1" s="91"/>
      <c r="H1" s="91"/>
      <c r="I1" s="91"/>
      <c r="J1" s="91"/>
      <c r="K1" s="91"/>
      <c r="L1" s="91"/>
      <c r="M1" s="91"/>
      <c r="N1" s="91"/>
    </row>
    <row r="2" spans="1:50">
      <c r="A2" s="18" t="str">
        <f ca="1">"전체 Total "&amp;COUNTA($G$5:$G$400)&amp;"  ·  라이브 Live "&amp;(COUNTIF($B$5:$B$400,"Live")+COUNTIF($B$5:$B$400,"Partially Live"))&amp;"  ·  개발·테스트 Dev/Test "&amp;(COUNTIF($B$5:$B$400,"In Development")+COUNTIF($B$5:$B$400,"Testing")+COUNTIF($B$5:$B$400,"Pending Live"))&amp;"  ·  계약·NDA "&amp;COUNTIF($B$5:$B$400,"NDA/Contract")&amp;"  ·  파이프라인 Pipeline "&amp;(COUNTIF($B$5:$B$400,"Pipeline")+COUNTIF($B$5:$B$400,"Contact"))&amp;"  ·  60일+ 정체 Stalled 60d+ "&amp;(COUNTIF($V$5:$V$400,"Stalled 60d+")+COUNTIF($V$5:$V$400,"Stalled 90d+"))</f>
        <v>전체 Total 8  ·  라이브 Live 0  ·  개발·테스트 Dev/Test 2  ·  계약·NDA 0  ·  파이프라인 Pipeline 6  ·  60일+ 정체 Stalled 60d+ 0</v>
      </c>
      <c r="AJ2" s="19" t="s">
        <v>102</v>
      </c>
      <c r="AK2" s="20">
        <v>0.05</v>
      </c>
      <c r="AL2" s="20">
        <v>0.1</v>
      </c>
      <c r="AM2" s="20">
        <v>0.15</v>
      </c>
      <c r="AN2" s="20">
        <v>0.2</v>
      </c>
      <c r="AO2" s="20">
        <v>0.3</v>
      </c>
      <c r="AP2" s="20">
        <v>0.4</v>
      </c>
      <c r="AQ2" s="20">
        <v>0.45</v>
      </c>
      <c r="AR2" s="20">
        <v>0.5</v>
      </c>
      <c r="AS2" s="20">
        <v>0.6</v>
      </c>
      <c r="AT2" s="20">
        <v>0.7</v>
      </c>
      <c r="AU2" s="20">
        <v>0.75</v>
      </c>
      <c r="AV2" s="20">
        <v>0.8</v>
      </c>
      <c r="AW2" s="20">
        <v>0.9</v>
      </c>
      <c r="AX2" s="20">
        <v>1</v>
      </c>
    </row>
    <row r="3" spans="1:50" ht="21.95" customHeight="1">
      <c r="A3" s="84" t="s">
        <v>103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83" t="s">
        <v>104</v>
      </c>
      <c r="T3" s="93"/>
      <c r="U3" s="93"/>
      <c r="V3" s="93"/>
      <c r="W3" s="93"/>
      <c r="X3" s="93"/>
      <c r="Y3" s="93"/>
      <c r="Z3" s="93"/>
      <c r="AA3" s="93"/>
      <c r="AB3" s="93"/>
      <c r="AC3" s="93"/>
      <c r="AD3" s="86" t="s">
        <v>105</v>
      </c>
      <c r="AE3" s="94"/>
      <c r="AF3" s="94"/>
      <c r="AG3" s="94"/>
      <c r="AH3" s="94"/>
      <c r="AI3" s="94"/>
      <c r="AJ3" s="94"/>
      <c r="AK3" s="85" t="s">
        <v>106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</row>
    <row r="4" spans="1:50" ht="63.95" customHeight="1">
      <c r="A4" s="4" t="s">
        <v>86</v>
      </c>
      <c r="B4" s="4" t="s">
        <v>94</v>
      </c>
      <c r="C4" s="4" t="s">
        <v>107</v>
      </c>
      <c r="D4" s="4" t="s">
        <v>19</v>
      </c>
      <c r="E4" s="4" t="s">
        <v>49</v>
      </c>
      <c r="F4" s="4" t="s">
        <v>108</v>
      </c>
      <c r="G4" s="4" t="s">
        <v>109</v>
      </c>
      <c r="H4" s="4" t="s">
        <v>110</v>
      </c>
      <c r="I4" s="4" t="s">
        <v>111</v>
      </c>
      <c r="J4" s="4" t="s">
        <v>112</v>
      </c>
      <c r="K4" s="4" t="s">
        <v>113</v>
      </c>
      <c r="L4" s="4" t="s">
        <v>114</v>
      </c>
      <c r="M4" s="4" t="s">
        <v>115</v>
      </c>
      <c r="N4" s="4" t="s">
        <v>116</v>
      </c>
      <c r="O4" s="4" t="s">
        <v>117</v>
      </c>
      <c r="P4" s="4" t="s">
        <v>118</v>
      </c>
      <c r="Q4" s="4" t="s">
        <v>119</v>
      </c>
      <c r="R4" s="4" t="s">
        <v>120</v>
      </c>
      <c r="S4" s="4" t="s">
        <v>121</v>
      </c>
      <c r="T4" s="4" t="s">
        <v>122</v>
      </c>
      <c r="U4" s="4" t="s">
        <v>123</v>
      </c>
      <c r="V4" s="4" t="s">
        <v>124</v>
      </c>
      <c r="W4" s="4" t="s">
        <v>125</v>
      </c>
      <c r="X4" s="4" t="s">
        <v>126</v>
      </c>
      <c r="Y4" s="4" t="s">
        <v>127</v>
      </c>
      <c r="Z4" s="4" t="s">
        <v>128</v>
      </c>
      <c r="AA4" s="4" t="s">
        <v>129</v>
      </c>
      <c r="AB4" s="4" t="s">
        <v>130</v>
      </c>
      <c r="AC4" s="4" t="s">
        <v>131</v>
      </c>
      <c r="AD4" s="4" t="s">
        <v>132</v>
      </c>
      <c r="AE4" s="4" t="s">
        <v>133</v>
      </c>
      <c r="AF4" s="4" t="s">
        <v>134</v>
      </c>
      <c r="AG4" s="4" t="s">
        <v>135</v>
      </c>
      <c r="AH4" s="4" t="s">
        <v>136</v>
      </c>
      <c r="AI4" s="4" t="s">
        <v>137</v>
      </c>
      <c r="AJ4" s="4" t="s">
        <v>138</v>
      </c>
      <c r="AK4" s="21" t="s">
        <v>139</v>
      </c>
      <c r="AL4" s="21" t="s">
        <v>140</v>
      </c>
      <c r="AM4" s="21" t="s">
        <v>141</v>
      </c>
      <c r="AN4" s="21" t="s">
        <v>142</v>
      </c>
      <c r="AO4" s="21" t="s">
        <v>143</v>
      </c>
      <c r="AP4" s="21" t="s">
        <v>144</v>
      </c>
      <c r="AQ4" s="21" t="s">
        <v>145</v>
      </c>
      <c r="AR4" s="21" t="s">
        <v>146</v>
      </c>
      <c r="AS4" s="21" t="s">
        <v>147</v>
      </c>
      <c r="AT4" s="21" t="s">
        <v>148</v>
      </c>
      <c r="AU4" s="21" t="s">
        <v>149</v>
      </c>
      <c r="AV4" s="21" t="s">
        <v>150</v>
      </c>
      <c r="AW4" s="21" t="s">
        <v>151</v>
      </c>
      <c r="AX4" s="21" t="s">
        <v>152</v>
      </c>
    </row>
    <row r="5" spans="1:50" ht="25.5" customHeight="1">
      <c r="A5" s="22">
        <f t="shared" ref="A5:A12" si="0">IF($G5="","",ROW()-4)</f>
        <v>1</v>
      </c>
      <c r="B5" s="22" t="str">
        <f t="shared" ref="B5:B12" si="1">IF($G5="","",IF($C5&lt;&gt;"",$C5,IF($T5="","Contact",IF($S5&gt;=1,"Live",IF($S5&gt;=0.8,"Pending Live",IF($S5&gt;=0.7,"Testing",IF($S5&gt;=0.45,"In Development",IF($S5&gt;=0.2,"NDA/Contract","Pipeline"))))))))</f>
        <v>Testing</v>
      </c>
      <c r="C5" s="23"/>
      <c r="D5" s="23"/>
      <c r="E5" s="13" t="s">
        <v>29</v>
      </c>
      <c r="F5" s="13" t="s">
        <v>153</v>
      </c>
      <c r="G5" s="24" t="s">
        <v>154</v>
      </c>
      <c r="H5" s="13" t="s">
        <v>155</v>
      </c>
      <c r="I5" s="25" t="s">
        <v>156</v>
      </c>
      <c r="J5" s="25" t="s">
        <v>157</v>
      </c>
      <c r="K5" s="22">
        <f>COUNTIF('스위칭 연동 Switching'!$I$5:$I$400,"*Shiji*")</f>
        <v>5</v>
      </c>
      <c r="L5" s="13" t="s">
        <v>158</v>
      </c>
      <c r="M5" s="13" t="s">
        <v>159</v>
      </c>
      <c r="N5" s="22" t="s">
        <v>160</v>
      </c>
      <c r="O5" s="13" t="s">
        <v>161</v>
      </c>
      <c r="P5" s="13" t="s">
        <v>41</v>
      </c>
      <c r="Q5" s="13" t="s">
        <v>162</v>
      </c>
      <c r="R5" s="22" t="s">
        <v>163</v>
      </c>
      <c r="S5" s="26">
        <f t="shared" ref="S5:S12" si="2">IF($G5="","",IFERROR(LOOKUP(2,1/($AK5:$AX5&lt;&gt;""),$AK$2:$AX$2),0))</f>
        <v>0.7</v>
      </c>
      <c r="T5" s="27">
        <f t="shared" ref="T5:T12" si="3">IF(COUNT($AK5:$AX5)=0,"",MAX($AK5:$AX5))</f>
        <v>46286</v>
      </c>
      <c r="U5" s="22">
        <f t="shared" ref="U5:U12" ca="1" si="4">IF($T5="","",TODAY()-$T5)</f>
        <v>39</v>
      </c>
      <c r="V5" s="13" t="str">
        <f t="shared" ref="V5:V12" ca="1" si="5">IF($G5="","",IF($T5="","No Record",IF(OR($S5&gt;=1,$C5="Live"),"Live",IF($U5&gt;=90,"Stalled 90d+",IF($U5&gt;=60,"Stalled 60d+",IF($U5&gt;=30,"Stalled 30d+","In Progress"))))))</f>
        <v>Stalled 30d+</v>
      </c>
      <c r="W5" s="13" t="str">
        <f>IF(COUNT($AK5:$AX5)=0,"",LOOKUP(2,1/($AK5:$AX5&lt;&gt;""),{"①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⑩ 라이브 테스트 · Live Test</v>
      </c>
      <c r="X5" s="22">
        <f t="shared" ref="X5:X12" ca="1" si="6">IF(COUNT($AK5:$AX5)=0,"",IF(N($S5)&gt;=1,MAX($AK5:$AX5),TODAY())-MIN($AK5:$AX5))</f>
        <v>821</v>
      </c>
      <c r="Y5" s="22">
        <f>IF($G5="","",COUNTIF('Chase Log'!$B$4:$B$2000,$G5))</f>
        <v>2</v>
      </c>
      <c r="Z5" s="27">
        <f>IF(N($Y5)=0,"",_xlfn.MAXIFS('Chase Log'!$E$4:$E$2000,'Chase Log'!$B$4:$B$2000,$G5))</f>
        <v>46303</v>
      </c>
      <c r="AA5" s="22">
        <f t="shared" ref="AA5:AA12" ca="1" si="7">IF($Z5="","",TODAY()-$Z5)</f>
        <v>22</v>
      </c>
      <c r="AB5" s="27">
        <f>IF($Z5="","",IF(OR(AND($T5&lt;&gt;"",N($T5)&gt;N($Z5)),COUNTIFS('Chase Log'!$B$4:$B$2000,$G5,'Chase Log'!$E$4:$E$2000,$Z5,'Chase Log'!$I$4:$I$2000,"Y")&gt;0),"",IF(_xlfn.MAXIFS('Chase Log'!$J$4:$J$2000,'Chase Log'!$B$4:$B$2000,$G5,'Chase Log'!$E$4:$E$2000,$Z5)=0,"",_xlfn.MAXIFS('Chase Log'!$J$4:$J$2000,'Chase Log'!$B$4:$B$2000,$G5,'Chase Log'!$E$4:$E$2000,$Z5))))</f>
        <v>46310</v>
      </c>
      <c r="AC5" s="13" t="str">
        <f ca="1">IF(OR($G5="",N($S5)&gt;=1,$C5="Live",$D5&lt;&gt;""),"",IF(AND($AB5&lt;&gt;"",N($AB5)&gt;0),IF($AB5&lt;TODAY(),"Chase Overdue","Scheduled"),IF(AND($T5&lt;&gt;"",N($U5)&gt;='안내 Guide'!$D$4,OR($AA5="",N($AA5)&gt;='안내 Guide'!$D$4)),"Chase Needed","")))</f>
        <v>Chase Overdue</v>
      </c>
      <c r="AD5" s="28">
        <v>46302</v>
      </c>
      <c r="AE5" s="25"/>
      <c r="AF5" s="25" t="s">
        <v>164</v>
      </c>
      <c r="AG5" s="29" t="s">
        <v>165</v>
      </c>
      <c r="AH5" s="25" t="s">
        <v>166</v>
      </c>
      <c r="AI5" s="13" t="s">
        <v>167</v>
      </c>
      <c r="AJ5" s="16" t="s">
        <v>168</v>
      </c>
      <c r="AK5" s="30"/>
      <c r="AL5" s="30"/>
      <c r="AM5" s="30"/>
      <c r="AN5" s="30">
        <v>45504</v>
      </c>
      <c r="AO5" s="30">
        <v>46199</v>
      </c>
      <c r="AP5" s="30"/>
      <c r="AQ5" s="30">
        <v>46237</v>
      </c>
      <c r="AR5" s="30">
        <v>46267</v>
      </c>
      <c r="AS5" s="30">
        <v>46281</v>
      </c>
      <c r="AT5" s="30">
        <v>46286</v>
      </c>
      <c r="AU5" s="30"/>
      <c r="AV5" s="30"/>
      <c r="AW5" s="30"/>
      <c r="AX5" s="30"/>
    </row>
    <row r="6" spans="1:50" ht="25.5" customHeight="1">
      <c r="A6" s="22">
        <f t="shared" si="0"/>
        <v>2</v>
      </c>
      <c r="B6" s="22" t="str">
        <f t="shared" si="1"/>
        <v>In Development</v>
      </c>
      <c r="C6" s="23"/>
      <c r="D6" s="23"/>
      <c r="E6" s="13" t="s">
        <v>34</v>
      </c>
      <c r="F6" s="13" t="s">
        <v>169</v>
      </c>
      <c r="G6" s="24" t="s">
        <v>170</v>
      </c>
      <c r="H6" s="13" t="s">
        <v>155</v>
      </c>
      <c r="I6" s="25" t="s">
        <v>171</v>
      </c>
      <c r="J6" s="25" t="s">
        <v>172</v>
      </c>
      <c r="K6" s="22">
        <f>COUNTIF('스위칭 연동 Switching'!$I$5:$I$400,"*TGX*")</f>
        <v>13</v>
      </c>
      <c r="L6" s="13" t="s">
        <v>158</v>
      </c>
      <c r="M6" s="13" t="s">
        <v>159</v>
      </c>
      <c r="N6" s="22" t="s">
        <v>160</v>
      </c>
      <c r="O6" s="13" t="s">
        <v>161</v>
      </c>
      <c r="P6" s="13" t="s">
        <v>41</v>
      </c>
      <c r="Q6" s="13" t="s">
        <v>162</v>
      </c>
      <c r="R6" s="22" t="s">
        <v>163</v>
      </c>
      <c r="S6" s="26">
        <f t="shared" si="2"/>
        <v>0.6</v>
      </c>
      <c r="T6" s="27">
        <f t="shared" si="3"/>
        <v>46287</v>
      </c>
      <c r="U6" s="22">
        <f t="shared" ca="1" si="4"/>
        <v>38</v>
      </c>
      <c r="V6" s="13" t="str">
        <f t="shared" ca="1" si="5"/>
        <v>Stalled 30d+</v>
      </c>
      <c r="W6" s="13" t="str">
        <f>IF(COUNT($AK6:$AX6)=0,"",LOOKUP(2,1/($AK6:$AX6&lt;&gt;""),{"①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⑨ 인증 · Certification</v>
      </c>
      <c r="X6" s="22">
        <f t="shared" ca="1" si="6"/>
        <v>38</v>
      </c>
      <c r="Y6" s="22">
        <f>IF($G6="","",COUNTIF('Chase Log'!$B$4:$B$2000,$G6))</f>
        <v>1</v>
      </c>
      <c r="Z6" s="27">
        <f>IF(N($Y6)=0,"",_xlfn.MAXIFS('Chase Log'!$E$4:$E$2000,'Chase Log'!$B$4:$B$2000,$G6))</f>
        <v>46300</v>
      </c>
      <c r="AA6" s="22">
        <f t="shared" ca="1" si="7"/>
        <v>25</v>
      </c>
      <c r="AB6" s="27" t="str">
        <f>IF($Z6="","",IF(OR(AND($T6&lt;&gt;"",N($T6)&gt;N($Z6)),COUNTIFS('Chase Log'!$B$4:$B$2000,$G6,'Chase Log'!$E$4:$E$2000,$Z6,'Chase Log'!$I$4:$I$2000,"Y")&gt;0),"",IF(_xlfn.MAXIFS('Chase Log'!$J$4:$J$2000,'Chase Log'!$B$4:$B$2000,$G6,'Chase Log'!$E$4:$E$2000,$Z6)=0,"",_xlfn.MAXIFS('Chase Log'!$J$4:$J$2000,'Chase Log'!$B$4:$B$2000,$G6,'Chase Log'!$E$4:$E$2000,$Z6))))</f>
        <v/>
      </c>
      <c r="AC6" s="13" t="str">
        <f ca="1">IF(OR($G6="",N($S6)&gt;=1,$C6="Live",$D6&lt;&gt;""),"",IF(AND($AB6&lt;&gt;"",N($AB6)&gt;0),IF($AB6&lt;TODAY(),"Chase Overdue","Scheduled"),IF(AND($T6&lt;&gt;"",N($U6)&gt;='안내 Guide'!$D$4,OR($AA6="",N($AA6)&gt;='안내 Guide'!$D$4)),"Chase Needed","")))</f>
        <v>Chase Needed</v>
      </c>
      <c r="AD6" s="28"/>
      <c r="AE6" s="25"/>
      <c r="AF6" s="25" t="s">
        <v>173</v>
      </c>
      <c r="AG6" s="29" t="s">
        <v>174</v>
      </c>
      <c r="AH6" s="25"/>
      <c r="AI6" s="13" t="s">
        <v>175</v>
      </c>
      <c r="AJ6" s="16" t="s">
        <v>168</v>
      </c>
      <c r="AK6" s="30"/>
      <c r="AL6" s="30"/>
      <c r="AM6" s="30"/>
      <c r="AN6" s="30"/>
      <c r="AO6" s="30"/>
      <c r="AP6" s="30"/>
      <c r="AQ6" s="30"/>
      <c r="AR6" s="30"/>
      <c r="AS6" s="30">
        <v>46287</v>
      </c>
      <c r="AT6" s="30"/>
      <c r="AU6" s="30"/>
      <c r="AV6" s="30"/>
      <c r="AW6" s="30"/>
      <c r="AX6" s="30"/>
    </row>
    <row r="7" spans="1:50" ht="25.5" customHeight="1">
      <c r="A7" s="22">
        <f t="shared" si="0"/>
        <v>3</v>
      </c>
      <c r="B7" s="22" t="str">
        <f t="shared" si="1"/>
        <v>Contact</v>
      </c>
      <c r="C7" s="23"/>
      <c r="D7" s="23"/>
      <c r="E7" s="13" t="s">
        <v>31</v>
      </c>
      <c r="F7" s="13" t="s">
        <v>176</v>
      </c>
      <c r="G7" s="24" t="s">
        <v>177</v>
      </c>
      <c r="H7" s="13" t="s">
        <v>155</v>
      </c>
      <c r="I7" s="25" t="s">
        <v>172</v>
      </c>
      <c r="J7" s="25" t="s">
        <v>172</v>
      </c>
      <c r="K7" s="22">
        <f>COUNTIF('스위칭 연동 Switching'!$I$5:$I$400,"*ZentrumHub*")</f>
        <v>1</v>
      </c>
      <c r="L7" s="13" t="s">
        <v>158</v>
      </c>
      <c r="M7" s="13"/>
      <c r="N7" s="22"/>
      <c r="O7" s="13" t="s">
        <v>178</v>
      </c>
      <c r="P7" s="13" t="s">
        <v>41</v>
      </c>
      <c r="Q7" s="13"/>
      <c r="R7" s="22"/>
      <c r="S7" s="26">
        <f t="shared" si="2"/>
        <v>0</v>
      </c>
      <c r="T7" s="27" t="str">
        <f t="shared" si="3"/>
        <v/>
      </c>
      <c r="U7" s="22" t="str">
        <f t="shared" ca="1" si="4"/>
        <v/>
      </c>
      <c r="V7" s="13" t="str">
        <f t="shared" si="5"/>
        <v>No Record</v>
      </c>
      <c r="W7" s="13" t="str">
        <f>IF(COUNT($AK7:$AX7)=0,"",LOOKUP(2,1/($AK7:$AX7&lt;&gt;""),{"①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7" s="22" t="str">
        <f t="shared" ca="1" si="6"/>
        <v/>
      </c>
      <c r="Y7" s="22">
        <f>IF($G7="","",COUNTIF('Chase Log'!$B$4:$B$2000,$G7))</f>
        <v>3</v>
      </c>
      <c r="Z7" s="27">
        <f>IF(N($Y7)=0,"",_xlfn.MAXIFS('Chase Log'!$E$4:$E$2000,'Chase Log'!$B$4:$B$2000,$G7))</f>
        <v>46322</v>
      </c>
      <c r="AA7" s="22">
        <f t="shared" ca="1" si="7"/>
        <v>3</v>
      </c>
      <c r="AB7" s="27">
        <f>IF($Z7="","",IF(OR(AND($T7&lt;&gt;"",N($T7)&gt;N($Z7)),COUNTIFS('Chase Log'!$B$4:$B$2000,$G7,'Chase Log'!$E$4:$E$2000,$Z7,'Chase Log'!$I$4:$I$2000,"Y")&gt;0),"",IF(_xlfn.MAXIFS('Chase Log'!$J$4:$J$2000,'Chase Log'!$B$4:$B$2000,$G7,'Chase Log'!$E$4:$E$2000,$Z7)=0,"",_xlfn.MAXIFS('Chase Log'!$J$4:$J$2000,'Chase Log'!$B$4:$B$2000,$G7,'Chase Log'!$E$4:$E$2000,$Z7))))</f>
        <v>46329</v>
      </c>
      <c r="AC7" s="13" t="str">
        <f ca="1">IF(OR($G7="",N($S7)&gt;=1,$C7="Live",$D7&lt;&gt;""),"",IF(AND($AB7&lt;&gt;"",N($AB7)&gt;0),IF($AB7&lt;TODAY(),"Chase Overdue","Scheduled"),IF(AND($T7&lt;&gt;"",N($U7)&gt;='안내 Guide'!$D$4,OR($AA7="",N($AA7)&gt;='안내 Guide'!$D$4)),"Chase Needed","")))</f>
        <v>Scheduled</v>
      </c>
      <c r="AD7" s="28"/>
      <c r="AE7" s="25"/>
      <c r="AF7" s="25" t="s">
        <v>179</v>
      </c>
      <c r="AG7" s="29" t="s">
        <v>180</v>
      </c>
      <c r="AH7" s="25"/>
      <c r="AI7" s="13" t="s">
        <v>181</v>
      </c>
      <c r="AJ7" s="16" t="s">
        <v>182</v>
      </c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</row>
    <row r="8" spans="1:50" ht="25.5" customHeight="1">
      <c r="A8" s="22">
        <f t="shared" si="0"/>
        <v>4</v>
      </c>
      <c r="B8" s="22" t="str">
        <f t="shared" si="1"/>
        <v>Contact</v>
      </c>
      <c r="C8" s="23"/>
      <c r="D8" s="23" t="s">
        <v>183</v>
      </c>
      <c r="E8" s="13" t="s">
        <v>27</v>
      </c>
      <c r="F8" s="13" t="s">
        <v>184</v>
      </c>
      <c r="G8" s="24" t="s">
        <v>185</v>
      </c>
      <c r="H8" s="13" t="s">
        <v>155</v>
      </c>
      <c r="I8" s="25" t="s">
        <v>172</v>
      </c>
      <c r="J8" s="25" t="s">
        <v>172</v>
      </c>
      <c r="K8" s="22">
        <f>COUNTIF('스위칭 연동 Switching'!$I$5:$I$400,"*11infortec*")</f>
        <v>0</v>
      </c>
      <c r="L8" s="13" t="s">
        <v>158</v>
      </c>
      <c r="M8" s="13" t="s">
        <v>159</v>
      </c>
      <c r="N8" s="22" t="s">
        <v>186</v>
      </c>
      <c r="O8" s="13" t="s">
        <v>187</v>
      </c>
      <c r="P8" s="13" t="s">
        <v>41</v>
      </c>
      <c r="Q8" s="13" t="s">
        <v>188</v>
      </c>
      <c r="R8" s="22" t="s">
        <v>163</v>
      </c>
      <c r="S8" s="26">
        <f t="shared" si="2"/>
        <v>0</v>
      </c>
      <c r="T8" s="27" t="str">
        <f t="shared" si="3"/>
        <v/>
      </c>
      <c r="U8" s="22" t="str">
        <f t="shared" ca="1" si="4"/>
        <v/>
      </c>
      <c r="V8" s="13" t="str">
        <f t="shared" si="5"/>
        <v>No Record</v>
      </c>
      <c r="W8" s="13" t="str">
        <f>IF(COUNT($AK8:$AX8)=0,"",LOOKUP(2,1/($AK8:$AX8&lt;&gt;""),{"①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8" s="22" t="str">
        <f t="shared" ca="1" si="6"/>
        <v/>
      </c>
      <c r="Y8" s="22">
        <f>IF($G8="","",COUNTIF('Chase Log'!$B$4:$B$2000,$G8))</f>
        <v>0</v>
      </c>
      <c r="Z8" s="27" t="str">
        <f>IF(N($Y8)=0,"",_xlfn.MAXIFS('Chase Log'!$E$4:$E$2000,'Chase Log'!$B$4:$B$2000,$G8))</f>
        <v/>
      </c>
      <c r="AA8" s="22" t="str">
        <f t="shared" ca="1" si="7"/>
        <v/>
      </c>
      <c r="AB8" s="27" t="str">
        <f>IF($Z8="","",IF(OR(AND($T8&lt;&gt;"",N($T8)&gt;N($Z8)),COUNTIFS('Chase Log'!$B$4:$B$2000,$G8,'Chase Log'!$E$4:$E$2000,$Z8,'Chase Log'!$I$4:$I$2000,"Y")&gt;0),"",IF(_xlfn.MAXIFS('Chase Log'!$J$4:$J$2000,'Chase Log'!$B$4:$B$2000,$G8,'Chase Log'!$E$4:$E$2000,$Z8)=0,"",_xlfn.MAXIFS('Chase Log'!$J$4:$J$2000,'Chase Log'!$B$4:$B$2000,$G8,'Chase Log'!$E$4:$E$2000,$Z8))))</f>
        <v/>
      </c>
      <c r="AC8" s="13" t="str">
        <f ca="1">IF(OR($G8="",N($S8)&gt;=1,$C8="Live",$D8&lt;&gt;""),"",IF(AND($AB8&lt;&gt;"",N($AB8)&gt;0),IF($AB8&lt;TODAY(),"Chase Overdue","Scheduled"),IF(AND($T8&lt;&gt;"",N($U8)&gt;='안내 Guide'!$D$4,OR($AA8="",N($AA8)&gt;='안내 Guide'!$D$4)),"Chase Needed","")))</f>
        <v/>
      </c>
      <c r="AD8" s="28"/>
      <c r="AE8" s="25"/>
      <c r="AF8" s="25"/>
      <c r="AG8" s="29"/>
      <c r="AH8" s="25"/>
      <c r="AI8" s="13"/>
      <c r="AJ8" s="16" t="s">
        <v>168</v>
      </c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</row>
    <row r="9" spans="1:50" ht="25.5" customHeight="1">
      <c r="A9" s="22">
        <f t="shared" si="0"/>
        <v>5</v>
      </c>
      <c r="B9" s="22" t="str">
        <f t="shared" si="1"/>
        <v>Contact</v>
      </c>
      <c r="C9" s="23"/>
      <c r="D9" s="23" t="s">
        <v>189</v>
      </c>
      <c r="E9" s="13" t="s">
        <v>29</v>
      </c>
      <c r="F9" s="13" t="s">
        <v>153</v>
      </c>
      <c r="G9" s="24" t="s">
        <v>190</v>
      </c>
      <c r="H9" s="13" t="s">
        <v>155</v>
      </c>
      <c r="I9" s="25" t="s">
        <v>172</v>
      </c>
      <c r="J9" s="25" t="s">
        <v>172</v>
      </c>
      <c r="K9" s="22">
        <f>COUNTIF('스위칭 연동 Switching'!$I$5:$I$400,"*Derbysoft*")</f>
        <v>0</v>
      </c>
      <c r="L9" s="13" t="s">
        <v>158</v>
      </c>
      <c r="M9" s="13" t="s">
        <v>159</v>
      </c>
      <c r="N9" s="22" t="s">
        <v>186</v>
      </c>
      <c r="O9" s="13" t="s">
        <v>187</v>
      </c>
      <c r="P9" s="13" t="s">
        <v>41</v>
      </c>
      <c r="Q9" s="13" t="s">
        <v>188</v>
      </c>
      <c r="R9" s="22" t="s">
        <v>163</v>
      </c>
      <c r="S9" s="26">
        <f t="shared" si="2"/>
        <v>0</v>
      </c>
      <c r="T9" s="27" t="str">
        <f t="shared" si="3"/>
        <v/>
      </c>
      <c r="U9" s="22" t="str">
        <f t="shared" ca="1" si="4"/>
        <v/>
      </c>
      <c r="V9" s="13" t="str">
        <f t="shared" si="5"/>
        <v>No Record</v>
      </c>
      <c r="W9" s="13" t="str">
        <f>IF(COUNT($AK9:$AX9)=0,"",LOOKUP(2,1/($AK9:$AX9&lt;&gt;""),{"①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9" s="22" t="str">
        <f t="shared" ca="1" si="6"/>
        <v/>
      </c>
      <c r="Y9" s="22">
        <f>IF($G9="","",COUNTIF('Chase Log'!$B$4:$B$2000,$G9))</f>
        <v>0</v>
      </c>
      <c r="Z9" s="27" t="str">
        <f>IF(N($Y9)=0,"",_xlfn.MAXIFS('Chase Log'!$E$4:$E$2000,'Chase Log'!$B$4:$B$2000,$G9))</f>
        <v/>
      </c>
      <c r="AA9" s="22" t="str">
        <f t="shared" ca="1" si="7"/>
        <v/>
      </c>
      <c r="AB9" s="27" t="str">
        <f>IF($Z9="","",IF(OR(AND($T9&lt;&gt;"",N($T9)&gt;N($Z9)),COUNTIFS('Chase Log'!$B$4:$B$2000,$G9,'Chase Log'!$E$4:$E$2000,$Z9,'Chase Log'!$I$4:$I$2000,"Y")&gt;0),"",IF(_xlfn.MAXIFS('Chase Log'!$J$4:$J$2000,'Chase Log'!$B$4:$B$2000,$G9,'Chase Log'!$E$4:$E$2000,$Z9)=0,"",_xlfn.MAXIFS('Chase Log'!$J$4:$J$2000,'Chase Log'!$B$4:$B$2000,$G9,'Chase Log'!$E$4:$E$2000,$Z9))))</f>
        <v/>
      </c>
      <c r="AC9" s="13" t="str">
        <f ca="1">IF(OR($G9="",N($S9)&gt;=1,$C9="Live",$D9&lt;&gt;""),"",IF(AND($AB9&lt;&gt;"",N($AB9)&gt;0),IF($AB9&lt;TODAY(),"Chase Overdue","Scheduled"),IF(AND($T9&lt;&gt;"",N($U9)&gt;='안내 Guide'!$D$4,OR($AA9="",N($AA9)&gt;='안내 Guide'!$D$4)),"Chase Needed","")))</f>
        <v/>
      </c>
      <c r="AD9" s="28"/>
      <c r="AE9" s="25"/>
      <c r="AF9" s="25"/>
      <c r="AG9" s="29"/>
      <c r="AH9" s="25"/>
      <c r="AI9" s="13"/>
      <c r="AJ9" s="16" t="s">
        <v>168</v>
      </c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</row>
    <row r="10" spans="1:50" ht="25.5" customHeight="1">
      <c r="A10" s="22">
        <f t="shared" si="0"/>
        <v>6</v>
      </c>
      <c r="B10" s="22" t="str">
        <f t="shared" si="1"/>
        <v>Contact</v>
      </c>
      <c r="C10" s="23"/>
      <c r="D10" s="23" t="s">
        <v>189</v>
      </c>
      <c r="E10" s="13" t="s">
        <v>30</v>
      </c>
      <c r="F10" s="13" t="s">
        <v>191</v>
      </c>
      <c r="G10" s="24" t="s">
        <v>192</v>
      </c>
      <c r="H10" s="13" t="s">
        <v>155</v>
      </c>
      <c r="I10" s="25" t="s">
        <v>172</v>
      </c>
      <c r="J10" s="25" t="s">
        <v>172</v>
      </c>
      <c r="K10" s="22">
        <f>COUNTIF('스위칭 연동 Switching'!$I$5:$I$400,"*TAN*")</f>
        <v>1</v>
      </c>
      <c r="L10" s="13" t="s">
        <v>158</v>
      </c>
      <c r="M10" s="13" t="s">
        <v>159</v>
      </c>
      <c r="N10" s="22" t="s">
        <v>186</v>
      </c>
      <c r="O10" s="13" t="s">
        <v>187</v>
      </c>
      <c r="P10" s="13" t="s">
        <v>41</v>
      </c>
      <c r="Q10" s="13" t="s">
        <v>188</v>
      </c>
      <c r="R10" s="22" t="s">
        <v>163</v>
      </c>
      <c r="S10" s="26">
        <f t="shared" si="2"/>
        <v>0</v>
      </c>
      <c r="T10" s="27" t="str">
        <f t="shared" si="3"/>
        <v/>
      </c>
      <c r="U10" s="22" t="str">
        <f t="shared" ca="1" si="4"/>
        <v/>
      </c>
      <c r="V10" s="13" t="str">
        <f t="shared" si="5"/>
        <v>No Record</v>
      </c>
      <c r="W10" s="13" t="str">
        <f>IF(COUNT($AK10:$AX10)=0,"",LOOKUP(2,1/($AK10:$AX10&lt;&gt;""),{"①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0" s="22" t="str">
        <f t="shared" ca="1" si="6"/>
        <v/>
      </c>
      <c r="Y10" s="22">
        <f>IF($G10="","",COUNTIF('Chase Log'!$B$4:$B$2000,$G10))</f>
        <v>0</v>
      </c>
      <c r="Z10" s="27" t="str">
        <f>IF(N($Y10)=0,"",_xlfn.MAXIFS('Chase Log'!$E$4:$E$2000,'Chase Log'!$B$4:$B$2000,$G10))</f>
        <v/>
      </c>
      <c r="AA10" s="22" t="str">
        <f t="shared" ca="1" si="7"/>
        <v/>
      </c>
      <c r="AB10" s="27" t="str">
        <f>IF($Z10="","",IF(OR(AND($T10&lt;&gt;"",N($T10)&gt;N($Z10)),COUNTIFS('Chase Log'!$B$4:$B$2000,$G10,'Chase Log'!$E$4:$E$2000,$Z10,'Chase Log'!$I$4:$I$2000,"Y")&gt;0),"",IF(_xlfn.MAXIFS('Chase Log'!$J$4:$J$2000,'Chase Log'!$B$4:$B$2000,$G10,'Chase Log'!$E$4:$E$2000,$Z10)=0,"",_xlfn.MAXIFS('Chase Log'!$J$4:$J$2000,'Chase Log'!$B$4:$B$2000,$G10,'Chase Log'!$E$4:$E$2000,$Z10))))</f>
        <v/>
      </c>
      <c r="AC10" s="13" t="str">
        <f ca="1">IF(OR($G10="",N($S10)&gt;=1,$C10="Live",$D10&lt;&gt;""),"",IF(AND($AB10&lt;&gt;"",N($AB10)&gt;0),IF($AB10&lt;TODAY(),"Chase Overdue","Scheduled"),IF(AND($T10&lt;&gt;"",N($U10)&gt;='안내 Guide'!$D$4,OR($AA10="",N($AA10)&gt;='안내 Guide'!$D$4)),"Chase Needed","")))</f>
        <v/>
      </c>
      <c r="AD10" s="28"/>
      <c r="AE10" s="25"/>
      <c r="AF10" s="25"/>
      <c r="AG10" s="29"/>
      <c r="AH10" s="25"/>
      <c r="AI10" s="13"/>
      <c r="AJ10" s="16" t="s">
        <v>168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</row>
    <row r="11" spans="1:50" ht="25.5" customHeight="1">
      <c r="A11" s="22">
        <f t="shared" si="0"/>
        <v>7</v>
      </c>
      <c r="B11" s="22" t="str">
        <f t="shared" si="1"/>
        <v>Contact</v>
      </c>
      <c r="C11" s="23"/>
      <c r="D11" s="23" t="s">
        <v>189</v>
      </c>
      <c r="E11" s="13" t="s">
        <v>34</v>
      </c>
      <c r="F11" s="13" t="s">
        <v>169</v>
      </c>
      <c r="G11" s="24" t="s">
        <v>193</v>
      </c>
      <c r="H11" s="13" t="s">
        <v>155</v>
      </c>
      <c r="I11" s="25" t="s">
        <v>172</v>
      </c>
      <c r="J11" s="25" t="s">
        <v>172</v>
      </c>
      <c r="K11" s="22">
        <f>COUNTIF('스위칭 연동 Switching'!$I$5:$I$400,"*Juniper*")</f>
        <v>1</v>
      </c>
      <c r="L11" s="13" t="s">
        <v>158</v>
      </c>
      <c r="M11" s="13" t="s">
        <v>159</v>
      </c>
      <c r="N11" s="22" t="s">
        <v>194</v>
      </c>
      <c r="O11" s="13" t="s">
        <v>195</v>
      </c>
      <c r="P11" s="13" t="s">
        <v>41</v>
      </c>
      <c r="Q11" s="13" t="s">
        <v>196</v>
      </c>
      <c r="R11" s="22" t="s">
        <v>163</v>
      </c>
      <c r="S11" s="26">
        <f t="shared" si="2"/>
        <v>0</v>
      </c>
      <c r="T11" s="27" t="str">
        <f t="shared" si="3"/>
        <v/>
      </c>
      <c r="U11" s="22" t="str">
        <f t="shared" ca="1" si="4"/>
        <v/>
      </c>
      <c r="V11" s="13" t="str">
        <f t="shared" si="5"/>
        <v>No Record</v>
      </c>
      <c r="W11" s="13" t="str">
        <f>IF(COUNT($AK11:$AX11)=0,"",LOOKUP(2,1/($AK11:$AX11&lt;&gt;""),{"①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1" s="22" t="str">
        <f t="shared" ca="1" si="6"/>
        <v/>
      </c>
      <c r="Y11" s="22">
        <f>IF($G11="","",COUNTIF('Chase Log'!$B$4:$B$2000,$G11))</f>
        <v>0</v>
      </c>
      <c r="Z11" s="27" t="str">
        <f>IF(N($Y11)=0,"",_xlfn.MAXIFS('Chase Log'!$E$4:$E$2000,'Chase Log'!$B$4:$B$2000,$G11))</f>
        <v/>
      </c>
      <c r="AA11" s="22" t="str">
        <f t="shared" ca="1" si="7"/>
        <v/>
      </c>
      <c r="AB11" s="27" t="str">
        <f>IF($Z11="","",IF(OR(AND($T11&lt;&gt;"",N($T11)&gt;N($Z11)),COUNTIFS('Chase Log'!$B$4:$B$2000,$G11,'Chase Log'!$E$4:$E$2000,$Z11,'Chase Log'!$I$4:$I$2000,"Y")&gt;0),"",IF(_xlfn.MAXIFS('Chase Log'!$J$4:$J$2000,'Chase Log'!$B$4:$B$2000,$G11,'Chase Log'!$E$4:$E$2000,$Z11)=0,"",_xlfn.MAXIFS('Chase Log'!$J$4:$J$2000,'Chase Log'!$B$4:$B$2000,$G11,'Chase Log'!$E$4:$E$2000,$Z11))))</f>
        <v/>
      </c>
      <c r="AC11" s="13" t="str">
        <f ca="1">IF(OR($G11="",N($S11)&gt;=1,$C11="Live",$D11&lt;&gt;""),"",IF(AND($AB11&lt;&gt;"",N($AB11)&gt;0),IF($AB11&lt;TODAY(),"Chase Overdue","Scheduled"),IF(AND($T11&lt;&gt;"",N($U11)&gt;='안내 Guide'!$D$4,OR($AA11="",N($AA11)&gt;='안내 Guide'!$D$4)),"Chase Needed","")))</f>
        <v/>
      </c>
      <c r="AD11" s="28"/>
      <c r="AE11" s="25"/>
      <c r="AF11" s="25" t="s">
        <v>197</v>
      </c>
      <c r="AG11" s="29" t="s">
        <v>198</v>
      </c>
      <c r="AH11" s="25"/>
      <c r="AI11" s="13" t="s">
        <v>199</v>
      </c>
      <c r="AJ11" s="16" t="s">
        <v>168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</row>
    <row r="12" spans="1:50" ht="25.5" customHeight="1">
      <c r="A12" s="22">
        <f t="shared" si="0"/>
        <v>8</v>
      </c>
      <c r="B12" s="22" t="str">
        <f t="shared" si="1"/>
        <v>Contact</v>
      </c>
      <c r="C12" s="23"/>
      <c r="D12" s="23" t="s">
        <v>189</v>
      </c>
      <c r="E12" s="13" t="s">
        <v>34</v>
      </c>
      <c r="F12" s="13" t="s">
        <v>200</v>
      </c>
      <c r="G12" s="24" t="s">
        <v>201</v>
      </c>
      <c r="H12" s="13" t="s">
        <v>155</v>
      </c>
      <c r="I12" s="25" t="s">
        <v>172</v>
      </c>
      <c r="J12" s="25" t="s">
        <v>172</v>
      </c>
      <c r="K12" s="22">
        <f>COUNTIF('스위칭 연동 Switching'!$I$5:$I$400,"*Synxis*")</f>
        <v>0</v>
      </c>
      <c r="L12" s="13" t="s">
        <v>158</v>
      </c>
      <c r="M12" s="13" t="s">
        <v>159</v>
      </c>
      <c r="N12" s="22" t="s">
        <v>186</v>
      </c>
      <c r="O12" s="13" t="s">
        <v>187</v>
      </c>
      <c r="P12" s="13" t="s">
        <v>41</v>
      </c>
      <c r="Q12" s="13" t="s">
        <v>188</v>
      </c>
      <c r="R12" s="22" t="s">
        <v>163</v>
      </c>
      <c r="S12" s="26">
        <f t="shared" si="2"/>
        <v>0</v>
      </c>
      <c r="T12" s="27" t="str">
        <f t="shared" si="3"/>
        <v/>
      </c>
      <c r="U12" s="22" t="str">
        <f t="shared" ca="1" si="4"/>
        <v/>
      </c>
      <c r="V12" s="13" t="str">
        <f t="shared" si="5"/>
        <v>No Record</v>
      </c>
      <c r="W12" s="13" t="str">
        <f>IF(COUNT($AK12:$AX12)=0,"",LOOKUP(2,1/($AK12:$AX12&lt;&gt;""),{"①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2" s="22" t="str">
        <f t="shared" ca="1" si="6"/>
        <v/>
      </c>
      <c r="Y12" s="22">
        <f>IF($G12="","",COUNTIF('Chase Log'!$B$4:$B$2000,$G12))</f>
        <v>0</v>
      </c>
      <c r="Z12" s="27" t="str">
        <f>IF(N($Y12)=0,"",_xlfn.MAXIFS('Chase Log'!$E$4:$E$2000,'Chase Log'!$B$4:$B$2000,$G12))</f>
        <v/>
      </c>
      <c r="AA12" s="22" t="str">
        <f t="shared" ca="1" si="7"/>
        <v/>
      </c>
      <c r="AB12" s="27" t="str">
        <f>IF($Z12="","",IF(OR(AND($T12&lt;&gt;"",N($T12)&gt;N($Z12)),COUNTIFS('Chase Log'!$B$4:$B$2000,$G12,'Chase Log'!$E$4:$E$2000,$Z12,'Chase Log'!$I$4:$I$2000,"Y")&gt;0),"",IF(_xlfn.MAXIFS('Chase Log'!$J$4:$J$2000,'Chase Log'!$B$4:$B$2000,$G12,'Chase Log'!$E$4:$E$2000,$Z12)=0,"",_xlfn.MAXIFS('Chase Log'!$J$4:$J$2000,'Chase Log'!$B$4:$B$2000,$G12,'Chase Log'!$E$4:$E$2000,$Z12))))</f>
        <v/>
      </c>
      <c r="AC12" s="13" t="str">
        <f ca="1">IF(OR($G12="",N($S12)&gt;=1,$C12="Live",$D12&lt;&gt;""),"",IF(AND($AB12&lt;&gt;"",N($AB12)&gt;0),IF($AB12&lt;TODAY(),"Chase Overdue","Scheduled"),IF(AND($T12&lt;&gt;"",N($U12)&gt;='안내 Guide'!$D$4,OR($AA12="",N($AA12)&gt;='안내 Guide'!$D$4)),"Chase Needed","")))</f>
        <v/>
      </c>
      <c r="AD12" s="28"/>
      <c r="AE12" s="25"/>
      <c r="AF12" s="25"/>
      <c r="AG12" s="29"/>
      <c r="AH12" s="25"/>
      <c r="AI12" s="13"/>
      <c r="AJ12" s="16" t="s">
        <v>168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</row>
  </sheetData>
  <autoFilter ref="A4:AX12" xr:uid="{00000000-0009-0000-0000-000001000000}"/>
  <mergeCells count="5">
    <mergeCell ref="S3:AC3"/>
    <mergeCell ref="A3:R3"/>
    <mergeCell ref="AK3:AX3"/>
    <mergeCell ref="AD3:AJ3"/>
    <mergeCell ref="E1:N1"/>
  </mergeCells>
  <phoneticPr fontId="37" type="noConversion"/>
  <conditionalFormatting sqref="A5:AJ400">
    <cfRule type="expression" dxfId="91" priority="29">
      <formula>AND($G5&lt;&gt;"",MOD(ROW(),2)=0)</formula>
    </cfRule>
  </conditionalFormatting>
  <conditionalFormatting sqref="A5:AX400">
    <cfRule type="expression" dxfId="90" priority="28">
      <formula>$D5&lt;&gt;""</formula>
    </cfRule>
  </conditionalFormatting>
  <conditionalFormatting sqref="B5:B400">
    <cfRule type="cellIs" dxfId="89" priority="1" operator="equal">
      <formula>"Live"</formula>
    </cfRule>
    <cfRule type="cellIs" dxfId="88" priority="2" operator="equal">
      <formula>"Partially Live"</formula>
    </cfRule>
    <cfRule type="cellIs" dxfId="87" priority="3" operator="equal">
      <formula>"Pending Live"</formula>
    </cfRule>
    <cfRule type="cellIs" dxfId="86" priority="4" operator="equal">
      <formula>"Testing"</formula>
    </cfRule>
    <cfRule type="cellIs" dxfId="85" priority="5" operator="equal">
      <formula>"In Development"</formula>
    </cfRule>
    <cfRule type="cellIs" dxfId="84" priority="6" operator="equal">
      <formula>"NDA/Contract"</formula>
    </cfRule>
    <cfRule type="cellIs" dxfId="83" priority="7" operator="equal">
      <formula>"Pipeline"</formula>
    </cfRule>
    <cfRule type="cellIs" dxfId="82" priority="8" operator="equal">
      <formula>"Contact"</formula>
    </cfRule>
  </conditionalFormatting>
  <conditionalFormatting sqref="I5:J400">
    <cfRule type="expression" dxfId="81" priority="15">
      <formula>LEFT(I5,2)="완료"</formula>
    </cfRule>
    <cfRule type="expression" dxfId="80" priority="16">
      <formula>LEFT(I5,3)="라이브"</formula>
    </cfRule>
    <cfRule type="expression" dxfId="79" priority="17">
      <formula>LEFT(I5,2)="일부"</formula>
    </cfRule>
    <cfRule type="expression" dxfId="78" priority="18">
      <formula>LEFT(I5,2)="진행"</formula>
    </cfRule>
    <cfRule type="expression" dxfId="77" priority="19">
      <formula>LEFT(I5,2)="개발"</formula>
    </cfRule>
    <cfRule type="expression" dxfId="76" priority="20">
      <formula>LEFT(I5,3)="테스트"</formula>
    </cfRule>
  </conditionalFormatting>
  <conditionalFormatting sqref="S5:S400">
    <cfRule type="dataBar" priority="27">
      <dataBar>
        <cfvo type="num" val="0"/>
        <cfvo type="num" val="1"/>
        <color rgb="FF5B9BD5"/>
      </dataBar>
    </cfRule>
  </conditionalFormatting>
  <conditionalFormatting sqref="V5:V400">
    <cfRule type="cellIs" dxfId="75" priority="9" operator="equal">
      <formula>"Stalled 90d+"</formula>
    </cfRule>
    <cfRule type="cellIs" dxfId="74" priority="10" operator="equal">
      <formula>"Stalled 60d+"</formula>
    </cfRule>
    <cfRule type="cellIs" dxfId="73" priority="11" operator="equal">
      <formula>"Stalled 30d+"</formula>
    </cfRule>
  </conditionalFormatting>
  <conditionalFormatting sqref="AC5:AC400">
    <cfRule type="cellIs" dxfId="72" priority="12" operator="equal">
      <formula>"Chase Overdue"</formula>
    </cfRule>
    <cfRule type="cellIs" dxfId="71" priority="13" operator="equal">
      <formula>"Chase Needed"</formula>
    </cfRule>
    <cfRule type="cellIs" dxfId="70" priority="14" operator="equal">
      <formula>"Scheduled"</formula>
    </cfRule>
  </conditionalFormatting>
  <dataValidations count="2">
    <dataValidation type="list" allowBlank="1" sqref="D5:D400" xr:uid="{00000000-0002-0000-0100-000000000000}">
      <formula1>"Hold,Dropped"</formula1>
    </dataValidation>
    <dataValidation type="list" allowBlank="1" sqref="C5:C400" xr:uid="{00000000-0002-0000-0100-000001000000}">
      <formula1>"Live,Partially Live,Pending Live,Testing,In Development,NDA/Contract,Pipeline,Contact"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0"/>
  <sheetViews>
    <sheetView zoomScale="90" workbookViewId="0">
      <pane xSplit="7" ySplit="4" topLeftCell="J9" activePane="bottomRight" state="frozen"/>
      <selection pane="bottomRight" activeCell="O20" sqref="O20"/>
      <selection pane="bottomLeft"/>
      <selection pane="topRight"/>
    </sheetView>
  </sheetViews>
  <sheetFormatPr defaultRowHeight="14.45"/>
  <cols>
    <col min="1" max="1" width="5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26" customWidth="1"/>
    <col min="8" max="8" width="18" customWidth="1"/>
    <col min="9" max="9" width="20" customWidth="1"/>
    <col min="10" max="10" width="15" customWidth="1"/>
    <col min="11" max="11" width="9" customWidth="1"/>
    <col min="12" max="12" width="18" customWidth="1"/>
    <col min="13" max="13" width="20" customWidth="1"/>
    <col min="14" max="14" width="14" customWidth="1"/>
    <col min="15" max="15" width="9" customWidth="1"/>
    <col min="16" max="16" width="10" customWidth="1"/>
    <col min="17" max="17" width="12" customWidth="1"/>
    <col min="18" max="18" width="9" customWidth="1"/>
    <col min="19" max="19" width="13" customWidth="1"/>
    <col min="20" max="20" width="22" customWidth="1"/>
    <col min="21" max="21" width="10" customWidth="1"/>
    <col min="22" max="22" width="8" customWidth="1"/>
    <col min="23" max="23" width="12" customWidth="1"/>
    <col min="24" max="24" width="10" customWidth="1"/>
    <col min="25" max="25" width="12" customWidth="1"/>
    <col min="26" max="26" width="14" customWidth="1"/>
    <col min="27" max="27" width="12" customWidth="1"/>
    <col min="28" max="28" width="16" customWidth="1"/>
    <col min="29" max="30" width="50" customWidth="1"/>
    <col min="31" max="31" width="40" customWidth="1"/>
    <col min="32" max="32" width="12" customWidth="1"/>
    <col min="33" max="33" width="30" customWidth="1"/>
    <col min="34" max="40" width="14" customWidth="1"/>
    <col min="41" max="41" width="19" customWidth="1"/>
    <col min="42" max="46" width="14" customWidth="1"/>
    <col min="47" max="47" width="19" customWidth="1"/>
  </cols>
  <sheetData>
    <row r="1" spans="1:47" ht="33.950000000000003" customHeight="1">
      <c r="A1" s="17" t="s">
        <v>23</v>
      </c>
      <c r="E1" s="87" t="s">
        <v>202</v>
      </c>
      <c r="F1" s="91"/>
      <c r="G1" s="91"/>
      <c r="H1" s="91"/>
      <c r="I1" s="91"/>
      <c r="J1" s="91"/>
      <c r="K1" s="91"/>
      <c r="L1" s="91"/>
      <c r="M1" s="91"/>
      <c r="N1" s="91"/>
    </row>
    <row r="2" spans="1:47">
      <c r="A2" s="18" t="str">
        <f ca="1">"전체 Total "&amp;COUNTA($G$5:$G$400)&amp;"  ·  라이브 Live "&amp;(COUNTIF($B$5:$B$400,"Live")+COUNTIF($B$5:$B$400,"Partially Live"))&amp;"  ·  개발·테스트 Dev/Test "&amp;(COUNTIF($B$5:$B$400,"In Development")+COUNTIF($B$5:$B$400,"Testing")+COUNTIF($B$5:$B$400,"Pending Live"))&amp;"  ·  계약·NDA "&amp;COUNTIF($B$5:$B$400,"NDA/Contract")&amp;"  ·  파이프라인 Pipeline "&amp;(COUNTIF($B$5:$B$400,"Pipeline")+COUNTIF($B$5:$B$400,"Contact"))&amp;"  ·  60일+ 정체 Stalled 60d+ "&amp;(COUNTIF($S$5:$S$400,"Stalled 60d+")+COUNTIF($S$5:$S$400,"Stalled 90d+"))</f>
        <v>전체 Total 16  ·  라이브 Live 0  ·  개발·테스트 Dev/Test 0  ·  계약·NDA 3  ·  파이프라인 Pipeline 13  ·  60일+ 정체 Stalled 60d+ 1</v>
      </c>
      <c r="AG2" s="19" t="s">
        <v>102</v>
      </c>
      <c r="AH2" s="20">
        <v>0.05</v>
      </c>
      <c r="AI2" s="20">
        <v>0.1</v>
      </c>
      <c r="AJ2" s="20">
        <v>0.15</v>
      </c>
      <c r="AK2" s="20">
        <v>0.2</v>
      </c>
      <c r="AL2" s="20">
        <v>0.3</v>
      </c>
      <c r="AM2" s="20">
        <v>0.4</v>
      </c>
      <c r="AN2" s="20">
        <v>0.45</v>
      </c>
      <c r="AO2" s="20">
        <v>0.5</v>
      </c>
      <c r="AP2" s="20">
        <v>0.6</v>
      </c>
      <c r="AQ2" s="20">
        <v>0.7</v>
      </c>
      <c r="AR2" s="20">
        <v>0.75</v>
      </c>
      <c r="AS2" s="20">
        <v>0.8</v>
      </c>
      <c r="AT2" s="20">
        <v>0.9</v>
      </c>
      <c r="AU2" s="20">
        <v>1</v>
      </c>
    </row>
    <row r="3" spans="1:47" ht="21.95" customHeight="1">
      <c r="A3" s="84" t="s">
        <v>103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83" t="s">
        <v>104</v>
      </c>
      <c r="Q3" s="93"/>
      <c r="R3" s="93"/>
      <c r="S3" s="93"/>
      <c r="T3" s="93"/>
      <c r="U3" s="93"/>
      <c r="V3" s="93"/>
      <c r="W3" s="93"/>
      <c r="X3" s="93"/>
      <c r="Y3" s="93"/>
      <c r="Z3" s="93"/>
      <c r="AA3" s="86" t="s">
        <v>105</v>
      </c>
      <c r="AB3" s="94"/>
      <c r="AC3" s="94"/>
      <c r="AD3" s="94"/>
      <c r="AE3" s="94"/>
      <c r="AF3" s="94"/>
      <c r="AG3" s="94"/>
      <c r="AH3" s="85" t="s">
        <v>106</v>
      </c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</row>
    <row r="4" spans="1:47" ht="63.95" customHeight="1">
      <c r="A4" s="4" t="s">
        <v>86</v>
      </c>
      <c r="B4" s="4" t="s">
        <v>94</v>
      </c>
      <c r="C4" s="4" t="s">
        <v>107</v>
      </c>
      <c r="D4" s="4" t="s">
        <v>19</v>
      </c>
      <c r="E4" s="4" t="s">
        <v>49</v>
      </c>
      <c r="F4" s="4" t="s">
        <v>108</v>
      </c>
      <c r="G4" s="4" t="s">
        <v>109</v>
      </c>
      <c r="H4" s="4" t="s">
        <v>110</v>
      </c>
      <c r="I4" s="4" t="s">
        <v>114</v>
      </c>
      <c r="J4" s="4" t="s">
        <v>115</v>
      </c>
      <c r="K4" s="4" t="s">
        <v>116</v>
      </c>
      <c r="L4" s="4" t="s">
        <v>117</v>
      </c>
      <c r="M4" s="4" t="s">
        <v>118</v>
      </c>
      <c r="N4" s="4" t="s">
        <v>119</v>
      </c>
      <c r="O4" s="4" t="s">
        <v>120</v>
      </c>
      <c r="P4" s="4" t="s">
        <v>121</v>
      </c>
      <c r="Q4" s="4" t="s">
        <v>122</v>
      </c>
      <c r="R4" s="4" t="s">
        <v>123</v>
      </c>
      <c r="S4" s="4" t="s">
        <v>124</v>
      </c>
      <c r="T4" s="4" t="s">
        <v>125</v>
      </c>
      <c r="U4" s="4" t="s">
        <v>126</v>
      </c>
      <c r="V4" s="4" t="s">
        <v>127</v>
      </c>
      <c r="W4" s="4" t="s">
        <v>128</v>
      </c>
      <c r="X4" s="4" t="s">
        <v>129</v>
      </c>
      <c r="Y4" s="4" t="s">
        <v>130</v>
      </c>
      <c r="Z4" s="4" t="s">
        <v>131</v>
      </c>
      <c r="AA4" s="4" t="s">
        <v>132</v>
      </c>
      <c r="AB4" s="4" t="s">
        <v>133</v>
      </c>
      <c r="AC4" s="4" t="s">
        <v>134</v>
      </c>
      <c r="AD4" s="4" t="s">
        <v>135</v>
      </c>
      <c r="AE4" s="4" t="s">
        <v>136</v>
      </c>
      <c r="AF4" s="4" t="s">
        <v>137</v>
      </c>
      <c r="AG4" s="4" t="s">
        <v>138</v>
      </c>
      <c r="AH4" s="21" t="s">
        <v>139</v>
      </c>
      <c r="AI4" s="21" t="s">
        <v>140</v>
      </c>
      <c r="AJ4" s="21" t="s">
        <v>141</v>
      </c>
      <c r="AK4" s="21" t="s">
        <v>142</v>
      </c>
      <c r="AL4" s="21" t="s">
        <v>143</v>
      </c>
      <c r="AM4" s="21" t="s">
        <v>144</v>
      </c>
      <c r="AN4" s="21" t="s">
        <v>145</v>
      </c>
      <c r="AO4" s="21" t="s">
        <v>146</v>
      </c>
      <c r="AP4" s="21" t="s">
        <v>147</v>
      </c>
      <c r="AQ4" s="21" t="s">
        <v>148</v>
      </c>
      <c r="AR4" s="21" t="s">
        <v>149</v>
      </c>
      <c r="AS4" s="21" t="s">
        <v>150</v>
      </c>
      <c r="AT4" s="21" t="s">
        <v>151</v>
      </c>
      <c r="AU4" s="21" t="s">
        <v>152</v>
      </c>
    </row>
    <row r="5" spans="1:47" ht="25.5" customHeight="1">
      <c r="A5" s="22">
        <f t="shared" ref="A5:A20" si="0">IF($G5="","",ROW()-4)</f>
        <v>1</v>
      </c>
      <c r="B5" s="22" t="str">
        <f t="shared" ref="B5:B20" si="1">IF($G5="","",IF($C5&lt;&gt;"",$C5,IF($Q5="","Contact",IF($P5&gt;=1,"Live",IF($P5&gt;=0.8,"Pending Live",IF($P5&gt;=0.7,"Testing",IF($P5&gt;=0.45,"In Development",IF($P5&gt;=0.2,"NDA/Contract","Pipeline"))))))))</f>
        <v>NDA/Contract</v>
      </c>
      <c r="C5" s="23"/>
      <c r="D5" s="23"/>
      <c r="E5" s="13" t="s">
        <v>29</v>
      </c>
      <c r="F5" s="13" t="s">
        <v>203</v>
      </c>
      <c r="G5" s="24" t="s">
        <v>55</v>
      </c>
      <c r="H5" s="13" t="s">
        <v>204</v>
      </c>
      <c r="I5" s="13" t="s">
        <v>205</v>
      </c>
      <c r="J5" s="13" t="s">
        <v>206</v>
      </c>
      <c r="K5" s="22" t="s">
        <v>160</v>
      </c>
      <c r="L5" s="13" t="s">
        <v>207</v>
      </c>
      <c r="M5" s="13" t="s">
        <v>39</v>
      </c>
      <c r="N5" s="13" t="s">
        <v>196</v>
      </c>
      <c r="O5" s="22" t="s">
        <v>208</v>
      </c>
      <c r="P5" s="26">
        <f t="shared" ref="P5:P20" si="2">IF($G5="","",IFERROR(LOOKUP(2,1/($AH5:$AU5&lt;&gt;""),$AH$2:$AU$2),0))</f>
        <v>0.2</v>
      </c>
      <c r="Q5" s="27">
        <f t="shared" ref="Q5:Q20" si="3">IF(COUNT($AH5:$AU5)=0,"",MAX($AH5:$AU5))</f>
        <v>45912</v>
      </c>
      <c r="R5" s="22">
        <f t="shared" ref="R5:R20" ca="1" si="4">IF($Q5="","",TODAY()-$Q5)</f>
        <v>413</v>
      </c>
      <c r="S5" s="13" t="str">
        <f t="shared" ref="S5:S20" ca="1" si="5">IF($G5="","",IF($Q5="","No Record",IF(OR($P5&gt;=1,$C5="Live"),"Live",IF($R5&gt;=90,"Stalled 90d+",IF($R5&gt;=60,"Stalled 60d+",IF($R5&gt;=30,"Stalled 30d+","In Progress"))))))</f>
        <v>Stalled 90d+</v>
      </c>
      <c r="T5" s="13" t="str">
        <f>IF(COUNT($AH5:$AU5)=0,"",LOOKUP(2,1/($AH5:$AU5&lt;&gt;""),{"①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U5" s="22">
        <f t="shared" ref="U5:U20" ca="1" si="6">IF(COUNT($AH5:$AU5)=0,"",IF(N($P5)&gt;=1,MAX($AH5:$AU5),TODAY())-MIN($AH5:$AU5))</f>
        <v>413</v>
      </c>
      <c r="V5" s="22">
        <f>IF($G5="","",COUNTIF('Chase Log'!$B$4:$B$2000,$G5))</f>
        <v>1</v>
      </c>
      <c r="W5" s="27">
        <f>IF(N($V5)=0,"",_xlfn.MAXIFS('Chase Log'!$E$4:$E$2000,'Chase Log'!$B$4:$B$2000,$G5))</f>
        <v>46300</v>
      </c>
      <c r="X5" s="22">
        <f t="shared" ref="X5:X20" ca="1" si="7">IF($W5="","",TODAY()-$W5)</f>
        <v>25</v>
      </c>
      <c r="Y5" s="27" t="str">
        <f>IF($W5="","",IF(OR(AND($Q5&lt;&gt;"",N($Q5)&gt;N($W5)),COUNTIFS('Chase Log'!$B$4:$B$2000,$G5,'Chase Log'!$E$4:$E$2000,$W5,'Chase Log'!$I$4:$I$2000,"Y")&gt;0),"",IF(_xlfn.MAXIFS('Chase Log'!$J$4:$J$2000,'Chase Log'!$B$4:$B$2000,$G5,'Chase Log'!$E$4:$E$2000,$W5)=0,"",_xlfn.MAXIFS('Chase Log'!$J$4:$J$2000,'Chase Log'!$B$4:$B$2000,$G5,'Chase Log'!$E$4:$E$2000,$W5))))</f>
        <v/>
      </c>
      <c r="Z5" s="13" t="str">
        <f ca="1">IF(OR($G5="",N($P5)&gt;=1,$C5="Live",$D5&lt;&gt;""),"",IF(AND($Y5&lt;&gt;"",N($Y5)&gt;0),IF($Y5&lt;TODAY(),"Chase Overdue","Scheduled"),IF(AND($Q5&lt;&gt;"",N($R5)&gt;='안내 Guide'!$D$4,OR($X5="",N($X5)&gt;='안내 Guide'!$D$4)),"Chase Needed","")))</f>
        <v>Chase Needed</v>
      </c>
      <c r="AA5" s="28"/>
      <c r="AB5" s="25"/>
      <c r="AC5" s="25" t="s">
        <v>209</v>
      </c>
      <c r="AD5" s="29" t="s">
        <v>210</v>
      </c>
      <c r="AE5" s="25"/>
      <c r="AF5" s="13" t="s">
        <v>181</v>
      </c>
      <c r="AG5" s="16" t="s">
        <v>168</v>
      </c>
      <c r="AH5" s="30"/>
      <c r="AI5" s="30"/>
      <c r="AJ5" s="30"/>
      <c r="AK5" s="30">
        <v>45912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</row>
    <row r="6" spans="1:47" ht="25.5" customHeight="1">
      <c r="A6" s="22">
        <f t="shared" si="0"/>
        <v>2</v>
      </c>
      <c r="B6" s="22" t="str">
        <f t="shared" si="1"/>
        <v>NDA/Contract</v>
      </c>
      <c r="C6" s="23"/>
      <c r="D6" s="23"/>
      <c r="E6" s="13" t="s">
        <v>30</v>
      </c>
      <c r="F6" s="13" t="s">
        <v>211</v>
      </c>
      <c r="G6" s="24" t="s">
        <v>212</v>
      </c>
      <c r="H6" s="13" t="s">
        <v>213</v>
      </c>
      <c r="I6" s="13" t="s">
        <v>214</v>
      </c>
      <c r="J6" s="13" t="s">
        <v>215</v>
      </c>
      <c r="K6" s="22" t="s">
        <v>194</v>
      </c>
      <c r="L6" s="13" t="s">
        <v>161</v>
      </c>
      <c r="M6" s="13" t="s">
        <v>41</v>
      </c>
      <c r="N6" s="13" t="s">
        <v>162</v>
      </c>
      <c r="O6" s="22" t="s">
        <v>208</v>
      </c>
      <c r="P6" s="26">
        <f t="shared" si="2"/>
        <v>0.2</v>
      </c>
      <c r="Q6" s="27">
        <f t="shared" si="3"/>
        <v>46267</v>
      </c>
      <c r="R6" s="22">
        <f t="shared" ca="1" si="4"/>
        <v>58</v>
      </c>
      <c r="S6" s="13" t="str">
        <f t="shared" ca="1" si="5"/>
        <v>Stalled 30d+</v>
      </c>
      <c r="T6" s="13" t="str">
        <f>IF(COUNT($AH6:$AU6)=0,"",LOOKUP(2,1/($AH6:$AU6&lt;&gt;""),{"①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U6" s="22">
        <f t="shared" ca="1" si="6"/>
        <v>58</v>
      </c>
      <c r="V6" s="22">
        <f>IF($G6="","",COUNTIF('Chase Log'!$B$4:$B$2000,$G6))</f>
        <v>3</v>
      </c>
      <c r="W6" s="27">
        <f>IF(N($V6)=0,"",_xlfn.MAXIFS('Chase Log'!$E$4:$E$2000,'Chase Log'!$B$4:$B$2000,$G6))</f>
        <v>46321</v>
      </c>
      <c r="X6" s="22">
        <f t="shared" ca="1" si="7"/>
        <v>4</v>
      </c>
      <c r="Y6" s="27">
        <f>IF($W6="","",IF(OR(AND($Q6&lt;&gt;"",N($Q6)&gt;N($W6)),COUNTIFS('Chase Log'!$B$4:$B$2000,$G6,'Chase Log'!$E$4:$E$2000,$W6,'Chase Log'!$I$4:$I$2000,"Y")&gt;0),"",IF(_xlfn.MAXIFS('Chase Log'!$J$4:$J$2000,'Chase Log'!$B$4:$B$2000,$G6,'Chase Log'!$E$4:$E$2000,$W6)=0,"",_xlfn.MAXIFS('Chase Log'!$J$4:$J$2000,'Chase Log'!$B$4:$B$2000,$G6,'Chase Log'!$E$4:$E$2000,$W6))))</f>
        <v>46328</v>
      </c>
      <c r="Z6" s="13" t="str">
        <f ca="1">IF(OR($G6="",N($P6)&gt;=1,$C6="Live",$D6&lt;&gt;""),"",IF(AND($Y6&lt;&gt;"",N($Y6)&gt;0),IF($Y6&lt;TODAY(),"Chase Overdue","Scheduled"),IF(AND($Q6&lt;&gt;"",N($R6)&gt;='안내 Guide'!$D$4,OR($X6="",N($X6)&gt;='안내 Guide'!$D$4)),"Chase Needed","")))</f>
        <v>Scheduled</v>
      </c>
      <c r="AA6" s="28"/>
      <c r="AB6" s="25"/>
      <c r="AC6" s="25" t="s">
        <v>216</v>
      </c>
      <c r="AD6" s="29" t="s">
        <v>217</v>
      </c>
      <c r="AE6" s="25"/>
      <c r="AF6" s="13" t="s">
        <v>218</v>
      </c>
      <c r="AG6" s="16" t="s">
        <v>219</v>
      </c>
      <c r="AH6" s="30"/>
      <c r="AI6" s="30"/>
      <c r="AJ6" s="30"/>
      <c r="AK6" s="30">
        <v>46267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</row>
    <row r="7" spans="1:47" ht="25.5" customHeight="1">
      <c r="A7" s="22">
        <f t="shared" si="0"/>
        <v>3</v>
      </c>
      <c r="B7" s="22" t="str">
        <f t="shared" si="1"/>
        <v>NDA/Contract</v>
      </c>
      <c r="C7" s="23"/>
      <c r="D7" s="23"/>
      <c r="E7" s="13" t="s">
        <v>31</v>
      </c>
      <c r="F7" s="13" t="s">
        <v>176</v>
      </c>
      <c r="G7" s="24" t="s">
        <v>220</v>
      </c>
      <c r="H7" s="13" t="s">
        <v>204</v>
      </c>
      <c r="I7" s="13" t="s">
        <v>221</v>
      </c>
      <c r="J7" s="13" t="s">
        <v>215</v>
      </c>
      <c r="K7" s="22" t="s">
        <v>194</v>
      </c>
      <c r="L7" s="13" t="s">
        <v>207</v>
      </c>
      <c r="M7" s="13" t="s">
        <v>40</v>
      </c>
      <c r="N7" s="13" t="s">
        <v>162</v>
      </c>
      <c r="O7" s="22" t="s">
        <v>208</v>
      </c>
      <c r="P7" s="26">
        <f t="shared" si="2"/>
        <v>0.2</v>
      </c>
      <c r="Q7" s="27">
        <f t="shared" si="3"/>
        <v>46267</v>
      </c>
      <c r="R7" s="22">
        <f t="shared" ca="1" si="4"/>
        <v>58</v>
      </c>
      <c r="S7" s="13" t="str">
        <f t="shared" ca="1" si="5"/>
        <v>Stalled 30d+</v>
      </c>
      <c r="T7" s="13" t="str">
        <f>IF(COUNT($AH7:$AU7)=0,"",LOOKUP(2,1/($AH7:$AU7&lt;&gt;""),{"①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U7" s="22">
        <f t="shared" ca="1" si="6"/>
        <v>58</v>
      </c>
      <c r="V7" s="22">
        <f>IF($G7="","",COUNTIF('Chase Log'!$B$4:$B$2000,$G7))</f>
        <v>1</v>
      </c>
      <c r="W7" s="27">
        <f>IF(N($V7)=0,"",_xlfn.MAXIFS('Chase Log'!$E$4:$E$2000,'Chase Log'!$B$4:$B$2000,$G7))</f>
        <v>46300</v>
      </c>
      <c r="X7" s="22">
        <f t="shared" ca="1" si="7"/>
        <v>25</v>
      </c>
      <c r="Y7" s="27" t="str">
        <f>IF($W7="","",IF(OR(AND($Q7&lt;&gt;"",N($Q7)&gt;N($W7)),COUNTIFS('Chase Log'!$B$4:$B$2000,$G7,'Chase Log'!$E$4:$E$2000,$W7,'Chase Log'!$I$4:$I$2000,"Y")&gt;0),"",IF(_xlfn.MAXIFS('Chase Log'!$J$4:$J$2000,'Chase Log'!$B$4:$B$2000,$G7,'Chase Log'!$E$4:$E$2000,$W7)=0,"",_xlfn.MAXIFS('Chase Log'!$J$4:$J$2000,'Chase Log'!$B$4:$B$2000,$G7,'Chase Log'!$E$4:$E$2000,$W7))))</f>
        <v/>
      </c>
      <c r="Z7" s="13" t="str">
        <f ca="1">IF(OR($G7="",N($P7)&gt;=1,$C7="Live",$D7&lt;&gt;""),"",IF(AND($Y7&lt;&gt;"",N($Y7)&gt;0),IF($Y7&lt;TODAY(),"Chase Overdue","Scheduled"),IF(AND($Q7&lt;&gt;"",N($R7)&gt;='안내 Guide'!$D$4,OR($X7="",N($X7)&gt;='안내 Guide'!$D$4)),"Chase Needed","")))</f>
        <v>Chase Needed</v>
      </c>
      <c r="AA7" s="28"/>
      <c r="AB7" s="25"/>
      <c r="AC7" s="25" t="s">
        <v>222</v>
      </c>
      <c r="AD7" s="29" t="s">
        <v>223</v>
      </c>
      <c r="AE7" s="25"/>
      <c r="AF7" s="13" t="s">
        <v>224</v>
      </c>
      <c r="AG7" s="16" t="s">
        <v>168</v>
      </c>
      <c r="AH7" s="30"/>
      <c r="AI7" s="30"/>
      <c r="AJ7" s="30"/>
      <c r="AK7" s="30">
        <v>46267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</row>
    <row r="8" spans="1:47" ht="25.5" customHeight="1">
      <c r="A8" s="22">
        <f t="shared" si="0"/>
        <v>4</v>
      </c>
      <c r="B8" s="22" t="str">
        <f t="shared" si="1"/>
        <v>Contact</v>
      </c>
      <c r="C8" s="23"/>
      <c r="D8" s="23"/>
      <c r="E8" s="13" t="s">
        <v>28</v>
      </c>
      <c r="F8" s="13" t="s">
        <v>225</v>
      </c>
      <c r="G8" s="24" t="s">
        <v>226</v>
      </c>
      <c r="H8" s="13" t="s">
        <v>172</v>
      </c>
      <c r="I8" s="13" t="s">
        <v>170</v>
      </c>
      <c r="J8" s="13" t="s">
        <v>215</v>
      </c>
      <c r="K8" s="22" t="s">
        <v>194</v>
      </c>
      <c r="L8" s="13" t="s">
        <v>178</v>
      </c>
      <c r="M8" s="13" t="s">
        <v>43</v>
      </c>
      <c r="N8" s="13" t="s">
        <v>162</v>
      </c>
      <c r="O8" s="22" t="s">
        <v>208</v>
      </c>
      <c r="P8" s="26">
        <f t="shared" si="2"/>
        <v>0</v>
      </c>
      <c r="Q8" s="27" t="str">
        <f t="shared" si="3"/>
        <v/>
      </c>
      <c r="R8" s="22" t="str">
        <f t="shared" ca="1" si="4"/>
        <v/>
      </c>
      <c r="S8" s="13" t="str">
        <f t="shared" si="5"/>
        <v>No Record</v>
      </c>
      <c r="T8" s="13" t="str">
        <f>IF(COUNT($AH8:$AU8)=0,"",LOOKUP(2,1/($AH8:$AU8&lt;&gt;""),{"①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8" s="22" t="str">
        <f t="shared" ca="1" si="6"/>
        <v/>
      </c>
      <c r="V8" s="22">
        <f>IF($G8="","",COUNTIF('Chase Log'!$B$4:$B$2000,$G8))</f>
        <v>0</v>
      </c>
      <c r="W8" s="27" t="str">
        <f>IF(N($V8)=0,"",_xlfn.MAXIFS('Chase Log'!$E$4:$E$2000,'Chase Log'!$B$4:$B$2000,$G8))</f>
        <v/>
      </c>
      <c r="X8" s="22" t="str">
        <f t="shared" ca="1" si="7"/>
        <v/>
      </c>
      <c r="Y8" s="27" t="str">
        <f>IF($W8="","",IF(OR(AND($Q8&lt;&gt;"",N($Q8)&gt;N($W8)),COUNTIFS('Chase Log'!$B$4:$B$2000,$G8,'Chase Log'!$E$4:$E$2000,$W8,'Chase Log'!$I$4:$I$2000,"Y")&gt;0),"",IF(_xlfn.MAXIFS('Chase Log'!$J$4:$J$2000,'Chase Log'!$B$4:$B$2000,$G8,'Chase Log'!$E$4:$E$2000,$W8)=0,"",_xlfn.MAXIFS('Chase Log'!$J$4:$J$2000,'Chase Log'!$B$4:$B$2000,$G8,'Chase Log'!$E$4:$E$2000,$W8))))</f>
        <v/>
      </c>
      <c r="Z8" s="13" t="str">
        <f ca="1">IF(OR($G8="",N($P8)&gt;=1,$C8="Live",$D8&lt;&gt;""),"",IF(AND($Y8&lt;&gt;"",N($Y8)&gt;0),IF($Y8&lt;TODAY(),"Chase Overdue","Scheduled"),IF(AND($Q8&lt;&gt;"",N($R8)&gt;='안내 Guide'!$D$4,OR($X8="",N($X8)&gt;='안내 Guide'!$D$4)),"Chase Needed","")))</f>
        <v/>
      </c>
      <c r="AA8" s="28"/>
      <c r="AB8" s="25"/>
      <c r="AC8" s="25" t="s">
        <v>227</v>
      </c>
      <c r="AD8" s="29" t="s">
        <v>228</v>
      </c>
      <c r="AE8" s="25"/>
      <c r="AF8" s="13" t="s">
        <v>229</v>
      </c>
      <c r="AG8" s="16" t="s">
        <v>168</v>
      </c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</row>
    <row r="9" spans="1:47" ht="25.5" customHeight="1">
      <c r="A9" s="22">
        <f t="shared" si="0"/>
        <v>5</v>
      </c>
      <c r="B9" s="22" t="str">
        <f t="shared" si="1"/>
        <v>Contact</v>
      </c>
      <c r="C9" s="23"/>
      <c r="D9" s="23"/>
      <c r="E9" s="13" t="s">
        <v>30</v>
      </c>
      <c r="F9" s="13" t="s">
        <v>191</v>
      </c>
      <c r="G9" s="24" t="s">
        <v>230</v>
      </c>
      <c r="H9" s="13" t="s">
        <v>204</v>
      </c>
      <c r="I9" s="13" t="s">
        <v>231</v>
      </c>
      <c r="J9" s="13" t="s">
        <v>215</v>
      </c>
      <c r="K9" s="22" t="s">
        <v>194</v>
      </c>
      <c r="L9" s="13" t="s">
        <v>178</v>
      </c>
      <c r="M9" s="13" t="s">
        <v>40</v>
      </c>
      <c r="N9" s="13" t="s">
        <v>162</v>
      </c>
      <c r="O9" s="22" t="s">
        <v>208</v>
      </c>
      <c r="P9" s="26">
        <f t="shared" si="2"/>
        <v>0</v>
      </c>
      <c r="Q9" s="27" t="str">
        <f t="shared" si="3"/>
        <v/>
      </c>
      <c r="R9" s="22" t="str">
        <f t="shared" ca="1" si="4"/>
        <v/>
      </c>
      <c r="S9" s="13" t="str">
        <f t="shared" si="5"/>
        <v>No Record</v>
      </c>
      <c r="T9" s="13" t="str">
        <f>IF(COUNT($AH9:$AU9)=0,"",LOOKUP(2,1/($AH9:$AU9&lt;&gt;""),{"①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9" s="22" t="str">
        <f t="shared" ca="1" si="6"/>
        <v/>
      </c>
      <c r="V9" s="22">
        <f>IF($G9="","",COUNTIF('Chase Log'!$B$4:$B$2000,$G9))</f>
        <v>4</v>
      </c>
      <c r="W9" s="27">
        <f>IF(N($V9)=0,"",_xlfn.MAXIFS('Chase Log'!$E$4:$E$2000,'Chase Log'!$B$4:$B$2000,$G9))</f>
        <v>46304</v>
      </c>
      <c r="X9" s="22">
        <f t="shared" ca="1" si="7"/>
        <v>21</v>
      </c>
      <c r="Y9" s="27">
        <f>IF($W9="","",IF(OR(AND($Q9&lt;&gt;"",N($Q9)&gt;N($W9)),COUNTIFS('Chase Log'!$B$4:$B$2000,$G9,'Chase Log'!$E$4:$E$2000,$W9,'Chase Log'!$I$4:$I$2000,"Y")&gt;0),"",IF(_xlfn.MAXIFS('Chase Log'!$J$4:$J$2000,'Chase Log'!$B$4:$B$2000,$G9,'Chase Log'!$E$4:$E$2000,$W9)=0,"",_xlfn.MAXIFS('Chase Log'!$J$4:$J$2000,'Chase Log'!$B$4:$B$2000,$G9,'Chase Log'!$E$4:$E$2000,$W9))))</f>
        <v>46311</v>
      </c>
      <c r="Z9" s="13" t="str">
        <f ca="1">IF(OR($G9="",N($P9)&gt;=1,$C9="Live",$D9&lt;&gt;""),"",IF(AND($Y9&lt;&gt;"",N($Y9)&gt;0),IF($Y9&lt;TODAY(),"Chase Overdue","Scheduled"),IF(AND($Q9&lt;&gt;"",N($R9)&gt;='안내 Guide'!$D$4,OR($X9="",N($X9)&gt;='안내 Guide'!$D$4)),"Chase Needed","")))</f>
        <v>Chase Overdue</v>
      </c>
      <c r="AA9" s="28"/>
      <c r="AB9" s="25"/>
      <c r="AC9" s="25" t="s">
        <v>232</v>
      </c>
      <c r="AD9" s="29" t="s">
        <v>233</v>
      </c>
      <c r="AE9" s="25"/>
      <c r="AF9" s="13" t="s">
        <v>234</v>
      </c>
      <c r="AG9" s="16" t="s">
        <v>168</v>
      </c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</row>
    <row r="10" spans="1:47" ht="25.5" customHeight="1">
      <c r="A10" s="22">
        <f t="shared" si="0"/>
        <v>6</v>
      </c>
      <c r="B10" s="22" t="str">
        <f t="shared" si="1"/>
        <v>Contact</v>
      </c>
      <c r="C10" s="23"/>
      <c r="D10" s="23"/>
      <c r="E10" s="13" t="s">
        <v>31</v>
      </c>
      <c r="F10" s="13" t="s">
        <v>176</v>
      </c>
      <c r="G10" s="24" t="s">
        <v>235</v>
      </c>
      <c r="H10" s="13" t="s">
        <v>213</v>
      </c>
      <c r="I10" s="13" t="s">
        <v>170</v>
      </c>
      <c r="J10" s="13" t="s">
        <v>215</v>
      </c>
      <c r="K10" s="22" t="s">
        <v>160</v>
      </c>
      <c r="L10" s="13" t="s">
        <v>207</v>
      </c>
      <c r="M10" s="13" t="s">
        <v>41</v>
      </c>
      <c r="N10" s="13" t="s">
        <v>162</v>
      </c>
      <c r="O10" s="22" t="s">
        <v>208</v>
      </c>
      <c r="P10" s="26">
        <f t="shared" si="2"/>
        <v>0</v>
      </c>
      <c r="Q10" s="27" t="str">
        <f t="shared" si="3"/>
        <v/>
      </c>
      <c r="R10" s="22" t="str">
        <f t="shared" ca="1" si="4"/>
        <v/>
      </c>
      <c r="S10" s="13" t="str">
        <f t="shared" si="5"/>
        <v>No Record</v>
      </c>
      <c r="T10" s="13" t="str">
        <f>IF(COUNT($AH10:$AU10)=0,"",LOOKUP(2,1/($AH10:$AU10&lt;&gt;""),{"①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0" s="22" t="str">
        <f t="shared" ca="1" si="6"/>
        <v/>
      </c>
      <c r="V10" s="22">
        <f>IF($G10="","",COUNTIF('Chase Log'!$B$4:$B$2000,$G10))</f>
        <v>0</v>
      </c>
      <c r="W10" s="27" t="str">
        <f>IF(N($V10)=0,"",_xlfn.MAXIFS('Chase Log'!$E$4:$E$2000,'Chase Log'!$B$4:$B$2000,$G10))</f>
        <v/>
      </c>
      <c r="X10" s="22" t="str">
        <f t="shared" ca="1" si="7"/>
        <v/>
      </c>
      <c r="Y10" s="27" t="str">
        <f>IF($W10="","",IF(OR(AND($Q10&lt;&gt;"",N($Q10)&gt;N($W10)),COUNTIFS('Chase Log'!$B$4:$B$2000,$G10,'Chase Log'!$E$4:$E$2000,$W10,'Chase Log'!$I$4:$I$2000,"Y")&gt;0),"",IF(_xlfn.MAXIFS('Chase Log'!$J$4:$J$2000,'Chase Log'!$B$4:$B$2000,$G10,'Chase Log'!$E$4:$E$2000,$W10)=0,"",_xlfn.MAXIFS('Chase Log'!$J$4:$J$2000,'Chase Log'!$B$4:$B$2000,$G10,'Chase Log'!$E$4:$E$2000,$W10))))</f>
        <v/>
      </c>
      <c r="Z10" s="13" t="str">
        <f ca="1">IF(OR($G10="",N($P10)&gt;=1,$C10="Live",$D10&lt;&gt;""),"",IF(AND($Y10&lt;&gt;"",N($Y10)&gt;0),IF($Y10&lt;TODAY(),"Chase Overdue","Scheduled"),IF(AND($Q10&lt;&gt;"",N($R10)&gt;='안내 Guide'!$D$4,OR($X10="",N($X10)&gt;='안내 Guide'!$D$4)),"Chase Needed","")))</f>
        <v/>
      </c>
      <c r="AA10" s="28"/>
      <c r="AB10" s="25"/>
      <c r="AC10" s="25" t="s">
        <v>236</v>
      </c>
      <c r="AD10" s="29" t="s">
        <v>237</v>
      </c>
      <c r="AE10" s="25"/>
      <c r="AF10" s="13" t="s">
        <v>238</v>
      </c>
      <c r="AG10" s="16" t="s">
        <v>239</v>
      </c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</row>
    <row r="11" spans="1:47" ht="25.5" customHeight="1">
      <c r="A11" s="22">
        <f t="shared" si="0"/>
        <v>7</v>
      </c>
      <c r="B11" s="22" t="str">
        <f t="shared" si="1"/>
        <v>Contact</v>
      </c>
      <c r="C11" s="23"/>
      <c r="D11" s="23"/>
      <c r="E11" s="13" t="s">
        <v>33</v>
      </c>
      <c r="F11" s="13" t="s">
        <v>240</v>
      </c>
      <c r="G11" s="24" t="s">
        <v>241</v>
      </c>
      <c r="H11" s="13" t="s">
        <v>172</v>
      </c>
      <c r="I11" s="13" t="s">
        <v>170</v>
      </c>
      <c r="J11" s="13" t="s">
        <v>159</v>
      </c>
      <c r="K11" s="22" t="s">
        <v>186</v>
      </c>
      <c r="L11" s="13" t="s">
        <v>187</v>
      </c>
      <c r="M11" s="13" t="s">
        <v>40</v>
      </c>
      <c r="N11" s="13" t="s">
        <v>162</v>
      </c>
      <c r="O11" s="22" t="s">
        <v>208</v>
      </c>
      <c r="P11" s="26">
        <f t="shared" si="2"/>
        <v>0</v>
      </c>
      <c r="Q11" s="27" t="str">
        <f t="shared" si="3"/>
        <v/>
      </c>
      <c r="R11" s="22" t="str">
        <f t="shared" ca="1" si="4"/>
        <v/>
      </c>
      <c r="S11" s="13" t="str">
        <f t="shared" si="5"/>
        <v>No Record</v>
      </c>
      <c r="T11" s="13" t="str">
        <f>IF(COUNT($AH11:$AU11)=0,"",LOOKUP(2,1/($AH11:$AU11&lt;&gt;""),{"①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1" s="22" t="str">
        <f t="shared" ca="1" si="6"/>
        <v/>
      </c>
      <c r="V11" s="22">
        <f>IF($G11="","",COUNTIF('Chase Log'!$B$4:$B$2000,$G11))</f>
        <v>0</v>
      </c>
      <c r="W11" s="27" t="str">
        <f>IF(N($V11)=0,"",_xlfn.MAXIFS('Chase Log'!$E$4:$E$2000,'Chase Log'!$B$4:$B$2000,$G11))</f>
        <v/>
      </c>
      <c r="X11" s="22" t="str">
        <f t="shared" ca="1" si="7"/>
        <v/>
      </c>
      <c r="Y11" s="27" t="str">
        <f>IF($W11="","",IF(OR(AND($Q11&lt;&gt;"",N($Q11)&gt;N($W11)),COUNTIFS('Chase Log'!$B$4:$B$2000,$G11,'Chase Log'!$E$4:$E$2000,$W11,'Chase Log'!$I$4:$I$2000,"Y")&gt;0),"",IF(_xlfn.MAXIFS('Chase Log'!$J$4:$J$2000,'Chase Log'!$B$4:$B$2000,$G11,'Chase Log'!$E$4:$E$2000,$W11)=0,"",_xlfn.MAXIFS('Chase Log'!$J$4:$J$2000,'Chase Log'!$B$4:$B$2000,$G11,'Chase Log'!$E$4:$E$2000,$W11))))</f>
        <v/>
      </c>
      <c r="Z11" s="13" t="str">
        <f ca="1">IF(OR($G11="",N($P11)&gt;=1,$C11="Live",$D11&lt;&gt;""),"",IF(AND($Y11&lt;&gt;"",N($Y11)&gt;0),IF($Y11&lt;TODAY(),"Chase Overdue","Scheduled"),IF(AND($Q11&lt;&gt;"",N($R11)&gt;='안내 Guide'!$D$4,OR($X11="",N($X11)&gt;='안내 Guide'!$D$4)),"Chase Needed","")))</f>
        <v/>
      </c>
      <c r="AA11" s="28"/>
      <c r="AB11" s="25"/>
      <c r="AC11" s="25"/>
      <c r="AD11" s="29"/>
      <c r="AE11" s="25"/>
      <c r="AF11" s="13"/>
      <c r="AG11" s="16" t="s">
        <v>168</v>
      </c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</row>
    <row r="12" spans="1:47" ht="25.5" customHeight="1">
      <c r="A12" s="22">
        <f t="shared" si="0"/>
        <v>8</v>
      </c>
      <c r="B12" s="22" t="str">
        <f t="shared" si="1"/>
        <v>Contact</v>
      </c>
      <c r="C12" s="23"/>
      <c r="D12" s="23"/>
      <c r="E12" s="13" t="s">
        <v>34</v>
      </c>
      <c r="F12" s="13" t="s">
        <v>169</v>
      </c>
      <c r="G12" s="24" t="s">
        <v>242</v>
      </c>
      <c r="H12" s="13" t="s">
        <v>213</v>
      </c>
      <c r="I12" s="13" t="s">
        <v>170</v>
      </c>
      <c r="J12" s="13" t="s">
        <v>206</v>
      </c>
      <c r="K12" s="22" t="s">
        <v>160</v>
      </c>
      <c r="L12" s="13" t="s">
        <v>207</v>
      </c>
      <c r="M12" s="13" t="s">
        <v>41</v>
      </c>
      <c r="N12" s="13" t="s">
        <v>188</v>
      </c>
      <c r="O12" s="22" t="s">
        <v>208</v>
      </c>
      <c r="P12" s="26">
        <f t="shared" si="2"/>
        <v>0</v>
      </c>
      <c r="Q12" s="27" t="str">
        <f t="shared" si="3"/>
        <v/>
      </c>
      <c r="R12" s="22" t="str">
        <f t="shared" ca="1" si="4"/>
        <v/>
      </c>
      <c r="S12" s="13" t="str">
        <f t="shared" si="5"/>
        <v>No Record</v>
      </c>
      <c r="T12" s="13" t="str">
        <f>IF(COUNT($AH12:$AU12)=0,"",LOOKUP(2,1/($AH12:$AU12&lt;&gt;""),{"①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2" s="22" t="str">
        <f t="shared" ca="1" si="6"/>
        <v/>
      </c>
      <c r="V12" s="22">
        <f>IF($G12="","",COUNTIF('Chase Log'!$B$4:$B$2000,$G12))</f>
        <v>0</v>
      </c>
      <c r="W12" s="27" t="str">
        <f>IF(N($V12)=0,"",_xlfn.MAXIFS('Chase Log'!$E$4:$E$2000,'Chase Log'!$B$4:$B$2000,$G12))</f>
        <v/>
      </c>
      <c r="X12" s="22" t="str">
        <f t="shared" ca="1" si="7"/>
        <v/>
      </c>
      <c r="Y12" s="27" t="str">
        <f>IF($W12="","",IF(OR(AND($Q12&lt;&gt;"",N($Q12)&gt;N($W12)),COUNTIFS('Chase Log'!$B$4:$B$2000,$G12,'Chase Log'!$E$4:$E$2000,$W12,'Chase Log'!$I$4:$I$2000,"Y")&gt;0),"",IF(_xlfn.MAXIFS('Chase Log'!$J$4:$J$2000,'Chase Log'!$B$4:$B$2000,$G12,'Chase Log'!$E$4:$E$2000,$W12)=0,"",_xlfn.MAXIFS('Chase Log'!$J$4:$J$2000,'Chase Log'!$B$4:$B$2000,$G12,'Chase Log'!$E$4:$E$2000,$W12))))</f>
        <v/>
      </c>
      <c r="Z12" s="13" t="str">
        <f ca="1">IF(OR($G12="",N($P12)&gt;=1,$C12="Live",$D12&lt;&gt;""),"",IF(AND($Y12&lt;&gt;"",N($Y12)&gt;0),IF($Y12&lt;TODAY(),"Chase Overdue","Scheduled"),IF(AND($Q12&lt;&gt;"",N($R12)&gt;='안내 Guide'!$D$4,OR($X12="",N($X12)&gt;='안내 Guide'!$D$4)),"Chase Needed","")))</f>
        <v/>
      </c>
      <c r="AA12" s="28"/>
      <c r="AB12" s="25"/>
      <c r="AC12" s="25" t="s">
        <v>243</v>
      </c>
      <c r="AD12" s="29" t="s">
        <v>244</v>
      </c>
      <c r="AE12" s="25"/>
      <c r="AF12" s="13" t="s">
        <v>245</v>
      </c>
      <c r="AG12" s="16" t="s">
        <v>168</v>
      </c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</row>
    <row r="13" spans="1:47" ht="25.5" customHeight="1">
      <c r="A13" s="22">
        <f t="shared" si="0"/>
        <v>9</v>
      </c>
      <c r="B13" s="22" t="str">
        <f t="shared" si="1"/>
        <v>Contact</v>
      </c>
      <c r="C13" s="23"/>
      <c r="D13" s="23"/>
      <c r="E13" s="13" t="s">
        <v>34</v>
      </c>
      <c r="F13" s="13" t="s">
        <v>169</v>
      </c>
      <c r="G13" s="24" t="s">
        <v>246</v>
      </c>
      <c r="H13" s="13" t="s">
        <v>213</v>
      </c>
      <c r="I13" s="13" t="s">
        <v>247</v>
      </c>
      <c r="J13" s="13" t="s">
        <v>215</v>
      </c>
      <c r="K13" s="22" t="s">
        <v>160</v>
      </c>
      <c r="L13" s="13" t="s">
        <v>207</v>
      </c>
      <c r="M13" s="13" t="s">
        <v>41</v>
      </c>
      <c r="N13" s="13" t="s">
        <v>162</v>
      </c>
      <c r="O13" s="22" t="s">
        <v>208</v>
      </c>
      <c r="P13" s="26">
        <f t="shared" si="2"/>
        <v>0</v>
      </c>
      <c r="Q13" s="27" t="str">
        <f t="shared" si="3"/>
        <v/>
      </c>
      <c r="R13" s="22" t="str">
        <f t="shared" ca="1" si="4"/>
        <v/>
      </c>
      <c r="S13" s="13" t="str">
        <f t="shared" si="5"/>
        <v>No Record</v>
      </c>
      <c r="T13" s="13" t="str">
        <f>IF(COUNT($AH13:$AU13)=0,"",LOOKUP(2,1/($AH13:$AU13&lt;&gt;""),{"①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3" s="22" t="str">
        <f t="shared" ca="1" si="6"/>
        <v/>
      </c>
      <c r="V13" s="22">
        <f>IF($G13="","",COUNTIF('Chase Log'!$B$4:$B$2000,$G13))</f>
        <v>1</v>
      </c>
      <c r="W13" s="27">
        <f>IF(N($V13)=0,"",_xlfn.MAXIFS('Chase Log'!$E$4:$E$2000,'Chase Log'!$B$4:$B$2000,$G13))</f>
        <v>46323</v>
      </c>
      <c r="X13" s="22">
        <f t="shared" ca="1" si="7"/>
        <v>2</v>
      </c>
      <c r="Y13" s="27">
        <f>IF($W13="","",IF(OR(AND($Q13&lt;&gt;"",N($Q13)&gt;N($W13)),COUNTIFS('Chase Log'!$B$4:$B$2000,$G13,'Chase Log'!$E$4:$E$2000,$W13,'Chase Log'!$I$4:$I$2000,"Y")&gt;0),"",IF(_xlfn.MAXIFS('Chase Log'!$J$4:$J$2000,'Chase Log'!$B$4:$B$2000,$G13,'Chase Log'!$E$4:$E$2000,$W13)=0,"",_xlfn.MAXIFS('Chase Log'!$J$4:$J$2000,'Chase Log'!$B$4:$B$2000,$G13,'Chase Log'!$E$4:$E$2000,$W13))))</f>
        <v>46330</v>
      </c>
      <c r="Z13" s="13" t="str">
        <f ca="1">IF(OR($G13="",N($P13)&gt;=1,$C13="Live",$D13&lt;&gt;""),"",IF(AND($Y13&lt;&gt;"",N($Y13)&gt;0),IF($Y13&lt;TODAY(),"Chase Overdue","Scheduled"),IF(AND($Q13&lt;&gt;"",N($R13)&gt;='안내 Guide'!$D$4,OR($X13="",N($X13)&gt;='안내 Guide'!$D$4)),"Chase Needed","")))</f>
        <v>Scheduled</v>
      </c>
      <c r="AA13" s="28"/>
      <c r="AB13" s="25"/>
      <c r="AC13" s="25" t="s">
        <v>248</v>
      </c>
      <c r="AD13" s="29" t="s">
        <v>249</v>
      </c>
      <c r="AE13" s="25"/>
      <c r="AF13" s="13" t="s">
        <v>250</v>
      </c>
      <c r="AG13" s="16" t="s">
        <v>239</v>
      </c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</row>
    <row r="14" spans="1:47" ht="25.5" customHeight="1">
      <c r="A14" s="22">
        <f t="shared" si="0"/>
        <v>10</v>
      </c>
      <c r="B14" s="22" t="str">
        <f t="shared" si="1"/>
        <v>Contact</v>
      </c>
      <c r="C14" s="23"/>
      <c r="D14" s="23"/>
      <c r="E14" s="13" t="s">
        <v>34</v>
      </c>
      <c r="F14" s="13" t="s">
        <v>169</v>
      </c>
      <c r="G14" s="24" t="s">
        <v>251</v>
      </c>
      <c r="H14" s="13" t="s">
        <v>213</v>
      </c>
      <c r="I14" s="13" t="s">
        <v>154</v>
      </c>
      <c r="J14" s="13" t="s">
        <v>252</v>
      </c>
      <c r="K14" s="22" t="s">
        <v>194</v>
      </c>
      <c r="L14" s="13" t="s">
        <v>207</v>
      </c>
      <c r="M14" s="13" t="s">
        <v>41</v>
      </c>
      <c r="N14" s="13" t="s">
        <v>162</v>
      </c>
      <c r="O14" s="22" t="s">
        <v>208</v>
      </c>
      <c r="P14" s="26">
        <f t="shared" si="2"/>
        <v>0</v>
      </c>
      <c r="Q14" s="27" t="str">
        <f t="shared" si="3"/>
        <v/>
      </c>
      <c r="R14" s="22" t="str">
        <f t="shared" ca="1" si="4"/>
        <v/>
      </c>
      <c r="S14" s="13" t="str">
        <f t="shared" si="5"/>
        <v>No Record</v>
      </c>
      <c r="T14" s="13" t="str">
        <f>IF(COUNT($AH14:$AU14)=0,"",LOOKUP(2,1/($AH14:$AU14&lt;&gt;""),{"①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4" s="22" t="str">
        <f t="shared" ca="1" si="6"/>
        <v/>
      </c>
      <c r="V14" s="22">
        <f>IF($G14="","",COUNTIF('Chase Log'!$B$4:$B$2000,$G14))</f>
        <v>5</v>
      </c>
      <c r="W14" s="27">
        <f>IF(N($V14)=0,"",_xlfn.MAXIFS('Chase Log'!$E$4:$E$2000,'Chase Log'!$B$4:$B$2000,$G14))</f>
        <v>46325</v>
      </c>
      <c r="X14" s="22">
        <f t="shared" ca="1" si="7"/>
        <v>0</v>
      </c>
      <c r="Y14" s="27">
        <f>IF($W14="","",IF(OR(AND($Q14&lt;&gt;"",N($Q14)&gt;N($W14)),COUNTIFS('Chase Log'!$B$4:$B$2000,$G14,'Chase Log'!$E$4:$E$2000,$W14,'Chase Log'!$I$4:$I$2000,"Y")&gt;0),"",IF(_xlfn.MAXIFS('Chase Log'!$J$4:$J$2000,'Chase Log'!$B$4:$B$2000,$G14,'Chase Log'!$E$4:$E$2000,$W14)=0,"",_xlfn.MAXIFS('Chase Log'!$J$4:$J$2000,'Chase Log'!$B$4:$B$2000,$G14,'Chase Log'!$E$4:$E$2000,$W14))))</f>
        <v>46332</v>
      </c>
      <c r="Z14" s="13" t="str">
        <f ca="1">IF(OR($G14="",N($P14)&gt;=1,$C14="Live",$D14&lt;&gt;""),"",IF(AND($Y14&lt;&gt;"",N($Y14)&gt;0),IF($Y14&lt;TODAY(),"Chase Overdue","Scheduled"),IF(AND($Q14&lt;&gt;"",N($R14)&gt;='안내 Guide'!$D$4,OR($X14="",N($X14)&gt;='안내 Guide'!$D$4)),"Chase Needed","")))</f>
        <v>Scheduled</v>
      </c>
      <c r="AA14" s="28"/>
      <c r="AB14" s="25"/>
      <c r="AC14" s="25" t="s">
        <v>253</v>
      </c>
      <c r="AD14" s="29" t="s">
        <v>254</v>
      </c>
      <c r="AE14" s="25"/>
      <c r="AF14" s="13" t="s">
        <v>255</v>
      </c>
      <c r="AG14" s="16" t="s">
        <v>168</v>
      </c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</row>
    <row r="15" spans="1:47" ht="25.5" customHeight="1">
      <c r="A15" s="22">
        <f t="shared" si="0"/>
        <v>11</v>
      </c>
      <c r="B15" s="22" t="str">
        <f t="shared" si="1"/>
        <v>Contact</v>
      </c>
      <c r="C15" s="23"/>
      <c r="D15" s="23"/>
      <c r="E15" s="13" t="s">
        <v>34</v>
      </c>
      <c r="F15" s="13" t="s">
        <v>169</v>
      </c>
      <c r="G15" s="24" t="s">
        <v>256</v>
      </c>
      <c r="H15" s="13" t="s">
        <v>213</v>
      </c>
      <c r="I15" s="13" t="s">
        <v>170</v>
      </c>
      <c r="J15" s="13" t="s">
        <v>257</v>
      </c>
      <c r="K15" s="22" t="s">
        <v>194</v>
      </c>
      <c r="L15" s="13" t="s">
        <v>207</v>
      </c>
      <c r="M15" s="13" t="s">
        <v>41</v>
      </c>
      <c r="N15" s="13" t="s">
        <v>196</v>
      </c>
      <c r="O15" s="22" t="s">
        <v>208</v>
      </c>
      <c r="P15" s="26">
        <f t="shared" si="2"/>
        <v>0</v>
      </c>
      <c r="Q15" s="27" t="str">
        <f t="shared" si="3"/>
        <v/>
      </c>
      <c r="R15" s="22" t="str">
        <f t="shared" ca="1" si="4"/>
        <v/>
      </c>
      <c r="S15" s="13" t="str">
        <f t="shared" si="5"/>
        <v>No Record</v>
      </c>
      <c r="T15" s="13" t="str">
        <f>IF(COUNT($AH15:$AU15)=0,"",LOOKUP(2,1/($AH15:$AU15&lt;&gt;""),{"①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5" s="22" t="str">
        <f t="shared" ca="1" si="6"/>
        <v/>
      </c>
      <c r="V15" s="22">
        <f>IF($G15="","",COUNTIF('Chase Log'!$B$4:$B$2000,$G15))</f>
        <v>4</v>
      </c>
      <c r="W15" s="27">
        <f>IF(N($V15)=0,"",_xlfn.MAXIFS('Chase Log'!$E$4:$E$2000,'Chase Log'!$B$4:$B$2000,$G15))</f>
        <v>46323</v>
      </c>
      <c r="X15" s="22">
        <f t="shared" ca="1" si="7"/>
        <v>2</v>
      </c>
      <c r="Y15" s="27">
        <f>IF($W15="","",IF(OR(AND($Q15&lt;&gt;"",N($Q15)&gt;N($W15)),COUNTIFS('Chase Log'!$B$4:$B$2000,$G15,'Chase Log'!$E$4:$E$2000,$W15,'Chase Log'!$I$4:$I$2000,"Y")&gt;0),"",IF(_xlfn.MAXIFS('Chase Log'!$J$4:$J$2000,'Chase Log'!$B$4:$B$2000,$G15,'Chase Log'!$E$4:$E$2000,$W15)=0,"",_xlfn.MAXIFS('Chase Log'!$J$4:$J$2000,'Chase Log'!$B$4:$B$2000,$G15,'Chase Log'!$E$4:$E$2000,$W15))))</f>
        <v>46330</v>
      </c>
      <c r="Z15" s="13" t="str">
        <f ca="1">IF(OR($G15="",N($P15)&gt;=1,$C15="Live",$D15&lt;&gt;""),"",IF(AND($Y15&lt;&gt;"",N($Y15)&gt;0),IF($Y15&lt;TODAY(),"Chase Overdue","Scheduled"),IF(AND($Q15&lt;&gt;"",N($R15)&gt;='안내 Guide'!$D$4,OR($X15="",N($X15)&gt;='안내 Guide'!$D$4)),"Chase Needed","")))</f>
        <v>Scheduled</v>
      </c>
      <c r="AA15" s="28"/>
      <c r="AB15" s="25"/>
      <c r="AC15" s="25" t="s">
        <v>258</v>
      </c>
      <c r="AD15" s="29" t="s">
        <v>259</v>
      </c>
      <c r="AE15" s="25"/>
      <c r="AF15" s="13" t="s">
        <v>260</v>
      </c>
      <c r="AG15" s="16" t="s">
        <v>168</v>
      </c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</row>
    <row r="16" spans="1:47" ht="25.5" customHeight="1">
      <c r="A16" s="22">
        <f t="shared" si="0"/>
        <v>12</v>
      </c>
      <c r="B16" s="22" t="str">
        <f t="shared" si="1"/>
        <v>Contact</v>
      </c>
      <c r="C16" s="23"/>
      <c r="D16" s="23"/>
      <c r="E16" s="13" t="s">
        <v>30</v>
      </c>
      <c r="F16" s="13" t="s">
        <v>211</v>
      </c>
      <c r="G16" s="24" t="s">
        <v>261</v>
      </c>
      <c r="H16" s="13" t="s">
        <v>213</v>
      </c>
      <c r="I16" s="13" t="s">
        <v>262</v>
      </c>
      <c r="J16" s="13"/>
      <c r="K16" s="22"/>
      <c r="L16" s="13" t="s">
        <v>178</v>
      </c>
      <c r="M16" s="13" t="s">
        <v>41</v>
      </c>
      <c r="N16" s="13"/>
      <c r="O16" s="22" t="s">
        <v>208</v>
      </c>
      <c r="P16" s="26">
        <f t="shared" si="2"/>
        <v>0</v>
      </c>
      <c r="Q16" s="27" t="str">
        <f t="shared" si="3"/>
        <v/>
      </c>
      <c r="R16" s="22" t="str">
        <f t="shared" ca="1" si="4"/>
        <v/>
      </c>
      <c r="S16" s="13" t="str">
        <f t="shared" si="5"/>
        <v>No Record</v>
      </c>
      <c r="T16" s="13" t="str">
        <f>IF(COUNT($AH16:$AU16)=0,"",LOOKUP(2,1/($AH16:$AU16&lt;&gt;""),{"①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6" s="22" t="str">
        <f t="shared" ca="1" si="6"/>
        <v/>
      </c>
      <c r="V16" s="22">
        <f>IF($G16="","",COUNTIF('Chase Log'!$B$4:$B$2000,$G16))</f>
        <v>1</v>
      </c>
      <c r="W16" s="27">
        <f>IF(N($V16)=0,"",_xlfn.MAXIFS('Chase Log'!$E$4:$E$2000,'Chase Log'!$B$4:$B$2000,$G16))</f>
        <v>46323</v>
      </c>
      <c r="X16" s="22">
        <f t="shared" ca="1" si="7"/>
        <v>2</v>
      </c>
      <c r="Y16" s="27">
        <f>IF($W16="","",IF(OR(AND($Q16&lt;&gt;"",N($Q16)&gt;N($W16)),COUNTIFS('Chase Log'!$B$4:$B$2000,$G16,'Chase Log'!$E$4:$E$2000,$W16,'Chase Log'!$I$4:$I$2000,"Y")&gt;0),"",IF(_xlfn.MAXIFS('Chase Log'!$J$4:$J$2000,'Chase Log'!$B$4:$B$2000,$G16,'Chase Log'!$E$4:$E$2000,$W16)=0,"",_xlfn.MAXIFS('Chase Log'!$J$4:$J$2000,'Chase Log'!$B$4:$B$2000,$G16,'Chase Log'!$E$4:$E$2000,$W16))))</f>
        <v>46330</v>
      </c>
      <c r="Z16" s="13" t="str">
        <f ca="1">IF(OR($G16="",N($P16)&gt;=1,$C16="Live",$D16&lt;&gt;""),"",IF(AND($Y16&lt;&gt;"",N($Y16)&gt;0),IF($Y16&lt;TODAY(),"Chase Overdue","Scheduled"),IF(AND($Q16&lt;&gt;"",N($R16)&gt;='안내 Guide'!$D$4,OR($X16="",N($X16)&gt;='안내 Guide'!$D$4)),"Chase Needed","")))</f>
        <v>Scheduled</v>
      </c>
      <c r="AA16" s="28"/>
      <c r="AB16" s="25"/>
      <c r="AC16" s="25" t="s">
        <v>263</v>
      </c>
      <c r="AD16" s="29" t="s">
        <v>264</v>
      </c>
      <c r="AE16" s="25"/>
      <c r="AF16" s="13" t="s">
        <v>245</v>
      </c>
      <c r="AG16" s="16" t="s">
        <v>182</v>
      </c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</row>
    <row r="17" spans="1:47" ht="25.5" customHeight="1">
      <c r="A17" s="22">
        <f t="shared" si="0"/>
        <v>13</v>
      </c>
      <c r="B17" s="22" t="str">
        <f t="shared" si="1"/>
        <v>Contact</v>
      </c>
      <c r="C17" s="23"/>
      <c r="D17" s="23"/>
      <c r="E17" s="13" t="s">
        <v>31</v>
      </c>
      <c r="F17" s="13" t="s">
        <v>176</v>
      </c>
      <c r="G17" s="24" t="s">
        <v>265</v>
      </c>
      <c r="H17" s="13" t="s">
        <v>213</v>
      </c>
      <c r="I17" s="13" t="s">
        <v>266</v>
      </c>
      <c r="J17" s="13"/>
      <c r="K17" s="22"/>
      <c r="L17" s="13" t="s">
        <v>267</v>
      </c>
      <c r="M17" s="13" t="s">
        <v>41</v>
      </c>
      <c r="N17" s="13"/>
      <c r="O17" s="22" t="s">
        <v>208</v>
      </c>
      <c r="P17" s="26">
        <f t="shared" si="2"/>
        <v>0</v>
      </c>
      <c r="Q17" s="27" t="str">
        <f t="shared" si="3"/>
        <v/>
      </c>
      <c r="R17" s="22" t="str">
        <f t="shared" ca="1" si="4"/>
        <v/>
      </c>
      <c r="S17" s="13" t="str">
        <f t="shared" si="5"/>
        <v>No Record</v>
      </c>
      <c r="T17" s="13" t="str">
        <f>IF(COUNT($AH17:$AU17)=0,"",LOOKUP(2,1/($AH17:$AU17&lt;&gt;""),{"①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7" s="22" t="str">
        <f t="shared" ca="1" si="6"/>
        <v/>
      </c>
      <c r="V17" s="22">
        <f>IF($G17="","",COUNTIF('Chase Log'!$B$4:$B$2000,$G17))</f>
        <v>1</v>
      </c>
      <c r="W17" s="27">
        <f>IF(N($V17)=0,"",_xlfn.MAXIFS('Chase Log'!$E$4:$E$2000,'Chase Log'!$B$4:$B$2000,$G17))</f>
        <v>46300</v>
      </c>
      <c r="X17" s="22">
        <f t="shared" ca="1" si="7"/>
        <v>25</v>
      </c>
      <c r="Y17" s="27">
        <f>IF($W17="","",IF(OR(AND($Q17&lt;&gt;"",N($Q17)&gt;N($W17)),COUNTIFS('Chase Log'!$B$4:$B$2000,$G17,'Chase Log'!$E$4:$E$2000,$W17,'Chase Log'!$I$4:$I$2000,"Y")&gt;0),"",IF(_xlfn.MAXIFS('Chase Log'!$J$4:$J$2000,'Chase Log'!$B$4:$B$2000,$G17,'Chase Log'!$E$4:$E$2000,$W17)=0,"",_xlfn.MAXIFS('Chase Log'!$J$4:$J$2000,'Chase Log'!$B$4:$B$2000,$G17,'Chase Log'!$E$4:$E$2000,$W17))))</f>
        <v>46307</v>
      </c>
      <c r="Z17" s="13" t="str">
        <f ca="1">IF(OR($G17="",N($P17)&gt;=1,$C17="Live",$D17&lt;&gt;""),"",IF(AND($Y17&lt;&gt;"",N($Y17)&gt;0),IF($Y17&lt;TODAY(),"Chase Overdue","Scheduled"),IF(AND($Q17&lt;&gt;"",N($R17)&gt;='안내 Guide'!$D$4,OR($X17="",N($X17)&gt;='안내 Guide'!$D$4)),"Chase Needed","")))</f>
        <v>Chase Overdue</v>
      </c>
      <c r="AA17" s="28"/>
      <c r="AB17" s="25"/>
      <c r="AC17" s="25" t="s">
        <v>268</v>
      </c>
      <c r="AD17" s="29" t="s">
        <v>269</v>
      </c>
      <c r="AE17" s="25"/>
      <c r="AF17" s="13"/>
      <c r="AG17" s="16" t="s">
        <v>182</v>
      </c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</row>
    <row r="18" spans="1:47" ht="25.5" customHeight="1">
      <c r="A18" s="22">
        <f t="shared" si="0"/>
        <v>14</v>
      </c>
      <c r="B18" s="22" t="str">
        <f t="shared" si="1"/>
        <v>Contact</v>
      </c>
      <c r="C18" s="23"/>
      <c r="D18" s="23"/>
      <c r="E18" s="13" t="s">
        <v>31</v>
      </c>
      <c r="F18" s="13" t="s">
        <v>176</v>
      </c>
      <c r="G18" s="24" t="s">
        <v>270</v>
      </c>
      <c r="H18" s="13" t="s">
        <v>204</v>
      </c>
      <c r="I18" s="13" t="s">
        <v>271</v>
      </c>
      <c r="J18" s="13"/>
      <c r="K18" s="22"/>
      <c r="L18" s="13" t="s">
        <v>178</v>
      </c>
      <c r="M18" s="13" t="s">
        <v>40</v>
      </c>
      <c r="N18" s="13"/>
      <c r="O18" s="22" t="s">
        <v>208</v>
      </c>
      <c r="P18" s="26">
        <f t="shared" si="2"/>
        <v>0</v>
      </c>
      <c r="Q18" s="27" t="str">
        <f t="shared" si="3"/>
        <v/>
      </c>
      <c r="R18" s="22" t="str">
        <f t="shared" ca="1" si="4"/>
        <v/>
      </c>
      <c r="S18" s="13" t="str">
        <f t="shared" si="5"/>
        <v>No Record</v>
      </c>
      <c r="T18" s="13" t="str">
        <f>IF(COUNT($AH18:$AU18)=0,"",LOOKUP(2,1/($AH18:$AU18&lt;&gt;""),{"①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8" s="22" t="str">
        <f t="shared" ca="1" si="6"/>
        <v/>
      </c>
      <c r="V18" s="22">
        <f>IF($G18="","",COUNTIF('Chase Log'!$B$4:$B$2000,$G18))</f>
        <v>4</v>
      </c>
      <c r="W18" s="27">
        <f>IF(N($V18)=0,"",_xlfn.MAXIFS('Chase Log'!$E$4:$E$2000,'Chase Log'!$B$4:$B$2000,$G18))</f>
        <v>46324</v>
      </c>
      <c r="X18" s="22">
        <f t="shared" ca="1" si="7"/>
        <v>1</v>
      </c>
      <c r="Y18" s="27">
        <f>IF($W18="","",IF(OR(AND($Q18&lt;&gt;"",N($Q18)&gt;N($W18)),COUNTIFS('Chase Log'!$B$4:$B$2000,$G18,'Chase Log'!$E$4:$E$2000,$W18,'Chase Log'!$I$4:$I$2000,"Y")&gt;0),"",IF(_xlfn.MAXIFS('Chase Log'!$J$4:$J$2000,'Chase Log'!$B$4:$B$2000,$G18,'Chase Log'!$E$4:$E$2000,$W18)=0,"",_xlfn.MAXIFS('Chase Log'!$J$4:$J$2000,'Chase Log'!$B$4:$B$2000,$G18,'Chase Log'!$E$4:$E$2000,$W18))))</f>
        <v>46331</v>
      </c>
      <c r="Z18" s="13" t="str">
        <f ca="1">IF(OR($G18="",N($P18)&gt;=1,$C18="Live",$D18&lt;&gt;""),"",IF(AND($Y18&lt;&gt;"",N($Y18)&gt;0),IF($Y18&lt;TODAY(),"Chase Overdue","Scheduled"),IF(AND($Q18&lt;&gt;"",N($R18)&gt;='안내 Guide'!$D$4,OR($X18="",N($X18)&gt;='안내 Guide'!$D$4)),"Chase Needed","")))</f>
        <v>Scheduled</v>
      </c>
      <c r="AA18" s="28"/>
      <c r="AB18" s="25"/>
      <c r="AC18" s="25" t="s">
        <v>272</v>
      </c>
      <c r="AD18" s="29" t="s">
        <v>273</v>
      </c>
      <c r="AE18" s="25"/>
      <c r="AF18" s="13" t="s">
        <v>181</v>
      </c>
      <c r="AG18" s="16" t="s">
        <v>182</v>
      </c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</row>
    <row r="19" spans="1:47" ht="25.5" customHeight="1">
      <c r="A19" s="22">
        <f t="shared" si="0"/>
        <v>15</v>
      </c>
      <c r="B19" s="22" t="str">
        <f t="shared" si="1"/>
        <v>Contact</v>
      </c>
      <c r="C19" s="23"/>
      <c r="D19" s="23"/>
      <c r="E19" s="13" t="s">
        <v>33</v>
      </c>
      <c r="F19" s="13" t="s">
        <v>240</v>
      </c>
      <c r="G19" s="24" t="s">
        <v>274</v>
      </c>
      <c r="H19" s="13" t="s">
        <v>213</v>
      </c>
      <c r="I19" s="13" t="s">
        <v>275</v>
      </c>
      <c r="J19" s="13"/>
      <c r="K19" s="22"/>
      <c r="L19" s="13" t="s">
        <v>178</v>
      </c>
      <c r="M19" s="13" t="s">
        <v>41</v>
      </c>
      <c r="N19" s="13"/>
      <c r="O19" s="22" t="s">
        <v>208</v>
      </c>
      <c r="P19" s="26">
        <f t="shared" si="2"/>
        <v>0</v>
      </c>
      <c r="Q19" s="27" t="str">
        <f t="shared" si="3"/>
        <v/>
      </c>
      <c r="R19" s="22" t="str">
        <f t="shared" ca="1" si="4"/>
        <v/>
      </c>
      <c r="S19" s="13" t="str">
        <f t="shared" si="5"/>
        <v>No Record</v>
      </c>
      <c r="T19" s="13" t="str">
        <f>IF(COUNT($AH19:$AU19)=0,"",LOOKUP(2,1/($AH19:$AU19&lt;&gt;""),{"①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19" s="22" t="str">
        <f t="shared" ca="1" si="6"/>
        <v/>
      </c>
      <c r="V19" s="22">
        <f>IF($G19="","",COUNTIF('Chase Log'!$B$4:$B$2000,$G19))</f>
        <v>2</v>
      </c>
      <c r="W19" s="27">
        <f>IF(N($V19)=0,"",_xlfn.MAXIFS('Chase Log'!$E$4:$E$2000,'Chase Log'!$B$4:$B$2000,$G19))</f>
        <v>46302</v>
      </c>
      <c r="X19" s="22">
        <f t="shared" ca="1" si="7"/>
        <v>23</v>
      </c>
      <c r="Y19" s="27">
        <f>IF($W19="","",IF(OR(AND($Q19&lt;&gt;"",N($Q19)&gt;N($W19)),COUNTIFS('Chase Log'!$B$4:$B$2000,$G19,'Chase Log'!$E$4:$E$2000,$W19,'Chase Log'!$I$4:$I$2000,"Y")&gt;0),"",IF(_xlfn.MAXIFS('Chase Log'!$J$4:$J$2000,'Chase Log'!$B$4:$B$2000,$G19,'Chase Log'!$E$4:$E$2000,$W19)=0,"",_xlfn.MAXIFS('Chase Log'!$J$4:$J$2000,'Chase Log'!$B$4:$B$2000,$G19,'Chase Log'!$E$4:$E$2000,$W19))))</f>
        <v>46309</v>
      </c>
      <c r="Z19" s="13" t="str">
        <f ca="1">IF(OR($G19="",N($P19)&gt;=1,$C19="Live",$D19&lt;&gt;""),"",IF(AND($Y19&lt;&gt;"",N($Y19)&gt;0),IF($Y19&lt;TODAY(),"Chase Overdue","Scheduled"),IF(AND($Q19&lt;&gt;"",N($R19)&gt;='안내 Guide'!$D$4,OR($X19="",N($X19)&gt;='안내 Guide'!$D$4)),"Chase Needed","")))</f>
        <v>Chase Overdue</v>
      </c>
      <c r="AA19" s="28"/>
      <c r="AB19" s="25"/>
      <c r="AC19" s="25" t="s">
        <v>276</v>
      </c>
      <c r="AD19" s="29" t="s">
        <v>277</v>
      </c>
      <c r="AE19" s="25"/>
      <c r="AF19" s="13" t="s">
        <v>260</v>
      </c>
      <c r="AG19" s="16" t="s">
        <v>182</v>
      </c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</row>
    <row r="20" spans="1:47" ht="25.5" customHeight="1">
      <c r="A20" s="22">
        <f t="shared" si="0"/>
        <v>16</v>
      </c>
      <c r="B20" s="22" t="str">
        <f t="shared" si="1"/>
        <v>Contact</v>
      </c>
      <c r="C20" s="23"/>
      <c r="D20" s="23"/>
      <c r="E20" s="13" t="s">
        <v>34</v>
      </c>
      <c r="F20" s="13" t="s">
        <v>169</v>
      </c>
      <c r="G20" s="24" t="s">
        <v>278</v>
      </c>
      <c r="H20" s="13" t="s">
        <v>213</v>
      </c>
      <c r="I20" s="13" t="s">
        <v>193</v>
      </c>
      <c r="J20" s="13"/>
      <c r="K20" s="22"/>
      <c r="L20" s="13" t="s">
        <v>178</v>
      </c>
      <c r="M20" s="13" t="s">
        <v>41</v>
      </c>
      <c r="N20" s="13"/>
      <c r="O20" s="22" t="s">
        <v>208</v>
      </c>
      <c r="P20" s="26">
        <f t="shared" si="2"/>
        <v>0</v>
      </c>
      <c r="Q20" s="27" t="str">
        <f t="shared" si="3"/>
        <v/>
      </c>
      <c r="R20" s="22" t="str">
        <f t="shared" ca="1" si="4"/>
        <v/>
      </c>
      <c r="S20" s="13" t="str">
        <f t="shared" si="5"/>
        <v>No Record</v>
      </c>
      <c r="T20" s="13" t="str">
        <f>IF(COUNT($AH20:$AU20)=0,"",LOOKUP(2,1/($AH20:$AU20&lt;&gt;""),{"①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0" s="22" t="str">
        <f t="shared" ca="1" si="6"/>
        <v/>
      </c>
      <c r="V20" s="22">
        <f>IF($G20="","",COUNTIF('Chase Log'!$B$4:$B$2000,$G20))</f>
        <v>0</v>
      </c>
      <c r="W20" s="27" t="str">
        <f>IF(N($V20)=0,"",_xlfn.MAXIFS('Chase Log'!$E$4:$E$2000,'Chase Log'!$B$4:$B$2000,$G20))</f>
        <v/>
      </c>
      <c r="X20" s="22" t="str">
        <f t="shared" ca="1" si="7"/>
        <v/>
      </c>
      <c r="Y20" s="27" t="str">
        <f>IF($W20="","",IF(OR(AND($Q20&lt;&gt;"",N($Q20)&gt;N($W20)),COUNTIFS('Chase Log'!$B$4:$B$2000,$G20,'Chase Log'!$E$4:$E$2000,$W20,'Chase Log'!$I$4:$I$2000,"Y")&gt;0),"",IF(_xlfn.MAXIFS('Chase Log'!$J$4:$J$2000,'Chase Log'!$B$4:$B$2000,$G20,'Chase Log'!$E$4:$E$2000,$W20)=0,"",_xlfn.MAXIFS('Chase Log'!$J$4:$J$2000,'Chase Log'!$B$4:$B$2000,$G20,'Chase Log'!$E$4:$E$2000,$W20))))</f>
        <v/>
      </c>
      <c r="Z20" s="13" t="str">
        <f ca="1">IF(OR($G20="",N($P20)&gt;=1,$C20="Live",$D20&lt;&gt;""),"",IF(AND($Y20&lt;&gt;"",N($Y20)&gt;0),IF($Y20&lt;TODAY(),"Chase Overdue","Scheduled"),IF(AND($Q20&lt;&gt;"",N($R20)&gt;='안내 Guide'!$D$4,OR($X20="",N($X20)&gt;='안내 Guide'!$D$4)),"Chase Needed","")))</f>
        <v/>
      </c>
      <c r="AA20" s="28"/>
      <c r="AB20" s="25"/>
      <c r="AC20" s="25" t="s">
        <v>279</v>
      </c>
      <c r="AD20" s="29" t="s">
        <v>280</v>
      </c>
      <c r="AE20" s="25"/>
      <c r="AF20" s="13" t="s">
        <v>281</v>
      </c>
      <c r="AG20" s="16" t="s">
        <v>182</v>
      </c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</row>
  </sheetData>
  <autoFilter ref="A4:AU20" xr:uid="{00000000-0009-0000-0000-000002000000}"/>
  <mergeCells count="5">
    <mergeCell ref="P3:Z3"/>
    <mergeCell ref="AH3:AU3"/>
    <mergeCell ref="AA3:AG3"/>
    <mergeCell ref="A3:O3"/>
    <mergeCell ref="E1:N1"/>
  </mergeCells>
  <phoneticPr fontId="37" type="noConversion"/>
  <conditionalFormatting sqref="A5:AG400">
    <cfRule type="expression" dxfId="69" priority="17">
      <formula>AND($G5&lt;&gt;"",MOD(ROW(),2)=0)</formula>
    </cfRule>
  </conditionalFormatting>
  <conditionalFormatting sqref="A5:AU400">
    <cfRule type="expression" dxfId="68" priority="16">
      <formula>$D5&lt;&gt;""</formula>
    </cfRule>
  </conditionalFormatting>
  <conditionalFormatting sqref="B5:B400">
    <cfRule type="cellIs" dxfId="67" priority="1" operator="equal">
      <formula>"Live"</formula>
    </cfRule>
    <cfRule type="cellIs" dxfId="66" priority="2" operator="equal">
      <formula>"Partially Live"</formula>
    </cfRule>
    <cfRule type="cellIs" dxfId="65" priority="3" operator="equal">
      <formula>"Pending Live"</formula>
    </cfRule>
    <cfRule type="cellIs" dxfId="64" priority="4" operator="equal">
      <formula>"Testing"</formula>
    </cfRule>
    <cfRule type="cellIs" dxfId="63" priority="5" operator="equal">
      <formula>"In Development"</formula>
    </cfRule>
    <cfRule type="cellIs" dxfId="62" priority="6" operator="equal">
      <formula>"NDA/Contract"</formula>
    </cfRule>
    <cfRule type="cellIs" dxfId="61" priority="7" operator="equal">
      <formula>"Pipeline"</formula>
    </cfRule>
    <cfRule type="cellIs" dxfId="60" priority="8" operator="equal">
      <formula>"Contact"</formula>
    </cfRule>
  </conditionalFormatting>
  <conditionalFormatting sqref="P5:P400">
    <cfRule type="dataBar" priority="15">
      <dataBar>
        <cfvo type="num" val="0"/>
        <cfvo type="num" val="1"/>
        <color rgb="FF5B9BD5"/>
      </dataBar>
    </cfRule>
  </conditionalFormatting>
  <conditionalFormatting sqref="S5:S400">
    <cfRule type="cellIs" dxfId="59" priority="9" operator="equal">
      <formula>"Stalled 90d+"</formula>
    </cfRule>
    <cfRule type="cellIs" dxfId="58" priority="10" operator="equal">
      <formula>"Stalled 60d+"</formula>
    </cfRule>
    <cfRule type="cellIs" dxfId="57" priority="11" operator="equal">
      <formula>"Stalled 30d+"</formula>
    </cfRule>
  </conditionalFormatting>
  <conditionalFormatting sqref="Z5:Z400">
    <cfRule type="cellIs" dxfId="56" priority="12" operator="equal">
      <formula>"Chase Overdue"</formula>
    </cfRule>
    <cfRule type="cellIs" dxfId="55" priority="13" operator="equal">
      <formula>"Chase Needed"</formula>
    </cfRule>
    <cfRule type="cellIs" dxfId="54" priority="14" operator="equal">
      <formula>"Scheduled"</formula>
    </cfRule>
  </conditionalFormatting>
  <dataValidations count="2">
    <dataValidation type="list" allowBlank="1" sqref="D5:D400" xr:uid="{00000000-0002-0000-0200-000000000000}">
      <formula1>"Hold,Dropped"</formula1>
    </dataValidation>
    <dataValidation type="list" allowBlank="1" sqref="C5:C400" xr:uid="{00000000-0002-0000-0200-000001000000}">
      <formula1>"Live,Partially Live,Pending Live,Testing,In Development,NDA/Contract,Pipeline,Contact"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zoomScale="90" workbookViewId="0">
      <pane xSplit="7" ySplit="4" topLeftCell="H5" activePane="bottomRight" state="frozen"/>
      <selection pane="bottomRight" activeCell="O8" sqref="O8"/>
      <selection pane="bottomLeft"/>
      <selection pane="topRight"/>
    </sheetView>
  </sheetViews>
  <sheetFormatPr defaultRowHeight="14.45"/>
  <cols>
    <col min="1" max="1" width="5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26" customWidth="1"/>
    <col min="8" max="8" width="18" customWidth="1"/>
    <col min="9" max="9" width="20" customWidth="1"/>
    <col min="10" max="10" width="15" customWidth="1"/>
    <col min="11" max="11" width="9" customWidth="1"/>
    <col min="12" max="12" width="18" customWidth="1"/>
    <col min="13" max="13" width="20" customWidth="1"/>
    <col min="14" max="14" width="14" customWidth="1"/>
    <col min="15" max="15" width="9" customWidth="1"/>
    <col min="16" max="16" width="10" customWidth="1"/>
    <col min="17" max="17" width="12" customWidth="1"/>
    <col min="18" max="18" width="9" customWidth="1"/>
    <col min="19" max="19" width="13" customWidth="1"/>
    <col min="20" max="20" width="22" customWidth="1"/>
    <col min="21" max="21" width="10" customWidth="1"/>
    <col min="22" max="22" width="8" customWidth="1"/>
    <col min="23" max="23" width="12" customWidth="1"/>
    <col min="24" max="24" width="10" customWidth="1"/>
    <col min="25" max="25" width="12" customWidth="1"/>
    <col min="26" max="26" width="14" customWidth="1"/>
    <col min="27" max="27" width="12" customWidth="1"/>
    <col min="28" max="28" width="16" customWidth="1"/>
    <col min="29" max="30" width="50" customWidth="1"/>
    <col min="31" max="31" width="40" customWidth="1"/>
    <col min="32" max="32" width="12" customWidth="1"/>
    <col min="33" max="33" width="30" customWidth="1"/>
    <col min="34" max="40" width="14" customWidth="1"/>
    <col min="41" max="41" width="19" customWidth="1"/>
    <col min="42" max="46" width="14" customWidth="1"/>
    <col min="47" max="47" width="19" customWidth="1"/>
  </cols>
  <sheetData>
    <row r="1" spans="1:47" ht="33.950000000000003" customHeight="1">
      <c r="A1" s="17" t="s">
        <v>24</v>
      </c>
      <c r="E1" s="87" t="s">
        <v>282</v>
      </c>
      <c r="F1" s="91"/>
      <c r="G1" s="91"/>
      <c r="H1" s="91"/>
      <c r="I1" s="91"/>
      <c r="J1" s="91"/>
      <c r="K1" s="91"/>
      <c r="L1" s="91"/>
      <c r="M1" s="91"/>
      <c r="N1" s="91"/>
    </row>
    <row r="2" spans="1:47">
      <c r="A2" s="18" t="str">
        <f>"전체 Total "&amp;COUNTA($G$5:$G$399)&amp;"  ·  라이브 Live "&amp;(COUNTIF($B$5:$B$399,"Live")+COUNTIF($B$5:$B$399,"Partially Live"))&amp;"  ·  개발·테스트 Dev/Test "&amp;(COUNTIF($B$5:$B$399,"In Development")+COUNTIF($B$5:$B$399,"Testing")+COUNTIF($B$5:$B$399,"Pending Live"))&amp;"  ·  계약·NDA "&amp;COUNTIF($B$5:$B$399,"NDA/Contract")&amp;"  ·  파이프라인 Pipeline "&amp;(COUNTIF($B$5:$B$399,"Pipeline")+COUNTIF($B$5:$B$399,"Contact"))&amp;"  ·  60일+ 정체 Stalled 60d+ "&amp;(COUNTIF($S$5:$S$399,"Stalled 60d+")+COUNTIF($S$5:$S$399,"Stalled 90d+"))</f>
        <v>전체 Total 4  ·  라이브 Live 0  ·  개발·테스트 Dev/Test 0  ·  계약·NDA 0  ·  파이프라인 Pipeline 4  ·  60일+ 정체 Stalled 60d+ 0</v>
      </c>
      <c r="AG2" s="19" t="s">
        <v>102</v>
      </c>
      <c r="AH2" s="20">
        <v>0.05</v>
      </c>
      <c r="AI2" s="20">
        <v>0.1</v>
      </c>
      <c r="AJ2" s="20">
        <v>0.15</v>
      </c>
      <c r="AK2" s="20">
        <v>0.2</v>
      </c>
      <c r="AL2" s="20">
        <v>0.3</v>
      </c>
      <c r="AM2" s="20">
        <v>0.4</v>
      </c>
      <c r="AN2" s="20">
        <v>0.45</v>
      </c>
      <c r="AO2" s="20">
        <v>0.5</v>
      </c>
      <c r="AP2" s="20">
        <v>0.6</v>
      </c>
      <c r="AQ2" s="20">
        <v>0.7</v>
      </c>
      <c r="AR2" s="20">
        <v>0.75</v>
      </c>
      <c r="AS2" s="20">
        <v>0.8</v>
      </c>
      <c r="AT2" s="20">
        <v>0.9</v>
      </c>
      <c r="AU2" s="20">
        <v>1</v>
      </c>
    </row>
    <row r="3" spans="1:47" ht="21.95" customHeight="1">
      <c r="A3" s="84" t="s">
        <v>103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83" t="s">
        <v>104</v>
      </c>
      <c r="Q3" s="93"/>
      <c r="R3" s="93"/>
      <c r="S3" s="93"/>
      <c r="T3" s="93"/>
      <c r="U3" s="93"/>
      <c r="V3" s="93"/>
      <c r="W3" s="93"/>
      <c r="X3" s="93"/>
      <c r="Y3" s="93"/>
      <c r="Z3" s="93"/>
      <c r="AA3" s="86" t="s">
        <v>105</v>
      </c>
      <c r="AB3" s="94"/>
      <c r="AC3" s="94"/>
      <c r="AD3" s="94"/>
      <c r="AE3" s="94"/>
      <c r="AF3" s="94"/>
      <c r="AG3" s="94"/>
      <c r="AH3" s="85" t="s">
        <v>106</v>
      </c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</row>
    <row r="4" spans="1:47" ht="63.95" customHeight="1">
      <c r="A4" s="4" t="s">
        <v>86</v>
      </c>
      <c r="B4" s="4" t="s">
        <v>94</v>
      </c>
      <c r="C4" s="4" t="s">
        <v>107</v>
      </c>
      <c r="D4" s="4" t="s">
        <v>19</v>
      </c>
      <c r="E4" s="4" t="s">
        <v>49</v>
      </c>
      <c r="F4" s="4" t="s">
        <v>108</v>
      </c>
      <c r="G4" s="4" t="s">
        <v>109</v>
      </c>
      <c r="H4" s="4" t="s">
        <v>110</v>
      </c>
      <c r="I4" s="4" t="s">
        <v>114</v>
      </c>
      <c r="J4" s="4" t="s">
        <v>115</v>
      </c>
      <c r="K4" s="4" t="s">
        <v>116</v>
      </c>
      <c r="L4" s="4" t="s">
        <v>117</v>
      </c>
      <c r="M4" s="4" t="s">
        <v>118</v>
      </c>
      <c r="N4" s="4" t="s">
        <v>119</v>
      </c>
      <c r="O4" s="4" t="s">
        <v>120</v>
      </c>
      <c r="P4" s="4" t="s">
        <v>121</v>
      </c>
      <c r="Q4" s="4" t="s">
        <v>122</v>
      </c>
      <c r="R4" s="4" t="s">
        <v>123</v>
      </c>
      <c r="S4" s="4" t="s">
        <v>124</v>
      </c>
      <c r="T4" s="4" t="s">
        <v>125</v>
      </c>
      <c r="U4" s="4" t="s">
        <v>126</v>
      </c>
      <c r="V4" s="4" t="s">
        <v>127</v>
      </c>
      <c r="W4" s="4" t="s">
        <v>128</v>
      </c>
      <c r="X4" s="4" t="s">
        <v>129</v>
      </c>
      <c r="Y4" s="4" t="s">
        <v>130</v>
      </c>
      <c r="Z4" s="4" t="s">
        <v>131</v>
      </c>
      <c r="AA4" s="4" t="s">
        <v>132</v>
      </c>
      <c r="AB4" s="4" t="s">
        <v>133</v>
      </c>
      <c r="AC4" s="4" t="s">
        <v>134</v>
      </c>
      <c r="AD4" s="4" t="s">
        <v>135</v>
      </c>
      <c r="AE4" s="4" t="s">
        <v>136</v>
      </c>
      <c r="AF4" s="4" t="s">
        <v>137</v>
      </c>
      <c r="AG4" s="4" t="s">
        <v>138</v>
      </c>
      <c r="AH4" s="21" t="s">
        <v>139</v>
      </c>
      <c r="AI4" s="21" t="s">
        <v>140</v>
      </c>
      <c r="AJ4" s="21" t="s">
        <v>141</v>
      </c>
      <c r="AK4" s="21" t="s">
        <v>142</v>
      </c>
      <c r="AL4" s="21" t="s">
        <v>143</v>
      </c>
      <c r="AM4" s="21" t="s">
        <v>144</v>
      </c>
      <c r="AN4" s="21" t="s">
        <v>145</v>
      </c>
      <c r="AO4" s="21" t="s">
        <v>146</v>
      </c>
      <c r="AP4" s="21" t="s">
        <v>147</v>
      </c>
      <c r="AQ4" s="21" t="s">
        <v>148</v>
      </c>
      <c r="AR4" s="21" t="s">
        <v>149</v>
      </c>
      <c r="AS4" s="21" t="s">
        <v>150</v>
      </c>
      <c r="AT4" s="21" t="s">
        <v>151</v>
      </c>
      <c r="AU4" s="21" t="s">
        <v>152</v>
      </c>
    </row>
    <row r="5" spans="1:47" ht="25.5" customHeight="1">
      <c r="A5" s="22">
        <f>IF($G5="","",ROW()-4)</f>
        <v>1</v>
      </c>
      <c r="B5" s="22" t="str">
        <f>IF($G5="","",IF($C5&lt;&gt;"",$C5,IF($Q5="","Contact",IF($P5&gt;=1,"Live",IF($P5&gt;=0.8,"Pending Live",IF($P5&gt;=0.7,"Testing",IF($P5&gt;=0.45,"In Development",IF($P5&gt;=0.2,"NDA/Contract","Pipeline"))))))))</f>
        <v>Contact</v>
      </c>
      <c r="C5" s="23"/>
      <c r="D5" s="23"/>
      <c r="E5" s="13" t="s">
        <v>28</v>
      </c>
      <c r="F5" s="13" t="s">
        <v>225</v>
      </c>
      <c r="G5" s="24" t="s">
        <v>283</v>
      </c>
      <c r="H5" s="13" t="s">
        <v>284</v>
      </c>
      <c r="I5" s="13" t="s">
        <v>285</v>
      </c>
      <c r="J5" s="13" t="s">
        <v>286</v>
      </c>
      <c r="K5" s="22" t="s">
        <v>186</v>
      </c>
      <c r="L5" s="13" t="s">
        <v>187</v>
      </c>
      <c r="M5" s="13"/>
      <c r="N5" s="13" t="s">
        <v>188</v>
      </c>
      <c r="O5" s="41" t="s">
        <v>287</v>
      </c>
      <c r="P5" s="26">
        <f>IF($G5="","",IFERROR(LOOKUP(2,1/($AH5:$AU5&lt;&gt;""),$AH$2:$AU$2),0))</f>
        <v>0</v>
      </c>
      <c r="Q5" s="27" t="str">
        <f>IF(COUNT($AH5:$AU5)=0,"",MAX($AH5:$AU5))</f>
        <v/>
      </c>
      <c r="R5" s="22" t="str">
        <f ca="1">IF($Q5="","",TODAY()-$Q5)</f>
        <v/>
      </c>
      <c r="S5" s="13" t="str">
        <f>IF($G5="","",IF($Q5="","No Record",IF(OR($P5&gt;=1,$C5="Live"),"Live",IF($R5&gt;=90,"Stalled 90d+",IF($R5&gt;=60,"Stalled 60d+",IF($R5&gt;=30,"Stalled 30d+","In Progress"))))))</f>
        <v>No Record</v>
      </c>
      <c r="T5" s="13" t="str">
        <f>IF(COUNT($AH5:$AU5)=0,"",LOOKUP(2,1/($AH5:$AU5&lt;&gt;""),{"①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" s="22" t="str">
        <f ca="1">IF(COUNT($AH5:$AU5)=0,"",IF(N($P5)&gt;=1,MAX($AH5:$AU5),TODAY())-MIN($AH5:$AU5))</f>
        <v/>
      </c>
      <c r="V5" s="22">
        <f>IF($G5="","",COUNTIF('Chase Log'!$B$4:$B$2000,$G5))</f>
        <v>0</v>
      </c>
      <c r="W5" s="27" t="str">
        <f>IF(N($V5)=0,"",_xlfn.MAXIFS('Chase Log'!$E$4:$E$2000,'Chase Log'!$B$4:$B$2000,$G5))</f>
        <v/>
      </c>
      <c r="X5" s="22" t="str">
        <f ca="1">IF($W5="","",TODAY()-$W5)</f>
        <v/>
      </c>
      <c r="Y5" s="27" t="str">
        <f>IF($W5="","",IF(OR(AND($Q5&lt;&gt;"",N($Q5)&gt;N($W5)),COUNTIFS('Chase Log'!$B$4:$B$2000,$G5,'Chase Log'!$E$4:$E$2000,$W5,'Chase Log'!$I$4:$I$2000,"Y")&gt;0),"",IF(_xlfn.MAXIFS('Chase Log'!$J$4:$J$2000,'Chase Log'!$B$4:$B$2000,$G5,'Chase Log'!$E$4:$E$2000,$W5)=0,"",_xlfn.MAXIFS('Chase Log'!$J$4:$J$2000,'Chase Log'!$B$4:$B$2000,$G5,'Chase Log'!$E$4:$E$2000,$W5))))</f>
        <v/>
      </c>
      <c r="Z5" s="13" t="str">
        <f ca="1">IF(OR($G5="",N($P5)&gt;=1,$C5="Live",$D5&lt;&gt;""),"",IF(AND($Y5&lt;&gt;"",N($Y5)&gt;0),IF($Y5&lt;TODAY(),"Chase Overdue","Scheduled"),IF(AND($Q5&lt;&gt;"",N($R5)&gt;='안내 Guide'!$D$4,OR($X5="",N($X5)&gt;='안내 Guide'!$D$4)),"Chase Needed","")))</f>
        <v/>
      </c>
      <c r="AA5" s="28"/>
      <c r="AB5" s="25"/>
      <c r="AC5" s="25"/>
      <c r="AD5" s="29"/>
      <c r="AE5" s="25"/>
      <c r="AF5" s="13"/>
      <c r="AG5" s="16" t="s">
        <v>168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</row>
    <row r="6" spans="1:47" ht="25.5" customHeight="1">
      <c r="A6" s="22">
        <f>IF($G6="","",ROW()-4)</f>
        <v>2</v>
      </c>
      <c r="B6" s="22" t="str">
        <f>IF($G6="","",IF($C6&lt;&gt;"",$C6,IF($Q6="","Contact",IF($P6&gt;=1,"Live",IF($P6&gt;=0.8,"Pending Live",IF($P6&gt;=0.7,"Testing",IF($P6&gt;=0.45,"In Development",IF($P6&gt;=0.2,"NDA/Contract","Pipeline"))))))))</f>
        <v>Contact</v>
      </c>
      <c r="C6" s="23"/>
      <c r="D6" s="23"/>
      <c r="E6" s="13" t="s">
        <v>28</v>
      </c>
      <c r="F6" s="13" t="s">
        <v>225</v>
      </c>
      <c r="G6" s="24" t="s">
        <v>288</v>
      </c>
      <c r="H6" s="13" t="s">
        <v>284</v>
      </c>
      <c r="I6" s="13" t="s">
        <v>285</v>
      </c>
      <c r="J6" s="13" t="s">
        <v>286</v>
      </c>
      <c r="K6" s="22" t="s">
        <v>186</v>
      </c>
      <c r="L6" s="13" t="s">
        <v>195</v>
      </c>
      <c r="M6" s="13"/>
      <c r="N6" s="13" t="s">
        <v>188</v>
      </c>
      <c r="O6" s="41" t="s">
        <v>287</v>
      </c>
      <c r="P6" s="26">
        <f>IF($G6="","",IFERROR(LOOKUP(2,1/($AH6:$AU6&lt;&gt;""),$AH$2:$AU$2),0))</f>
        <v>0</v>
      </c>
      <c r="Q6" s="27" t="str">
        <f>IF(COUNT($AH6:$AU6)=0,"",MAX($AH6:$AU6))</f>
        <v/>
      </c>
      <c r="R6" s="22" t="str">
        <f ca="1">IF($Q6="","",TODAY()-$Q6)</f>
        <v/>
      </c>
      <c r="S6" s="13" t="str">
        <f>IF($G6="","",IF($Q6="","No Record",IF(OR($P6&gt;=1,$C6="Live"),"Live",IF($R6&gt;=90,"Stalled 90d+",IF($R6&gt;=60,"Stalled 60d+",IF($R6&gt;=30,"Stalled 30d+","In Progress"))))))</f>
        <v>No Record</v>
      </c>
      <c r="T6" s="13" t="str">
        <f>IF(COUNT($AH6:$AU6)=0,"",LOOKUP(2,1/($AH6:$AU6&lt;&gt;""),{"①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" s="22" t="str">
        <f ca="1">IF(COUNT($AH6:$AU6)=0,"",IF(N($P6)&gt;=1,MAX($AH6:$AU6),TODAY())-MIN($AH6:$AU6))</f>
        <v/>
      </c>
      <c r="V6" s="22">
        <f>IF($G6="","",COUNTIF('Chase Log'!$B$4:$B$2000,$G6))</f>
        <v>0</v>
      </c>
      <c r="W6" s="27" t="str">
        <f>IF(N($V6)=0,"",_xlfn.MAXIFS('Chase Log'!$E$4:$E$2000,'Chase Log'!$B$4:$B$2000,$G6))</f>
        <v/>
      </c>
      <c r="X6" s="22" t="str">
        <f ca="1">IF($W6="","",TODAY()-$W6)</f>
        <v/>
      </c>
      <c r="Y6" s="27" t="str">
        <f>IF($W6="","",IF(OR(AND($Q6&lt;&gt;"",N($Q6)&gt;N($W6)),COUNTIFS('Chase Log'!$B$4:$B$2000,$G6,'Chase Log'!$E$4:$E$2000,$W6,'Chase Log'!$I$4:$I$2000,"Y")&gt;0),"",IF(_xlfn.MAXIFS('Chase Log'!$J$4:$J$2000,'Chase Log'!$B$4:$B$2000,$G6,'Chase Log'!$E$4:$E$2000,$W6)=0,"",_xlfn.MAXIFS('Chase Log'!$J$4:$J$2000,'Chase Log'!$B$4:$B$2000,$G6,'Chase Log'!$E$4:$E$2000,$W6))))</f>
        <v/>
      </c>
      <c r="Z6" s="13" t="str">
        <f ca="1">IF(OR($G6="",N($P6)&gt;=1,$C6="Live",$D6&lt;&gt;""),"",IF(AND($Y6&lt;&gt;"",N($Y6)&gt;0),IF($Y6&lt;TODAY(),"Chase Overdue","Scheduled"),IF(AND($Q6&lt;&gt;"",N($R6)&gt;='안내 Guide'!$D$4,OR($X6="",N($X6)&gt;='안내 Guide'!$D$4)),"Chase Needed","")))</f>
        <v/>
      </c>
      <c r="AA6" s="28"/>
      <c r="AB6" s="25"/>
      <c r="AC6" s="25" t="s">
        <v>289</v>
      </c>
      <c r="AD6" s="29" t="s">
        <v>290</v>
      </c>
      <c r="AE6" s="25"/>
      <c r="AF6" s="13" t="s">
        <v>199</v>
      </c>
      <c r="AG6" s="16" t="s">
        <v>168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</row>
    <row r="7" spans="1:47" ht="25.5" customHeight="1">
      <c r="A7" s="22">
        <f>IF($G7="","",ROW()-4)</f>
        <v>3</v>
      </c>
      <c r="B7" s="22" t="str">
        <f>IF($G7="","",IF($C7&lt;&gt;"",$C7,IF($Q7="","Contact",IF($P7&gt;=1,"Live",IF($P7&gt;=0.8,"Pending Live",IF($P7&gt;=0.7,"Testing",IF($P7&gt;=0.45,"In Development",IF($P7&gt;=0.2,"NDA/Contract","Pipeline"))))))))</f>
        <v>Contact</v>
      </c>
      <c r="C7" s="23"/>
      <c r="D7" s="23"/>
      <c r="E7" s="13" t="s">
        <v>28</v>
      </c>
      <c r="F7" s="13" t="s">
        <v>225</v>
      </c>
      <c r="G7" s="24" t="s">
        <v>291</v>
      </c>
      <c r="H7" s="13" t="s">
        <v>284</v>
      </c>
      <c r="I7" s="13" t="s">
        <v>285</v>
      </c>
      <c r="J7" s="13" t="s">
        <v>286</v>
      </c>
      <c r="K7" s="22" t="s">
        <v>186</v>
      </c>
      <c r="L7" s="13" t="s">
        <v>187</v>
      </c>
      <c r="M7" s="13"/>
      <c r="N7" s="13" t="s">
        <v>188</v>
      </c>
      <c r="O7" s="41" t="s">
        <v>287</v>
      </c>
      <c r="P7" s="26">
        <f>IF($G7="","",IFERROR(LOOKUP(2,1/($AH7:$AU7&lt;&gt;""),$AH$2:$AU$2),0))</f>
        <v>0</v>
      </c>
      <c r="Q7" s="27" t="str">
        <f>IF(COUNT($AH7:$AU7)=0,"",MAX($AH7:$AU7))</f>
        <v/>
      </c>
      <c r="R7" s="22" t="str">
        <f ca="1">IF($Q7="","",TODAY()-$Q7)</f>
        <v/>
      </c>
      <c r="S7" s="13" t="str">
        <f>IF($G7="","",IF($Q7="","No Record",IF(OR($P7&gt;=1,$C7="Live"),"Live",IF($R7&gt;=90,"Stalled 90d+",IF($R7&gt;=60,"Stalled 60d+",IF($R7&gt;=30,"Stalled 30d+","In Progress"))))))</f>
        <v>No Record</v>
      </c>
      <c r="T7" s="13" t="str">
        <f>IF(COUNT($AH7:$AU7)=0,"",LOOKUP(2,1/($AH7:$AU7&lt;&gt;""),{"①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7" s="22" t="str">
        <f ca="1">IF(COUNT($AH7:$AU7)=0,"",IF(N($P7)&gt;=1,MAX($AH7:$AU7),TODAY())-MIN($AH7:$AU7))</f>
        <v/>
      </c>
      <c r="V7" s="22">
        <f>IF($G7="","",COUNTIF('Chase Log'!$B$4:$B$2000,$G7))</f>
        <v>0</v>
      </c>
      <c r="W7" s="27" t="str">
        <f>IF(N($V7)=0,"",_xlfn.MAXIFS('Chase Log'!$E$4:$E$2000,'Chase Log'!$B$4:$B$2000,$G7))</f>
        <v/>
      </c>
      <c r="X7" s="22" t="str">
        <f ca="1">IF($W7="","",TODAY()-$W7)</f>
        <v/>
      </c>
      <c r="Y7" s="27" t="str">
        <f>IF($W7="","",IF(OR(AND($Q7&lt;&gt;"",N($Q7)&gt;N($W7)),COUNTIFS('Chase Log'!$B$4:$B$2000,$G7,'Chase Log'!$E$4:$E$2000,$W7,'Chase Log'!$I$4:$I$2000,"Y")&gt;0),"",IF(_xlfn.MAXIFS('Chase Log'!$J$4:$J$2000,'Chase Log'!$B$4:$B$2000,$G7,'Chase Log'!$E$4:$E$2000,$W7)=0,"",_xlfn.MAXIFS('Chase Log'!$J$4:$J$2000,'Chase Log'!$B$4:$B$2000,$G7,'Chase Log'!$E$4:$E$2000,$W7))))</f>
        <v/>
      </c>
      <c r="Z7" s="13" t="str">
        <f ca="1">IF(OR($G7="",N($P7)&gt;=1,$C7="Live",$D7&lt;&gt;""),"",IF(AND($Y7&lt;&gt;"",N($Y7)&gt;0),IF($Y7&lt;TODAY(),"Chase Overdue","Scheduled"),IF(AND($Q7&lt;&gt;"",N($R7)&gt;='안내 Guide'!$D$4,OR($X7="",N($X7)&gt;='안내 Guide'!$D$4)),"Chase Needed","")))</f>
        <v/>
      </c>
      <c r="AA7" s="28"/>
      <c r="AB7" s="25"/>
      <c r="AC7" s="25"/>
      <c r="AD7" s="29"/>
      <c r="AE7" s="25"/>
      <c r="AF7" s="13"/>
      <c r="AG7" s="16" t="s">
        <v>168</v>
      </c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</row>
    <row r="8" spans="1:47" ht="25.5" customHeight="1">
      <c r="A8" s="22">
        <f>IF($G8="","",ROW()-4)</f>
        <v>4</v>
      </c>
      <c r="B8" s="22" t="str">
        <f>IF($G8="","",IF($C8&lt;&gt;"",$C8,IF($Q8="","Contact",IF($P8&gt;=1,"Live",IF($P8&gt;=0.8,"Pending Live",IF($P8&gt;=0.7,"Testing",IF($P8&gt;=0.45,"In Development",IF($P8&gt;=0.2,"NDA/Contract","Pipeline"))))))))</f>
        <v>Contact</v>
      </c>
      <c r="C8" s="23"/>
      <c r="D8" s="23"/>
      <c r="E8" s="13" t="s">
        <v>29</v>
      </c>
      <c r="F8" s="13" t="s">
        <v>203</v>
      </c>
      <c r="G8" s="24" t="s">
        <v>292</v>
      </c>
      <c r="H8" s="13" t="s">
        <v>284</v>
      </c>
      <c r="I8" s="13" t="s">
        <v>285</v>
      </c>
      <c r="J8" s="13" t="s">
        <v>257</v>
      </c>
      <c r="K8" s="22" t="s">
        <v>160</v>
      </c>
      <c r="L8" s="13" t="s">
        <v>187</v>
      </c>
      <c r="M8" s="40"/>
      <c r="N8" s="13" t="s">
        <v>188</v>
      </c>
      <c r="O8" s="41" t="s">
        <v>287</v>
      </c>
      <c r="P8" s="26">
        <f>IF($G8="","",IFERROR(LOOKUP(2,1/($AH8:$AU8&lt;&gt;""),$AH$2:$AU$2),0))</f>
        <v>0</v>
      </c>
      <c r="Q8" s="27" t="str">
        <f>IF(COUNT($AH8:$AU8)=0,"",MAX($AH8:$AU8))</f>
        <v/>
      </c>
      <c r="R8" s="22" t="str">
        <f ca="1">IF($Q8="","",TODAY()-$Q8)</f>
        <v/>
      </c>
      <c r="S8" s="13" t="str">
        <f>IF($G8="","",IF($Q8="","No Record",IF(OR($P8&gt;=1,$C8="Live"),"Live",IF($R8&gt;=90,"Stalled 90d+",IF($R8&gt;=60,"Stalled 60d+",IF($R8&gt;=30,"Stalled 30d+","In Progress"))))))</f>
        <v>No Record</v>
      </c>
      <c r="T8" s="13" t="str">
        <f>IF(COUNT($AH8:$AU8)=0,"",LOOKUP(2,1/($AH8:$AU8&lt;&gt;""),{"①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8" s="22" t="str">
        <f ca="1">IF(COUNT($AH8:$AU8)=0,"",IF(N($P8)&gt;=1,MAX($AH8:$AU8),TODAY())-MIN($AH8:$AU8))</f>
        <v/>
      </c>
      <c r="V8" s="22">
        <f>IF($G8="","",COUNTIF('Chase Log'!$B$4:$B$2000,$G8))</f>
        <v>3</v>
      </c>
      <c r="W8" s="27">
        <f>IF(N($V8)=0,"",_xlfn.MAXIFS('Chase Log'!$E$4:$E$2000,'Chase Log'!$B$4:$B$2000,$G8))</f>
        <v>46323</v>
      </c>
      <c r="X8" s="22">
        <f ca="1">IF($W8="","",TODAY()-$W8)</f>
        <v>2</v>
      </c>
      <c r="Y8" s="27">
        <f>IF($W8="","",IF(OR(AND($Q8&lt;&gt;"",N($Q8)&gt;N($W8)),COUNTIFS('Chase Log'!$B$4:$B$2000,$G8,'Chase Log'!$E$4:$E$2000,$W8,'Chase Log'!$I$4:$I$2000,"Y")&gt;0),"",IF(_xlfn.MAXIFS('Chase Log'!$J$4:$J$2000,'Chase Log'!$B$4:$B$2000,$G8,'Chase Log'!$E$4:$E$2000,$W8)=0,"",_xlfn.MAXIFS('Chase Log'!$J$4:$J$2000,'Chase Log'!$B$4:$B$2000,$G8,'Chase Log'!$E$4:$E$2000,$W8))))</f>
        <v>46330</v>
      </c>
      <c r="Z8" s="13" t="str">
        <f ca="1">IF(OR($G8="",N($P8)&gt;=1,$C8="Live",$D8&lt;&gt;""),"",IF(AND($Y8&lt;&gt;"",N($Y8)&gt;0),IF($Y8&lt;TODAY(),"Chase Overdue","Scheduled"),IF(AND($Q8&lt;&gt;"",N($R8)&gt;='안내 Guide'!$D$4,OR($X8="",N($X8)&gt;='안내 Guide'!$D$4)),"Chase Needed","")))</f>
        <v>Scheduled</v>
      </c>
      <c r="AA8" s="28"/>
      <c r="AB8" s="25"/>
      <c r="AC8" s="25"/>
      <c r="AD8" s="29"/>
      <c r="AE8" s="25"/>
      <c r="AF8" s="13"/>
      <c r="AG8" s="16" t="s">
        <v>168</v>
      </c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</row>
  </sheetData>
  <autoFilter ref="A4:AU8" xr:uid="{00000000-0009-0000-0000-000003000000}"/>
  <mergeCells count="5">
    <mergeCell ref="P3:Z3"/>
    <mergeCell ref="AH3:AU3"/>
    <mergeCell ref="AA3:AG3"/>
    <mergeCell ref="A3:O3"/>
    <mergeCell ref="E1:N1"/>
  </mergeCells>
  <phoneticPr fontId="37" type="noConversion"/>
  <conditionalFormatting sqref="A5:AG399">
    <cfRule type="expression" dxfId="53" priority="17">
      <formula>AND($G5&lt;&gt;"",MOD(ROW(),2)=0)</formula>
    </cfRule>
  </conditionalFormatting>
  <conditionalFormatting sqref="A5:AU399">
    <cfRule type="expression" dxfId="52" priority="16">
      <formula>$D5&lt;&gt;""</formula>
    </cfRule>
  </conditionalFormatting>
  <conditionalFormatting sqref="B5:B399">
    <cfRule type="cellIs" dxfId="51" priority="1" operator="equal">
      <formula>"Live"</formula>
    </cfRule>
    <cfRule type="cellIs" dxfId="50" priority="2" operator="equal">
      <formula>"Partially Live"</formula>
    </cfRule>
    <cfRule type="cellIs" dxfId="49" priority="3" operator="equal">
      <formula>"Pending Live"</formula>
    </cfRule>
    <cfRule type="cellIs" dxfId="48" priority="4" operator="equal">
      <formula>"Testing"</formula>
    </cfRule>
    <cfRule type="cellIs" dxfId="47" priority="5" operator="equal">
      <formula>"In Development"</formula>
    </cfRule>
    <cfRule type="cellIs" dxfId="46" priority="6" operator="equal">
      <formula>"NDA/Contract"</formula>
    </cfRule>
    <cfRule type="cellIs" dxfId="45" priority="7" operator="equal">
      <formula>"Pipeline"</formula>
    </cfRule>
    <cfRule type="cellIs" dxfId="44" priority="8" operator="equal">
      <formula>"Contact"</formula>
    </cfRule>
  </conditionalFormatting>
  <conditionalFormatting sqref="P5:P399">
    <cfRule type="dataBar" priority="15">
      <dataBar>
        <cfvo type="num" val="0"/>
        <cfvo type="num" val="1"/>
        <color rgb="FF5B9BD5"/>
      </dataBar>
    </cfRule>
  </conditionalFormatting>
  <conditionalFormatting sqref="S5:S399">
    <cfRule type="cellIs" dxfId="43" priority="9" operator="equal">
      <formula>"Stalled 90d+"</formula>
    </cfRule>
    <cfRule type="cellIs" dxfId="42" priority="10" operator="equal">
      <formula>"Stalled 60d+"</formula>
    </cfRule>
    <cfRule type="cellIs" dxfId="41" priority="11" operator="equal">
      <formula>"Stalled 30d+"</formula>
    </cfRule>
  </conditionalFormatting>
  <conditionalFormatting sqref="Z5:Z399">
    <cfRule type="cellIs" dxfId="40" priority="12" operator="equal">
      <formula>"Chase Overdue"</formula>
    </cfRule>
    <cfRule type="cellIs" dxfId="39" priority="13" operator="equal">
      <formula>"Chase Needed"</formula>
    </cfRule>
    <cfRule type="cellIs" dxfId="38" priority="14" operator="equal">
      <formula>"Scheduled"</formula>
    </cfRule>
  </conditionalFormatting>
  <dataValidations count="2">
    <dataValidation type="list" allowBlank="1" sqref="D5:D399" xr:uid="{00000000-0002-0000-0300-000000000000}">
      <formula1>"Hold,Dropped"</formula1>
    </dataValidation>
    <dataValidation type="list" allowBlank="1" sqref="C5:C399" xr:uid="{00000000-0002-0000-0300-000001000000}">
      <formula1>"Live,Partially Live,Pending Live,Testing,In Development,NDA/Contract,Pipeline,Contact"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98"/>
  <sheetViews>
    <sheetView zoomScale="90" workbookViewId="0">
      <pane xSplit="7" ySplit="4" topLeftCell="AG34" activePane="bottomRight" state="frozen"/>
      <selection pane="bottomRight" activeCell="G70" sqref="G70"/>
      <selection pane="bottomLeft"/>
      <selection pane="topRight"/>
    </sheetView>
  </sheetViews>
  <sheetFormatPr defaultRowHeight="14.45"/>
  <cols>
    <col min="1" max="1" width="5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26" customWidth="1"/>
    <col min="8" max="8" width="18" customWidth="1"/>
    <col min="9" max="9" width="20" customWidth="1"/>
    <col min="10" max="10" width="15" customWidth="1"/>
    <col min="11" max="11" width="9" customWidth="1"/>
    <col min="12" max="12" width="18" customWidth="1"/>
    <col min="13" max="13" width="20" customWidth="1"/>
    <col min="14" max="14" width="14" customWidth="1"/>
    <col min="15" max="15" width="9" customWidth="1"/>
    <col min="16" max="16" width="10" customWidth="1"/>
    <col min="17" max="17" width="12" customWidth="1"/>
    <col min="18" max="18" width="9" customWidth="1"/>
    <col min="19" max="19" width="13" customWidth="1"/>
    <col min="20" max="20" width="22" customWidth="1"/>
    <col min="21" max="21" width="10" customWidth="1"/>
    <col min="22" max="22" width="8" customWidth="1"/>
    <col min="23" max="23" width="12" customWidth="1"/>
    <col min="24" max="24" width="10" customWidth="1"/>
    <col min="25" max="25" width="12" customWidth="1"/>
    <col min="26" max="26" width="14" customWidth="1"/>
    <col min="27" max="27" width="12" customWidth="1"/>
    <col min="28" max="28" width="16" customWidth="1"/>
    <col min="29" max="30" width="50" customWidth="1"/>
    <col min="31" max="31" width="40" customWidth="1"/>
    <col min="32" max="32" width="12" customWidth="1"/>
    <col min="33" max="33" width="30" customWidth="1"/>
    <col min="34" max="40" width="14" customWidth="1"/>
    <col min="41" max="41" width="19" customWidth="1"/>
    <col min="42" max="46" width="14" customWidth="1"/>
    <col min="47" max="47" width="19" customWidth="1"/>
  </cols>
  <sheetData>
    <row r="1" spans="1:47" ht="33.950000000000003" customHeight="1">
      <c r="A1" s="17" t="s">
        <v>25</v>
      </c>
      <c r="E1" s="87" t="s">
        <v>293</v>
      </c>
      <c r="F1" s="91"/>
      <c r="G1" s="91"/>
      <c r="H1" s="91"/>
      <c r="I1" s="91"/>
      <c r="J1" s="91"/>
      <c r="K1" s="91"/>
      <c r="L1" s="91"/>
      <c r="M1" s="91"/>
      <c r="N1" s="91"/>
    </row>
    <row r="2" spans="1:47">
      <c r="A2" s="18" t="str">
        <f ca="1">"전체 Total "&amp;COUNTA($G$5:$G$399)&amp;"  ·  라이브 Live "&amp;(COUNTIF($B$5:$B$399,"Live")+COUNTIF($B$5:$B$399,"Partially Live"))&amp;"  ·  개발·테스트 Dev/Test "&amp;(COUNTIF($B$5:$B$399,"In Development")+COUNTIF($B$5:$B$399,"Testing")+COUNTIF($B$5:$B$399,"Pending Live"))&amp;"  ·  계약·NDA "&amp;COUNTIF($B$5:$B$399,"NDA/Contract")&amp;"  ·  파이프라인 Pipeline "&amp;(COUNTIF($B$5:$B$399,"Pipeline")+COUNTIF($B$5:$B$399,"Contact"))&amp;"  ·  60일+ 정체 Stalled 60d+ "&amp;(COUNTIF($S$5:$S$399,"Stalled 60d+")+COUNTIF($S$5:$S$399,"Stalled 90d+"))</f>
        <v>전체 Total 94  ·  라이브 Live 31  ·  개발·테스트 Dev/Test 10  ·  계약·NDA 5  ·  파이프라인 Pipeline 48  ·  60일+ 정체 Stalled 60d+ 9</v>
      </c>
      <c r="AG2" s="19" t="s">
        <v>102</v>
      </c>
      <c r="AH2" s="20">
        <v>0.05</v>
      </c>
      <c r="AI2" s="20">
        <v>0.1</v>
      </c>
      <c r="AJ2" s="20">
        <v>0.15</v>
      </c>
      <c r="AK2" s="20">
        <v>0.2</v>
      </c>
      <c r="AL2" s="20">
        <v>0.3</v>
      </c>
      <c r="AM2" s="20">
        <v>0.4</v>
      </c>
      <c r="AN2" s="20">
        <v>0.45</v>
      </c>
      <c r="AO2" s="20">
        <v>0.5</v>
      </c>
      <c r="AP2" s="20">
        <v>0.6</v>
      </c>
      <c r="AQ2" s="20">
        <v>0.7</v>
      </c>
      <c r="AR2" s="20">
        <v>0.75</v>
      </c>
      <c r="AS2" s="20">
        <v>0.8</v>
      </c>
      <c r="AT2" s="20">
        <v>0.9</v>
      </c>
      <c r="AU2" s="20">
        <v>1</v>
      </c>
    </row>
    <row r="3" spans="1:47" ht="21.95" customHeight="1">
      <c r="A3" s="84" t="s">
        <v>103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83" t="s">
        <v>104</v>
      </c>
      <c r="Q3" s="93"/>
      <c r="R3" s="93"/>
      <c r="S3" s="93"/>
      <c r="T3" s="93"/>
      <c r="U3" s="93"/>
      <c r="V3" s="93"/>
      <c r="W3" s="93"/>
      <c r="X3" s="93"/>
      <c r="Y3" s="93"/>
      <c r="Z3" s="93"/>
      <c r="AA3" s="86" t="s">
        <v>105</v>
      </c>
      <c r="AB3" s="94"/>
      <c r="AC3" s="94"/>
      <c r="AD3" s="94"/>
      <c r="AE3" s="94"/>
      <c r="AF3" s="94"/>
      <c r="AG3" s="94"/>
      <c r="AH3" s="85" t="s">
        <v>106</v>
      </c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</row>
    <row r="4" spans="1:47" ht="63.95" customHeight="1">
      <c r="A4" s="4" t="s">
        <v>86</v>
      </c>
      <c r="B4" s="4" t="s">
        <v>94</v>
      </c>
      <c r="C4" s="4" t="s">
        <v>107</v>
      </c>
      <c r="D4" s="4" t="s">
        <v>19</v>
      </c>
      <c r="E4" s="4" t="s">
        <v>49</v>
      </c>
      <c r="F4" s="4" t="s">
        <v>108</v>
      </c>
      <c r="G4" s="4" t="s">
        <v>109</v>
      </c>
      <c r="H4" s="4" t="s">
        <v>110</v>
      </c>
      <c r="I4" s="4" t="s">
        <v>114</v>
      </c>
      <c r="J4" s="4" t="s">
        <v>115</v>
      </c>
      <c r="K4" s="4" t="s">
        <v>116</v>
      </c>
      <c r="L4" s="4" t="s">
        <v>117</v>
      </c>
      <c r="M4" s="4" t="s">
        <v>118</v>
      </c>
      <c r="N4" s="4" t="s">
        <v>119</v>
      </c>
      <c r="O4" s="4" t="s">
        <v>120</v>
      </c>
      <c r="P4" s="4" t="s">
        <v>121</v>
      </c>
      <c r="Q4" s="4" t="s">
        <v>122</v>
      </c>
      <c r="R4" s="4" t="s">
        <v>123</v>
      </c>
      <c r="S4" s="4" t="s">
        <v>124</v>
      </c>
      <c r="T4" s="4" t="s">
        <v>125</v>
      </c>
      <c r="U4" s="4" t="s">
        <v>126</v>
      </c>
      <c r="V4" s="4" t="s">
        <v>127</v>
      </c>
      <c r="W4" s="4" t="s">
        <v>128</v>
      </c>
      <c r="X4" s="4" t="s">
        <v>129</v>
      </c>
      <c r="Y4" s="4" t="s">
        <v>130</v>
      </c>
      <c r="Z4" s="4" t="s">
        <v>131</v>
      </c>
      <c r="AA4" s="4" t="s">
        <v>132</v>
      </c>
      <c r="AB4" s="4" t="s">
        <v>133</v>
      </c>
      <c r="AC4" s="4" t="s">
        <v>134</v>
      </c>
      <c r="AD4" s="4" t="s">
        <v>135</v>
      </c>
      <c r="AE4" s="4" t="s">
        <v>136</v>
      </c>
      <c r="AF4" s="4" t="s">
        <v>137</v>
      </c>
      <c r="AG4" s="4" t="s">
        <v>138</v>
      </c>
      <c r="AH4" s="21" t="s">
        <v>139</v>
      </c>
      <c r="AI4" s="21" t="s">
        <v>140</v>
      </c>
      <c r="AJ4" s="21" t="s">
        <v>141</v>
      </c>
      <c r="AK4" s="21" t="s">
        <v>142</v>
      </c>
      <c r="AL4" s="21" t="s">
        <v>143</v>
      </c>
      <c r="AM4" s="21" t="s">
        <v>144</v>
      </c>
      <c r="AN4" s="21" t="s">
        <v>145</v>
      </c>
      <c r="AO4" s="21" t="s">
        <v>146</v>
      </c>
      <c r="AP4" s="21" t="s">
        <v>147</v>
      </c>
      <c r="AQ4" s="21" t="s">
        <v>148</v>
      </c>
      <c r="AR4" s="21" t="s">
        <v>149</v>
      </c>
      <c r="AS4" s="21" t="s">
        <v>150</v>
      </c>
      <c r="AT4" s="21" t="s">
        <v>151</v>
      </c>
      <c r="AU4" s="21" t="s">
        <v>152</v>
      </c>
    </row>
    <row r="5" spans="1:47" ht="25.5" customHeight="1">
      <c r="A5" s="22">
        <f t="shared" ref="A5:A36" si="0">IF($G5="","",ROW()-4)</f>
        <v>1</v>
      </c>
      <c r="B5" s="22" t="str">
        <f>IF($G5="","",IF($C5&lt;&gt;"",$C5,IF($Q5="","Contact",IF($P5&gt;=1,"Live",IF($P5&gt;=0.8,"Pending Live",IF($P5&gt;=0.7,"Testing",IF($P5&gt;=0.45,"In Development",IF($P5&gt;=0.2,"NDA/Contract","Pipeline"))))))))</f>
        <v>Live</v>
      </c>
      <c r="C5" s="23"/>
      <c r="D5" s="23"/>
      <c r="E5" s="13" t="s">
        <v>29</v>
      </c>
      <c r="F5" s="13" t="s">
        <v>294</v>
      </c>
      <c r="G5" s="24" t="s">
        <v>295</v>
      </c>
      <c r="H5" s="13" t="s">
        <v>204</v>
      </c>
      <c r="I5" s="13" t="s">
        <v>285</v>
      </c>
      <c r="J5" s="13" t="s">
        <v>206</v>
      </c>
      <c r="K5" s="22" t="s">
        <v>160</v>
      </c>
      <c r="L5" s="13" t="s">
        <v>161</v>
      </c>
      <c r="M5" s="13" t="s">
        <v>39</v>
      </c>
      <c r="N5" s="13" t="s">
        <v>188</v>
      </c>
      <c r="O5" s="22" t="s">
        <v>208</v>
      </c>
      <c r="P5" s="26">
        <f t="shared" ref="P5:P36" si="1">IF($G5="","",IFERROR(LOOKUP(2,1/($AH5:$AU5&lt;&gt;""),$AH$2:$AU$2),0))</f>
        <v>1</v>
      </c>
      <c r="Q5" s="27">
        <f t="shared" ref="Q5:Q36" si="2">IF(COUNT($AH5:$AU5)=0,"",MAX($AH5:$AU5))</f>
        <v>46316</v>
      </c>
      <c r="R5" s="22">
        <f t="shared" ref="R5:R36" ca="1" si="3">IF($Q5="","",TODAY()-$Q5)</f>
        <v>9</v>
      </c>
      <c r="S5" s="13" t="str">
        <f t="shared" ref="S5:S36" si="4">IF($G5="","",IF($Q5="","No Record",IF(OR($P5&gt;=1,$C5="Live"),"Live",IF($R5&gt;=90,"Stalled 90d+",IF($R5&gt;=60,"Stalled 60d+",IF($R5&gt;=30,"Stalled 30d+","In Progress"))))))</f>
        <v>Live</v>
      </c>
      <c r="T5" s="13" t="str">
        <f>IF(COUNT($AH5:$AU5)=0,"",LOOKUP(2,1/($AH5:$AU5&lt;&gt;""),{"①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5" s="22">
        <f t="shared" ref="U5:U36" ca="1" si="5">IF(COUNT($AH5:$AU5)=0,"",IF(N($P5)&gt;=1,MAX($AH5:$AU5),TODAY())-MIN($AH5:$AU5))</f>
        <v>354</v>
      </c>
      <c r="V5" s="22">
        <f>IF($G5="","",COUNTIF('Chase Log'!$B$4:$B$2000,$G5))</f>
        <v>1</v>
      </c>
      <c r="W5" s="27">
        <f>IF(N($V5)=0,"",_xlfn.MAXIFS('Chase Log'!$E$4:$E$2000,'Chase Log'!$B$4:$B$2000,$G5))</f>
        <v>46300</v>
      </c>
      <c r="X5" s="22">
        <f t="shared" ref="X5:X36" ca="1" si="6">IF($W5="","",TODAY()-$W5)</f>
        <v>25</v>
      </c>
      <c r="Y5" s="27" t="str">
        <f>IF($W5="","",IF(OR(AND($Q5&lt;&gt;"",N($Q5)&gt;N($W5)),COUNTIFS('Chase Log'!$B$4:$B$2000,$G5,'Chase Log'!$E$4:$E$2000,$W5,'Chase Log'!$I$4:$I$2000,"Y")&gt;0),"",IF(_xlfn.MAXIFS('Chase Log'!$J$4:$J$2000,'Chase Log'!$B$4:$B$2000,$G5,'Chase Log'!$E$4:$E$2000,$W5)=0,"",_xlfn.MAXIFS('Chase Log'!$J$4:$J$2000,'Chase Log'!$B$4:$B$2000,$G5,'Chase Log'!$E$4:$E$2000,$W5))))</f>
        <v/>
      </c>
      <c r="Z5" s="13" t="str">
        <f ca="1">IF(OR($G5="",N($P5)&gt;=1,$C5="Live",$D5&lt;&gt;""),"",IF(AND($Y5&lt;&gt;"",N($Y5)&gt;0),IF($Y5&lt;TODAY(),"Chase Overdue","Scheduled"),IF(AND($Q5&lt;&gt;"",N($R5)&gt;='안내 Guide'!$D$4,OR($X5="",N($X5)&gt;='안내 Guide'!$D$4)),"Chase Needed","")))</f>
        <v/>
      </c>
      <c r="AA5" s="28">
        <v>46302</v>
      </c>
      <c r="AB5" s="25"/>
      <c r="AC5" s="25" t="s">
        <v>296</v>
      </c>
      <c r="AD5" s="29" t="s">
        <v>297</v>
      </c>
      <c r="AE5" s="25"/>
      <c r="AF5" s="13" t="s">
        <v>167</v>
      </c>
      <c r="AG5" s="16" t="s">
        <v>168</v>
      </c>
      <c r="AH5" s="30"/>
      <c r="AI5" s="30"/>
      <c r="AJ5" s="30"/>
      <c r="AK5" s="30"/>
      <c r="AL5" s="30"/>
      <c r="AM5" s="30"/>
      <c r="AN5" s="30">
        <v>45962</v>
      </c>
      <c r="AO5" s="30">
        <v>45962</v>
      </c>
      <c r="AP5" s="30">
        <v>45963</v>
      </c>
      <c r="AQ5" s="30">
        <v>45964</v>
      </c>
      <c r="AR5" s="30">
        <v>45965</v>
      </c>
      <c r="AS5" s="30">
        <v>46287</v>
      </c>
      <c r="AT5" s="30">
        <v>46316</v>
      </c>
      <c r="AU5" s="30">
        <v>46316</v>
      </c>
    </row>
    <row r="6" spans="1:47" ht="25.5" customHeight="1">
      <c r="A6" s="22">
        <f t="shared" si="0"/>
        <v>2</v>
      </c>
      <c r="B6" s="22" t="str">
        <f t="shared" ref="B6:B36" si="7">IF($G6="","",IF($C6&lt;&gt;"",$C6,IF($Q6="","Contact",IF($P6&gt;=1,"Live",IF($P6&gt;=0.8,"Pending Live",IF($P6&gt;=0.7,"Testing",IF($P6&gt;=0.45,"In Development",IF($P6&gt;=0.2,"NDA/Contract","Pipeline"))))))))</f>
        <v>Pending Live</v>
      </c>
      <c r="C6" s="23"/>
      <c r="D6" s="23"/>
      <c r="E6" s="13" t="s">
        <v>30</v>
      </c>
      <c r="F6" s="13" t="s">
        <v>298</v>
      </c>
      <c r="G6" s="24" t="s">
        <v>299</v>
      </c>
      <c r="H6" s="13" t="s">
        <v>204</v>
      </c>
      <c r="I6" s="13" t="s">
        <v>285</v>
      </c>
      <c r="J6" s="13" t="s">
        <v>206</v>
      </c>
      <c r="K6" s="22" t="s">
        <v>160</v>
      </c>
      <c r="L6" s="13" t="s">
        <v>161</v>
      </c>
      <c r="M6" s="13" t="s">
        <v>40</v>
      </c>
      <c r="N6" s="13" t="s">
        <v>196</v>
      </c>
      <c r="O6" s="22" t="s">
        <v>208</v>
      </c>
      <c r="P6" s="26">
        <f t="shared" si="1"/>
        <v>0.8</v>
      </c>
      <c r="Q6" s="27">
        <f t="shared" si="2"/>
        <v>46297</v>
      </c>
      <c r="R6" s="22">
        <f t="shared" ca="1" si="3"/>
        <v>28</v>
      </c>
      <c r="S6" s="13" t="str">
        <f t="shared" ca="1" si="4"/>
        <v>In Progress</v>
      </c>
      <c r="T6" s="13" t="str">
        <f>IF(COUNT($AH6:$AU6)=0,"",LOOKUP(2,1/($AH6:$AU6&lt;&gt;""),{"①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⑫ 라이브 키 오픈 (OMH 측) · Live Key Open</v>
      </c>
      <c r="U6" s="22">
        <f t="shared" ca="1" si="5"/>
        <v>147</v>
      </c>
      <c r="V6" s="22">
        <f>IF($G6="","",COUNTIF('Chase Log'!$B$4:$B$2000,$G6))</f>
        <v>2</v>
      </c>
      <c r="W6" s="27">
        <f>IF(N($V6)=0,"",_xlfn.MAXIFS('Chase Log'!$E$4:$E$2000,'Chase Log'!$B$4:$B$2000,$G6))</f>
        <v>46297</v>
      </c>
      <c r="X6" s="22">
        <f t="shared" ca="1" si="6"/>
        <v>28</v>
      </c>
      <c r="Y6" s="27">
        <f>IF($W6="","",IF(OR(AND($Q6&lt;&gt;"",N($Q6)&gt;N($W6)),COUNTIFS('Chase Log'!$B$4:$B$2000,$G6,'Chase Log'!$E$4:$E$2000,$W6,'Chase Log'!$I$4:$I$2000,"Y")&gt;0),"",IF(_xlfn.MAXIFS('Chase Log'!$J$4:$J$2000,'Chase Log'!$B$4:$B$2000,$G6,'Chase Log'!$E$4:$E$2000,$W6)=0,"",_xlfn.MAXIFS('Chase Log'!$J$4:$J$2000,'Chase Log'!$B$4:$B$2000,$G6,'Chase Log'!$E$4:$E$2000,$W6))))</f>
        <v>46304</v>
      </c>
      <c r="Z6" s="13" t="str">
        <f ca="1">IF(OR($G6="",N($P6)&gt;=1,$C6="Live",$D6&lt;&gt;""),"",IF(AND($Y6&lt;&gt;"",N($Y6)&gt;0),IF($Y6&lt;TODAY(),"Chase Overdue","Scheduled"),IF(AND($Q6&lt;&gt;"",N($R6)&gt;='안내 Guide'!$D$4,OR($X6="",N($X6)&gt;='안내 Guide'!$D$4)),"Chase Needed","")))</f>
        <v>Chase Overdue</v>
      </c>
      <c r="AA6" s="28">
        <v>46372</v>
      </c>
      <c r="AB6" s="25"/>
      <c r="AC6" s="25" t="s">
        <v>300</v>
      </c>
      <c r="AD6" s="29" t="s">
        <v>301</v>
      </c>
      <c r="AE6" s="25"/>
      <c r="AF6" s="13" t="s">
        <v>302</v>
      </c>
      <c r="AG6" s="16" t="s">
        <v>168</v>
      </c>
      <c r="AH6" s="30"/>
      <c r="AI6" s="30"/>
      <c r="AJ6" s="30"/>
      <c r="AK6" s="30">
        <v>46178</v>
      </c>
      <c r="AL6" s="30">
        <v>46223</v>
      </c>
      <c r="AM6" s="30">
        <v>46223</v>
      </c>
      <c r="AN6" s="30">
        <v>46223</v>
      </c>
      <c r="AO6" s="30">
        <v>46219</v>
      </c>
      <c r="AP6" s="30">
        <v>46296</v>
      </c>
      <c r="AQ6" s="30">
        <v>46297</v>
      </c>
      <c r="AR6" s="30">
        <v>46297</v>
      </c>
      <c r="AS6" s="30">
        <v>46297</v>
      </c>
      <c r="AT6" s="30"/>
      <c r="AU6" s="30"/>
    </row>
    <row r="7" spans="1:47" ht="25.5" customHeight="1">
      <c r="A7" s="22">
        <f t="shared" si="0"/>
        <v>3</v>
      </c>
      <c r="B7" s="22" t="str">
        <f t="shared" si="7"/>
        <v>Testing</v>
      </c>
      <c r="C7" s="23"/>
      <c r="D7" s="23"/>
      <c r="E7" s="13" t="s">
        <v>29</v>
      </c>
      <c r="F7" s="13" t="s">
        <v>203</v>
      </c>
      <c r="G7" s="24" t="s">
        <v>303</v>
      </c>
      <c r="H7" s="13" t="s">
        <v>204</v>
      </c>
      <c r="I7" s="13" t="s">
        <v>285</v>
      </c>
      <c r="J7" s="13" t="s">
        <v>206</v>
      </c>
      <c r="K7" s="22" t="s">
        <v>160</v>
      </c>
      <c r="L7" s="13" t="s">
        <v>161</v>
      </c>
      <c r="M7" s="13" t="s">
        <v>39</v>
      </c>
      <c r="N7" s="13" t="s">
        <v>196</v>
      </c>
      <c r="O7" s="22" t="s">
        <v>208</v>
      </c>
      <c r="P7" s="26">
        <f t="shared" si="1"/>
        <v>0.7</v>
      </c>
      <c r="Q7" s="27">
        <f t="shared" si="2"/>
        <v>46296</v>
      </c>
      <c r="R7" s="22">
        <f t="shared" ca="1" si="3"/>
        <v>29</v>
      </c>
      <c r="S7" s="13" t="str">
        <f t="shared" ca="1" si="4"/>
        <v>In Progress</v>
      </c>
      <c r="T7" s="13" t="str">
        <f>IF(COUNT($AH7:$AU7)=0,"",LOOKUP(2,1/($AH7:$AU7&lt;&gt;""),{"①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⑩ 라이브 테스트 · Live Test</v>
      </c>
      <c r="U7" s="22">
        <f t="shared" ca="1" si="5"/>
        <v>90</v>
      </c>
      <c r="V7" s="22">
        <f>IF($G7="","",COUNTIF('Chase Log'!$B$4:$B$2000,$G7))</f>
        <v>0</v>
      </c>
      <c r="W7" s="27" t="str">
        <f>IF(N($V7)=0,"",_xlfn.MAXIFS('Chase Log'!$E$4:$E$2000,'Chase Log'!$B$4:$B$2000,$G7))</f>
        <v/>
      </c>
      <c r="X7" s="22" t="str">
        <f t="shared" ca="1" si="6"/>
        <v/>
      </c>
      <c r="Y7" s="27" t="str">
        <f>IF($W7="","",IF(OR(AND($Q7&lt;&gt;"",N($Q7)&gt;N($W7)),COUNTIFS('Chase Log'!$B$4:$B$2000,$G7,'Chase Log'!$E$4:$E$2000,$W7,'Chase Log'!$I$4:$I$2000,"Y")&gt;0),"",IF(_xlfn.MAXIFS('Chase Log'!$J$4:$J$2000,'Chase Log'!$B$4:$B$2000,$G7,'Chase Log'!$E$4:$E$2000,$W7)=0,"",_xlfn.MAXIFS('Chase Log'!$J$4:$J$2000,'Chase Log'!$B$4:$B$2000,$G7,'Chase Log'!$E$4:$E$2000,$W7))))</f>
        <v/>
      </c>
      <c r="Z7" s="13" t="str">
        <f ca="1">IF(OR($G7="",N($P7)&gt;=1,$C7="Live",$D7&lt;&gt;""),"",IF(AND($Y7&lt;&gt;"",N($Y7)&gt;0),IF($Y7&lt;TODAY(),"Chase Overdue","Scheduled"),IF(AND($Q7&lt;&gt;"",N($R7)&gt;='안내 Guide'!$D$4,OR($X7="",N($X7)&gt;='안내 Guide'!$D$4)),"Chase Needed","")))</f>
        <v>Chase Needed</v>
      </c>
      <c r="AA7" s="28"/>
      <c r="AB7" s="25"/>
      <c r="AC7" s="25" t="s">
        <v>304</v>
      </c>
      <c r="AD7" s="29" t="s">
        <v>305</v>
      </c>
      <c r="AE7" s="25"/>
      <c r="AF7" s="13" t="s">
        <v>306</v>
      </c>
      <c r="AG7" s="16" t="s">
        <v>168</v>
      </c>
      <c r="AH7" s="30"/>
      <c r="AI7" s="30"/>
      <c r="AJ7" s="30"/>
      <c r="AK7" s="30"/>
      <c r="AL7" s="30"/>
      <c r="AM7" s="30"/>
      <c r="AN7" s="30"/>
      <c r="AO7" s="30">
        <v>46235</v>
      </c>
      <c r="AP7" s="30">
        <v>46296</v>
      </c>
      <c r="AQ7" s="30">
        <v>46296</v>
      </c>
      <c r="AR7" s="30"/>
      <c r="AS7" s="30"/>
      <c r="AT7" s="30"/>
      <c r="AU7" s="30"/>
    </row>
    <row r="8" spans="1:47" ht="25.5" customHeight="1">
      <c r="A8" s="22">
        <f t="shared" si="0"/>
        <v>4</v>
      </c>
      <c r="B8" s="22" t="str">
        <f t="shared" si="7"/>
        <v>Testing</v>
      </c>
      <c r="C8" s="23"/>
      <c r="D8" s="23"/>
      <c r="E8" s="13" t="s">
        <v>29</v>
      </c>
      <c r="F8" s="13" t="s">
        <v>153</v>
      </c>
      <c r="G8" s="24" t="s">
        <v>307</v>
      </c>
      <c r="H8" s="13" t="s">
        <v>204</v>
      </c>
      <c r="I8" s="13" t="s">
        <v>285</v>
      </c>
      <c r="J8" s="13" t="s">
        <v>206</v>
      </c>
      <c r="K8" s="22" t="s">
        <v>160</v>
      </c>
      <c r="L8" s="13" t="s">
        <v>161</v>
      </c>
      <c r="M8" s="13" t="s">
        <v>39</v>
      </c>
      <c r="N8" s="13" t="s">
        <v>196</v>
      </c>
      <c r="O8" s="22" t="s">
        <v>208</v>
      </c>
      <c r="P8" s="26">
        <f t="shared" si="1"/>
        <v>0.7</v>
      </c>
      <c r="Q8" s="27">
        <f t="shared" si="2"/>
        <v>46289</v>
      </c>
      <c r="R8" s="22">
        <f t="shared" ca="1" si="3"/>
        <v>36</v>
      </c>
      <c r="S8" s="13" t="str">
        <f t="shared" ca="1" si="4"/>
        <v>Stalled 30d+</v>
      </c>
      <c r="T8" s="13" t="str">
        <f>IF(COUNT($AH8:$AU8)=0,"",LOOKUP(2,1/($AH8:$AU8&lt;&gt;""),{"①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⑩ 라이브 테스트 · Live Test</v>
      </c>
      <c r="U8" s="22">
        <f t="shared" ca="1" si="5"/>
        <v>83</v>
      </c>
      <c r="V8" s="22">
        <f>IF($G8="","",COUNTIF('Chase Log'!$B$4:$B$2000,$G8))</f>
        <v>1</v>
      </c>
      <c r="W8" s="27">
        <f>IF(N($V8)=0,"",_xlfn.MAXIFS('Chase Log'!$E$4:$E$2000,'Chase Log'!$B$4:$B$2000,$G8))</f>
        <v>46300</v>
      </c>
      <c r="X8" s="22">
        <f t="shared" ca="1" si="6"/>
        <v>25</v>
      </c>
      <c r="Y8" s="27" t="str">
        <f>IF($W8="","",IF(OR(AND($Q8&lt;&gt;"",N($Q8)&gt;N($W8)),COUNTIFS('Chase Log'!$B$4:$B$2000,$G8,'Chase Log'!$E$4:$E$2000,$W8,'Chase Log'!$I$4:$I$2000,"Y")&gt;0),"",IF(_xlfn.MAXIFS('Chase Log'!$J$4:$J$2000,'Chase Log'!$B$4:$B$2000,$G8,'Chase Log'!$E$4:$E$2000,$W8)=0,"",_xlfn.MAXIFS('Chase Log'!$J$4:$J$2000,'Chase Log'!$B$4:$B$2000,$G8,'Chase Log'!$E$4:$E$2000,$W8))))</f>
        <v/>
      </c>
      <c r="Z8" s="13" t="str">
        <f ca="1">IF(OR($G8="",N($P8)&gt;=1,$C8="Live",$D8&lt;&gt;""),"",IF(AND($Y8&lt;&gt;"",N($Y8)&gt;0),IF($Y8&lt;TODAY(),"Chase Overdue","Scheduled"),IF(AND($Q8&lt;&gt;"",N($R8)&gt;='안내 Guide'!$D$4,OR($X8="",N($X8)&gt;='안내 Guide'!$D$4)),"Chase Needed","")))</f>
        <v>Chase Needed</v>
      </c>
      <c r="AA8" s="28"/>
      <c r="AB8" s="25"/>
      <c r="AC8" s="25" t="s">
        <v>308</v>
      </c>
      <c r="AD8" s="29" t="s">
        <v>309</v>
      </c>
      <c r="AE8" s="25"/>
      <c r="AF8" s="13" t="s">
        <v>181</v>
      </c>
      <c r="AG8" s="16" t="s">
        <v>168</v>
      </c>
      <c r="AH8" s="30"/>
      <c r="AI8" s="30"/>
      <c r="AJ8" s="30"/>
      <c r="AK8" s="30">
        <v>46242</v>
      </c>
      <c r="AL8" s="30">
        <v>46243</v>
      </c>
      <c r="AM8" s="30">
        <v>46244</v>
      </c>
      <c r="AN8" s="30">
        <v>46245</v>
      </c>
      <c r="AO8" s="30">
        <v>46246</v>
      </c>
      <c r="AP8" s="30">
        <v>46256</v>
      </c>
      <c r="AQ8" s="30">
        <v>46289</v>
      </c>
      <c r="AR8" s="30"/>
      <c r="AS8" s="30"/>
      <c r="AT8" s="30"/>
      <c r="AU8" s="30"/>
    </row>
    <row r="9" spans="1:47" ht="25.5" customHeight="1">
      <c r="A9" s="22">
        <f t="shared" si="0"/>
        <v>5</v>
      </c>
      <c r="B9" s="22" t="str">
        <f>IF($G9="","",IF($C9&lt;&gt;"",$C9,IF($Q9="","Contact",IF($P9&gt;=1,"Live",IF($P9&gt;=0.8,"Pending Live",IF($P9&gt;=0.7,"Testing",IF($P9&gt;=0.45,"In Development",IF($P9&gt;=0.2,"NDA/Contract","Pipeline"))))))))</f>
        <v>Live</v>
      </c>
      <c r="C9" s="23" t="s">
        <v>11</v>
      </c>
      <c r="D9" s="23"/>
      <c r="E9" s="13" t="s">
        <v>29</v>
      </c>
      <c r="F9" s="13" t="s">
        <v>153</v>
      </c>
      <c r="G9" s="24" t="s">
        <v>310</v>
      </c>
      <c r="H9" s="13" t="s">
        <v>204</v>
      </c>
      <c r="I9" s="13" t="s">
        <v>285</v>
      </c>
      <c r="J9" s="13" t="s">
        <v>206</v>
      </c>
      <c r="K9" s="22" t="s">
        <v>160</v>
      </c>
      <c r="L9" s="13" t="s">
        <v>161</v>
      </c>
      <c r="M9" s="13" t="s">
        <v>39</v>
      </c>
      <c r="N9" s="13" t="s">
        <v>196</v>
      </c>
      <c r="O9" s="22" t="s">
        <v>208</v>
      </c>
      <c r="P9" s="26" cm="1">
        <f t="array" ref="P9">IF($G9="","",IFERROR(LOOKUP(2,1/($AH9:$AU9&lt;&gt;""),$AH$2:$AU$2),0))</f>
        <v>0.9</v>
      </c>
      <c r="Q9" s="27">
        <f t="shared" si="2"/>
        <v>46316</v>
      </c>
      <c r="R9" s="22">
        <f t="shared" ca="1" si="3"/>
        <v>9</v>
      </c>
      <c r="S9" s="13" t="str">
        <f>IF($G9="","",IF($Q9="","No Record",IF(OR($P9&gt;=1,$C9="Live"),"Live",IF($R9&gt;=90,"Stalled 90d+",IF($R9&gt;=60,"Stalled 60d+",IF($R9&gt;=30,"Stalled 30d+","In Progress"))))))</f>
        <v>Live</v>
      </c>
      <c r="T9" s="13" t="str">
        <f>IF(COUNT($AH9:$AU9)=0,"",LOOKUP(2,1/($AH9:$AU9&lt;&gt;""),{"①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⑬ 첫 예약 · First Booking</v>
      </c>
      <c r="U9" s="22">
        <f t="shared" ca="1" si="5"/>
        <v>354</v>
      </c>
      <c r="V9" s="22">
        <f>IF($G9="","",COUNTIF('Chase Log'!$B$4:$B$2000,$G9))</f>
        <v>1</v>
      </c>
      <c r="W9" s="27">
        <f>IF(N($V9)=0,"",_xlfn.MAXIFS('Chase Log'!$E$4:$E$2000,'Chase Log'!$B$4:$B$2000,$G9))</f>
        <v>46300</v>
      </c>
      <c r="X9" s="22">
        <f t="shared" ca="1" si="6"/>
        <v>25</v>
      </c>
      <c r="Y9" s="27" t="str">
        <f>IF($W9="","",IF(OR(AND($Q9&lt;&gt;"",N($Q9)&gt;N($W9)),COUNTIFS('Chase Log'!$B$4:$B$2000,$G9,'Chase Log'!$E$4:$E$2000,$W9,'Chase Log'!$I$4:$I$2000,"Y")&gt;0),"",IF(_xlfn.MAXIFS('Chase Log'!$J$4:$J$2000,'Chase Log'!$B$4:$B$2000,$G9,'Chase Log'!$E$4:$E$2000,$W9)=0,"",_xlfn.MAXIFS('Chase Log'!$J$4:$J$2000,'Chase Log'!$B$4:$B$2000,$G9,'Chase Log'!$E$4:$E$2000,$W9))))</f>
        <v/>
      </c>
      <c r="Z9" s="13" t="str">
        <f ca="1">IF(OR($G9="",N($P9)&gt;=1,$C9="Live",$D9&lt;&gt;""),"",IF(AND($Y9&lt;&gt;"",N($Y9)&gt;0),IF($Y9&lt;TODAY(),"Chase Overdue","Scheduled"),IF(AND($Q9&lt;&gt;"",N($R9)&gt;='안내 Guide'!$D$4,OR($X9="",N($X9)&gt;='안내 Guide'!$D$4)),"Chase Needed","")))</f>
        <v/>
      </c>
      <c r="AA9" s="28">
        <v>46310</v>
      </c>
      <c r="AB9" s="25"/>
      <c r="AC9" s="25" t="s">
        <v>304</v>
      </c>
      <c r="AD9" s="29" t="s">
        <v>305</v>
      </c>
      <c r="AE9" s="25"/>
      <c r="AF9" s="13" t="s">
        <v>181</v>
      </c>
      <c r="AG9" s="16" t="s">
        <v>168</v>
      </c>
      <c r="AH9" s="30"/>
      <c r="AI9" s="30"/>
      <c r="AJ9" s="30"/>
      <c r="AK9" s="30">
        <v>45971</v>
      </c>
      <c r="AL9" s="30">
        <v>45971</v>
      </c>
      <c r="AM9" s="30">
        <v>45971</v>
      </c>
      <c r="AN9" s="30">
        <v>45971</v>
      </c>
      <c r="AO9" s="30">
        <v>45971</v>
      </c>
      <c r="AP9" s="30">
        <v>46275</v>
      </c>
      <c r="AQ9" s="30">
        <v>46280</v>
      </c>
      <c r="AR9" s="30">
        <v>46295</v>
      </c>
      <c r="AS9" s="30">
        <v>46296</v>
      </c>
      <c r="AT9" s="30">
        <v>46316</v>
      </c>
      <c r="AU9" s="30"/>
    </row>
    <row r="10" spans="1:47" ht="25.5" customHeight="1">
      <c r="A10" s="22">
        <f t="shared" si="0"/>
        <v>6</v>
      </c>
      <c r="B10" s="22" t="str">
        <f t="shared" si="7"/>
        <v>In Development</v>
      </c>
      <c r="C10" s="23"/>
      <c r="D10" s="23"/>
      <c r="E10" s="13" t="s">
        <v>27</v>
      </c>
      <c r="F10" s="13" t="s">
        <v>184</v>
      </c>
      <c r="G10" s="24" t="s">
        <v>311</v>
      </c>
      <c r="H10" s="13" t="s">
        <v>204</v>
      </c>
      <c r="I10" s="13" t="s">
        <v>285</v>
      </c>
      <c r="J10" s="13" t="s">
        <v>206</v>
      </c>
      <c r="K10" s="22" t="s">
        <v>194</v>
      </c>
      <c r="L10" s="13" t="s">
        <v>161</v>
      </c>
      <c r="M10" s="13" t="s">
        <v>42</v>
      </c>
      <c r="N10" s="13" t="s">
        <v>196</v>
      </c>
      <c r="O10" s="22" t="s">
        <v>208</v>
      </c>
      <c r="P10" s="26">
        <f t="shared" si="1"/>
        <v>0.5</v>
      </c>
      <c r="Q10" s="27">
        <f t="shared" si="2"/>
        <v>46255</v>
      </c>
      <c r="R10" s="22">
        <f t="shared" ca="1" si="3"/>
        <v>70</v>
      </c>
      <c r="S10" s="13" t="str">
        <f t="shared" ca="1" si="4"/>
        <v>Stalled 60d+</v>
      </c>
      <c r="T10" s="13" t="str">
        <f>IF(COUNT($AH10:$AU10)=0,"",LOOKUP(2,1/($AH10:$AU10&lt;&gt;""),{"①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U10" s="22">
        <f t="shared" ca="1" si="5"/>
        <v>108</v>
      </c>
      <c r="V10" s="22">
        <f>IF($G10="","",COUNTIF('Chase Log'!$B$4:$B$2000,$G10))</f>
        <v>1</v>
      </c>
      <c r="W10" s="27">
        <f>IF(N($V10)=0,"",_xlfn.MAXIFS('Chase Log'!$E$4:$E$2000,'Chase Log'!$B$4:$B$2000,$G10))</f>
        <v>46300</v>
      </c>
      <c r="X10" s="22">
        <f t="shared" ca="1" si="6"/>
        <v>25</v>
      </c>
      <c r="Y10" s="27" t="str">
        <f>IF($W10="","",IF(OR(AND($Q10&lt;&gt;"",N($Q10)&gt;N($W10)),COUNTIFS('Chase Log'!$B$4:$B$2000,$G10,'Chase Log'!$E$4:$E$2000,$W10,'Chase Log'!$I$4:$I$2000,"Y")&gt;0),"",IF(_xlfn.MAXIFS('Chase Log'!$J$4:$J$2000,'Chase Log'!$B$4:$B$2000,$G10,'Chase Log'!$E$4:$E$2000,$W10)=0,"",_xlfn.MAXIFS('Chase Log'!$J$4:$J$2000,'Chase Log'!$B$4:$B$2000,$G10,'Chase Log'!$E$4:$E$2000,$W10))))</f>
        <v/>
      </c>
      <c r="Z10" s="13" t="str">
        <f ca="1">IF(OR($G10="",N($P10)&gt;=1,$C10="Live",$D10&lt;&gt;""),"",IF(AND($Y10&lt;&gt;"",N($Y10)&gt;0),IF($Y10&lt;TODAY(),"Chase Overdue","Scheduled"),IF(AND($Q10&lt;&gt;"",N($R10)&gt;='안내 Guide'!$D$4,OR($X10="",N($X10)&gt;='안내 Guide'!$D$4)),"Chase Needed","")))</f>
        <v>Chase Needed</v>
      </c>
      <c r="AA10" s="28"/>
      <c r="AB10" s="25"/>
      <c r="AC10" s="25" t="s">
        <v>312</v>
      </c>
      <c r="AD10" s="29" t="s">
        <v>313</v>
      </c>
      <c r="AE10" s="25"/>
      <c r="AF10" s="13" t="s">
        <v>181</v>
      </c>
      <c r="AG10" s="16" t="s">
        <v>168</v>
      </c>
      <c r="AH10" s="30"/>
      <c r="AI10" s="30"/>
      <c r="AJ10" s="30"/>
      <c r="AK10" s="30">
        <v>46217</v>
      </c>
      <c r="AL10" s="30">
        <v>46238</v>
      </c>
      <c r="AM10" s="30"/>
      <c r="AN10" s="30"/>
      <c r="AO10" s="30">
        <v>46255</v>
      </c>
      <c r="AP10" s="30"/>
      <c r="AQ10" s="30"/>
      <c r="AR10" s="30"/>
      <c r="AS10" s="30"/>
      <c r="AT10" s="30"/>
      <c r="AU10" s="30"/>
    </row>
    <row r="11" spans="1:47" ht="25.5" customHeight="1">
      <c r="A11" s="22">
        <f t="shared" si="0"/>
        <v>7</v>
      </c>
      <c r="B11" s="22" t="str">
        <f t="shared" si="7"/>
        <v>In Development</v>
      </c>
      <c r="C11" s="23"/>
      <c r="D11" s="23"/>
      <c r="E11" s="13" t="s">
        <v>29</v>
      </c>
      <c r="F11" s="13" t="s">
        <v>153</v>
      </c>
      <c r="G11" s="24" t="s">
        <v>67</v>
      </c>
      <c r="H11" s="13" t="s">
        <v>204</v>
      </c>
      <c r="I11" s="13" t="s">
        <v>285</v>
      </c>
      <c r="J11" s="13" t="s">
        <v>206</v>
      </c>
      <c r="K11" s="22" t="s">
        <v>194</v>
      </c>
      <c r="L11" s="13" t="s">
        <v>161</v>
      </c>
      <c r="M11" s="13" t="s">
        <v>39</v>
      </c>
      <c r="N11" s="13" t="s">
        <v>196</v>
      </c>
      <c r="O11" s="22" t="s">
        <v>208</v>
      </c>
      <c r="P11" s="26">
        <f t="shared" si="1"/>
        <v>0.5</v>
      </c>
      <c r="Q11" s="27">
        <f t="shared" si="2"/>
        <v>46248</v>
      </c>
      <c r="R11" s="22">
        <f t="shared" ca="1" si="3"/>
        <v>77</v>
      </c>
      <c r="S11" s="13" t="str">
        <f t="shared" ca="1" si="4"/>
        <v>Stalled 60d+</v>
      </c>
      <c r="T11" s="13" t="str">
        <f>IF(COUNT($AH11:$AU11)=0,"",LOOKUP(2,1/($AH11:$AU11&lt;&gt;""),{"①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U11" s="22">
        <f t="shared" ca="1" si="5"/>
        <v>81</v>
      </c>
      <c r="V11" s="22">
        <f>IF($G11="","",COUNTIF('Chase Log'!$B$4:$B$2000,$G11))</f>
        <v>1</v>
      </c>
      <c r="W11" s="27">
        <f>IF(N($V11)=0,"",_xlfn.MAXIFS('Chase Log'!$E$4:$E$2000,'Chase Log'!$B$4:$B$2000,$G11))</f>
        <v>46300</v>
      </c>
      <c r="X11" s="22">
        <f t="shared" ca="1" si="6"/>
        <v>25</v>
      </c>
      <c r="Y11" s="27" t="str">
        <f>IF($W11="","",IF(OR(AND($Q11&lt;&gt;"",N($Q11)&gt;N($W11)),COUNTIFS('Chase Log'!$B$4:$B$2000,$G11,'Chase Log'!$E$4:$E$2000,$W11,'Chase Log'!$I$4:$I$2000,"Y")&gt;0),"",IF(_xlfn.MAXIFS('Chase Log'!$J$4:$J$2000,'Chase Log'!$B$4:$B$2000,$G11,'Chase Log'!$E$4:$E$2000,$W11)=0,"",_xlfn.MAXIFS('Chase Log'!$J$4:$J$2000,'Chase Log'!$B$4:$B$2000,$G11,'Chase Log'!$E$4:$E$2000,$W11))))</f>
        <v/>
      </c>
      <c r="Z11" s="13" t="str">
        <f ca="1">IF(OR($G11="",N($P11)&gt;=1,$C11="Live",$D11&lt;&gt;""),"",IF(AND($Y11&lt;&gt;"",N($Y11)&gt;0),IF($Y11&lt;TODAY(),"Chase Overdue","Scheduled"),IF(AND($Q11&lt;&gt;"",N($R11)&gt;='안내 Guide'!$D$4,OR($X11="",N($X11)&gt;='안내 Guide'!$D$4)),"Chase Needed","")))</f>
        <v>Chase Needed</v>
      </c>
      <c r="AA11" s="28"/>
      <c r="AB11" s="25"/>
      <c r="AC11" s="25" t="s">
        <v>314</v>
      </c>
      <c r="AD11" s="29" t="s">
        <v>315</v>
      </c>
      <c r="AE11" s="25"/>
      <c r="AF11" s="13" t="s">
        <v>181</v>
      </c>
      <c r="AG11" s="16" t="s">
        <v>168</v>
      </c>
      <c r="AH11" s="30"/>
      <c r="AI11" s="30"/>
      <c r="AJ11" s="30"/>
      <c r="AK11" s="30">
        <v>46244</v>
      </c>
      <c r="AL11" s="30">
        <v>46245</v>
      </c>
      <c r="AM11" s="30">
        <v>46246</v>
      </c>
      <c r="AN11" s="30">
        <v>46247</v>
      </c>
      <c r="AO11" s="30">
        <v>46248</v>
      </c>
      <c r="AP11" s="30"/>
      <c r="AQ11" s="30"/>
      <c r="AR11" s="30"/>
      <c r="AS11" s="30"/>
      <c r="AT11" s="30"/>
      <c r="AU11" s="30"/>
    </row>
    <row r="12" spans="1:47" ht="25.5" customHeight="1">
      <c r="A12" s="22">
        <f t="shared" si="0"/>
        <v>8</v>
      </c>
      <c r="B12" s="22" t="str">
        <f t="shared" si="7"/>
        <v>In Development</v>
      </c>
      <c r="C12" s="23"/>
      <c r="D12" s="23"/>
      <c r="E12" s="13" t="s">
        <v>29</v>
      </c>
      <c r="F12" s="13" t="s">
        <v>203</v>
      </c>
      <c r="G12" s="24" t="s">
        <v>58</v>
      </c>
      <c r="H12" s="13" t="s">
        <v>204</v>
      </c>
      <c r="I12" s="13" t="s">
        <v>285</v>
      </c>
      <c r="J12" s="13" t="s">
        <v>206</v>
      </c>
      <c r="K12" s="22" t="s">
        <v>160</v>
      </c>
      <c r="L12" s="13" t="s">
        <v>187</v>
      </c>
      <c r="M12" s="13" t="s">
        <v>39</v>
      </c>
      <c r="N12" s="13" t="s">
        <v>196</v>
      </c>
      <c r="O12" s="22" t="s">
        <v>208</v>
      </c>
      <c r="P12" s="26">
        <f t="shared" si="1"/>
        <v>0.5</v>
      </c>
      <c r="Q12" s="27">
        <f t="shared" si="2"/>
        <v>45993</v>
      </c>
      <c r="R12" s="22">
        <f t="shared" ca="1" si="3"/>
        <v>332</v>
      </c>
      <c r="S12" s="13" t="str">
        <f t="shared" ca="1" si="4"/>
        <v>Stalled 90d+</v>
      </c>
      <c r="T12" s="13" t="str">
        <f>IF(COUNT($AH12:$AU12)=0,"",LOOKUP(2,1/($AH12:$AU12&lt;&gt;""),{"①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U12" s="22">
        <f t="shared" ca="1" si="5"/>
        <v>379</v>
      </c>
      <c r="V12" s="22">
        <f>IF($G12="","",COUNTIF('Chase Log'!$B$4:$B$2000,$G12))</f>
        <v>1</v>
      </c>
      <c r="W12" s="27">
        <f>IF(N($V12)=0,"",_xlfn.MAXIFS('Chase Log'!$E$4:$E$2000,'Chase Log'!$B$4:$B$2000,$G12))</f>
        <v>46300</v>
      </c>
      <c r="X12" s="22">
        <f t="shared" ca="1" si="6"/>
        <v>25</v>
      </c>
      <c r="Y12" s="27" t="str">
        <f>IF($W12="","",IF(OR(AND($Q12&lt;&gt;"",N($Q12)&gt;N($W12)),COUNTIFS('Chase Log'!$B$4:$B$2000,$G12,'Chase Log'!$E$4:$E$2000,$W12,'Chase Log'!$I$4:$I$2000,"Y")&gt;0),"",IF(_xlfn.MAXIFS('Chase Log'!$J$4:$J$2000,'Chase Log'!$B$4:$B$2000,$G12,'Chase Log'!$E$4:$E$2000,$W12)=0,"",_xlfn.MAXIFS('Chase Log'!$J$4:$J$2000,'Chase Log'!$B$4:$B$2000,$G12,'Chase Log'!$E$4:$E$2000,$W12))))</f>
        <v/>
      </c>
      <c r="Z12" s="13" t="str">
        <f ca="1">IF(OR($G12="",N($P12)&gt;=1,$C12="Live",$D12&lt;&gt;""),"",IF(AND($Y12&lt;&gt;"",N($Y12)&gt;0),IF($Y12&lt;TODAY(),"Chase Overdue","Scheduled"),IF(AND($Q12&lt;&gt;"",N($R12)&gt;='안내 Guide'!$D$4,OR($X12="",N($X12)&gt;='안내 Guide'!$D$4)),"Chase Needed","")))</f>
        <v>Chase Needed</v>
      </c>
      <c r="AA12" s="28"/>
      <c r="AB12" s="25"/>
      <c r="AC12" s="25"/>
      <c r="AD12" s="29"/>
      <c r="AE12" s="25"/>
      <c r="AF12" s="13"/>
      <c r="AG12" s="16" t="s">
        <v>168</v>
      </c>
      <c r="AH12" s="30"/>
      <c r="AI12" s="30"/>
      <c r="AJ12" s="30"/>
      <c r="AK12" s="30"/>
      <c r="AL12" s="30">
        <v>45946</v>
      </c>
      <c r="AM12" s="30"/>
      <c r="AN12" s="30">
        <v>45992</v>
      </c>
      <c r="AO12" s="30">
        <v>45993</v>
      </c>
      <c r="AP12" s="30"/>
      <c r="AQ12" s="30"/>
      <c r="AR12" s="30"/>
      <c r="AS12" s="30"/>
      <c r="AT12" s="30"/>
      <c r="AU12" s="30"/>
    </row>
    <row r="13" spans="1:47" ht="25.5" customHeight="1">
      <c r="A13" s="22">
        <f t="shared" si="0"/>
        <v>9</v>
      </c>
      <c r="B13" s="22" t="str">
        <f t="shared" si="7"/>
        <v>In Development</v>
      </c>
      <c r="C13" s="23"/>
      <c r="D13" s="23"/>
      <c r="E13" s="13" t="s">
        <v>29</v>
      </c>
      <c r="F13" s="13" t="s">
        <v>153</v>
      </c>
      <c r="G13" s="24" t="s">
        <v>69</v>
      </c>
      <c r="H13" s="13" t="s">
        <v>204</v>
      </c>
      <c r="I13" s="13" t="s">
        <v>285</v>
      </c>
      <c r="J13" s="13" t="s">
        <v>206</v>
      </c>
      <c r="K13" s="22" t="s">
        <v>194</v>
      </c>
      <c r="L13" s="13" t="s">
        <v>187</v>
      </c>
      <c r="M13" s="13" t="s">
        <v>39</v>
      </c>
      <c r="N13" s="13" t="s">
        <v>196</v>
      </c>
      <c r="O13" s="22" t="s">
        <v>208</v>
      </c>
      <c r="P13" s="26">
        <f t="shared" si="1"/>
        <v>0.5</v>
      </c>
      <c r="Q13" s="27">
        <f t="shared" si="2"/>
        <v>46248</v>
      </c>
      <c r="R13" s="22">
        <f t="shared" ca="1" si="3"/>
        <v>77</v>
      </c>
      <c r="S13" s="13" t="str">
        <f t="shared" ca="1" si="4"/>
        <v>Stalled 60d+</v>
      </c>
      <c r="T13" s="13" t="str">
        <f>IF(COUNT($AH13:$AU13)=0,"",LOOKUP(2,1/($AH13:$AU13&lt;&gt;""),{"①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U13" s="22">
        <f t="shared" ca="1" si="5"/>
        <v>81</v>
      </c>
      <c r="V13" s="22">
        <f>IF($G13="","",COUNTIF('Chase Log'!$B$4:$B$2000,$G13))</f>
        <v>1</v>
      </c>
      <c r="W13" s="27">
        <f>IF(N($V13)=0,"",_xlfn.MAXIFS('Chase Log'!$E$4:$E$2000,'Chase Log'!$B$4:$B$2000,$G13))</f>
        <v>46300</v>
      </c>
      <c r="X13" s="22">
        <f t="shared" ca="1" si="6"/>
        <v>25</v>
      </c>
      <c r="Y13" s="27" t="str">
        <f>IF($W13="","",IF(OR(AND($Q13&lt;&gt;"",N($Q13)&gt;N($W13)),COUNTIFS('Chase Log'!$B$4:$B$2000,$G13,'Chase Log'!$E$4:$E$2000,$W13,'Chase Log'!$I$4:$I$2000,"Y")&gt;0),"",IF(_xlfn.MAXIFS('Chase Log'!$J$4:$J$2000,'Chase Log'!$B$4:$B$2000,$G13,'Chase Log'!$E$4:$E$2000,$W13)=0,"",_xlfn.MAXIFS('Chase Log'!$J$4:$J$2000,'Chase Log'!$B$4:$B$2000,$G13,'Chase Log'!$E$4:$E$2000,$W13))))</f>
        <v/>
      </c>
      <c r="Z13" s="13" t="str">
        <f ca="1">IF(OR($G13="",N($P13)&gt;=1,$C13="Live",$D13&lt;&gt;""),"",IF(AND($Y13&lt;&gt;"",N($Y13)&gt;0),IF($Y13&lt;TODAY(),"Chase Overdue","Scheduled"),IF(AND($Q13&lt;&gt;"",N($R13)&gt;='안내 Guide'!$D$4,OR($X13="",N($X13)&gt;='안내 Guide'!$D$4)),"Chase Needed","")))</f>
        <v>Chase Needed</v>
      </c>
      <c r="AA13" s="28"/>
      <c r="AB13" s="25"/>
      <c r="AC13" s="25"/>
      <c r="AD13" s="29"/>
      <c r="AE13" s="25"/>
      <c r="AF13" s="13"/>
      <c r="AG13" s="16" t="s">
        <v>168</v>
      </c>
      <c r="AH13" s="30"/>
      <c r="AI13" s="30"/>
      <c r="AJ13" s="30"/>
      <c r="AK13" s="30">
        <v>46244</v>
      </c>
      <c r="AL13" s="30">
        <v>46245</v>
      </c>
      <c r="AM13" s="30">
        <v>46246</v>
      </c>
      <c r="AN13" s="30">
        <v>46247</v>
      </c>
      <c r="AO13" s="30">
        <v>46248</v>
      </c>
      <c r="AP13" s="30"/>
      <c r="AQ13" s="30"/>
      <c r="AR13" s="30"/>
      <c r="AS13" s="30"/>
      <c r="AT13" s="30"/>
      <c r="AU13" s="30"/>
    </row>
    <row r="14" spans="1:47" ht="25.5" customHeight="1">
      <c r="A14" s="22">
        <f t="shared" si="0"/>
        <v>10</v>
      </c>
      <c r="B14" s="22" t="str">
        <f t="shared" si="7"/>
        <v>In Development</v>
      </c>
      <c r="C14" s="23"/>
      <c r="D14" s="23"/>
      <c r="E14" s="13" t="s">
        <v>33</v>
      </c>
      <c r="F14" s="13" t="s">
        <v>316</v>
      </c>
      <c r="G14" s="24" t="s">
        <v>70</v>
      </c>
      <c r="H14" s="13" t="s">
        <v>204</v>
      </c>
      <c r="I14" s="13" t="s">
        <v>285</v>
      </c>
      <c r="J14" s="13" t="s">
        <v>206</v>
      </c>
      <c r="K14" s="22" t="s">
        <v>160</v>
      </c>
      <c r="L14" s="13" t="s">
        <v>161</v>
      </c>
      <c r="M14" s="13" t="s">
        <v>40</v>
      </c>
      <c r="N14" s="13" t="s">
        <v>196</v>
      </c>
      <c r="O14" s="22" t="s">
        <v>208</v>
      </c>
      <c r="P14" s="26">
        <f t="shared" si="1"/>
        <v>0.5</v>
      </c>
      <c r="Q14" s="27">
        <f t="shared" si="2"/>
        <v>46253</v>
      </c>
      <c r="R14" s="22">
        <f t="shared" ca="1" si="3"/>
        <v>72</v>
      </c>
      <c r="S14" s="13" t="str">
        <f t="shared" ca="1" si="4"/>
        <v>Stalled 60d+</v>
      </c>
      <c r="T14" s="13" t="str">
        <f>IF(COUNT($AH14:$AU14)=0,"",LOOKUP(2,1/($AH14:$AU14&lt;&gt;""),{"①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U14" s="22">
        <f t="shared" ca="1" si="5"/>
        <v>73</v>
      </c>
      <c r="V14" s="22">
        <f>IF($G14="","",COUNTIF('Chase Log'!$B$4:$B$2000,$G14))</f>
        <v>1</v>
      </c>
      <c r="W14" s="27">
        <f>IF(N($V14)=0,"",_xlfn.MAXIFS('Chase Log'!$E$4:$E$2000,'Chase Log'!$B$4:$B$2000,$G14))</f>
        <v>46300</v>
      </c>
      <c r="X14" s="22">
        <f t="shared" ca="1" si="6"/>
        <v>25</v>
      </c>
      <c r="Y14" s="27" t="str">
        <f>IF($W14="","",IF(OR(AND($Q14&lt;&gt;"",N($Q14)&gt;N($W14)),COUNTIFS('Chase Log'!$B$4:$B$2000,$G14,'Chase Log'!$E$4:$E$2000,$W14,'Chase Log'!$I$4:$I$2000,"Y")&gt;0),"",IF(_xlfn.MAXIFS('Chase Log'!$J$4:$J$2000,'Chase Log'!$B$4:$B$2000,$G14,'Chase Log'!$E$4:$E$2000,$W14)=0,"",_xlfn.MAXIFS('Chase Log'!$J$4:$J$2000,'Chase Log'!$B$4:$B$2000,$G14,'Chase Log'!$E$4:$E$2000,$W14))))</f>
        <v/>
      </c>
      <c r="Z14" s="13" t="str">
        <f ca="1">IF(OR($G14="",N($P14)&gt;=1,$C14="Live",$D14&lt;&gt;""),"",IF(AND($Y14&lt;&gt;"",N($Y14)&gt;0),IF($Y14&lt;TODAY(),"Chase Overdue","Scheduled"),IF(AND($Q14&lt;&gt;"",N($R14)&gt;='안내 Guide'!$D$4,OR($X14="",N($X14)&gt;='안내 Guide'!$D$4)),"Chase Needed","")))</f>
        <v>Chase Needed</v>
      </c>
      <c r="AA14" s="28"/>
      <c r="AB14" s="25"/>
      <c r="AC14" s="25" t="s">
        <v>317</v>
      </c>
      <c r="AD14" s="29" t="s">
        <v>318</v>
      </c>
      <c r="AE14" s="25"/>
      <c r="AF14" s="13" t="s">
        <v>238</v>
      </c>
      <c r="AG14" s="16" t="s">
        <v>168</v>
      </c>
      <c r="AH14" s="30"/>
      <c r="AI14" s="30"/>
      <c r="AJ14" s="30"/>
      <c r="AK14" s="30">
        <v>46252</v>
      </c>
      <c r="AL14" s="30">
        <v>46253</v>
      </c>
      <c r="AM14" s="30"/>
      <c r="AN14" s="30">
        <v>46253</v>
      </c>
      <c r="AO14" s="30">
        <v>46253</v>
      </c>
      <c r="AP14" s="30"/>
      <c r="AQ14" s="30"/>
      <c r="AR14" s="30"/>
      <c r="AS14" s="30"/>
      <c r="AT14" s="30"/>
      <c r="AU14" s="30"/>
    </row>
    <row r="15" spans="1:47" ht="25.5" customHeight="1">
      <c r="A15" s="22">
        <f t="shared" si="0"/>
        <v>11</v>
      </c>
      <c r="B15" s="22" t="str">
        <f t="shared" si="7"/>
        <v>In Development</v>
      </c>
      <c r="C15" s="23"/>
      <c r="D15" s="23"/>
      <c r="E15" s="13" t="s">
        <v>29</v>
      </c>
      <c r="F15" s="13" t="s">
        <v>153</v>
      </c>
      <c r="G15" s="24" t="s">
        <v>319</v>
      </c>
      <c r="H15" s="13" t="s">
        <v>204</v>
      </c>
      <c r="I15" s="13" t="s">
        <v>285</v>
      </c>
      <c r="J15" s="13" t="s">
        <v>206</v>
      </c>
      <c r="K15" s="22" t="s">
        <v>160</v>
      </c>
      <c r="L15" s="13" t="s">
        <v>161</v>
      </c>
      <c r="M15" s="13" t="s">
        <v>39</v>
      </c>
      <c r="N15" s="13" t="s">
        <v>196</v>
      </c>
      <c r="O15" s="22" t="s">
        <v>208</v>
      </c>
      <c r="P15" s="26">
        <f t="shared" si="1"/>
        <v>0.5</v>
      </c>
      <c r="Q15" s="27">
        <f t="shared" si="2"/>
        <v>46305</v>
      </c>
      <c r="R15" s="22">
        <f t="shared" ca="1" si="3"/>
        <v>20</v>
      </c>
      <c r="S15" s="13" t="str">
        <f t="shared" ca="1" si="4"/>
        <v>In Progress</v>
      </c>
      <c r="T15" s="13" t="str">
        <f>IF(COUNT($AH15:$AU15)=0,"",LOOKUP(2,1/($AH15:$AU15&lt;&gt;""),{"①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U15" s="22">
        <f t="shared" ca="1" si="5"/>
        <v>50</v>
      </c>
      <c r="V15" s="22">
        <f>IF($G15="","",COUNTIF('Chase Log'!$B$4:$B$2000,$G15))</f>
        <v>0</v>
      </c>
      <c r="W15" s="27" t="str">
        <f>IF(N($V15)=0,"",_xlfn.MAXIFS('Chase Log'!$E$4:$E$2000,'Chase Log'!$B$4:$B$2000,$G15))</f>
        <v/>
      </c>
      <c r="X15" s="22" t="str">
        <f t="shared" ca="1" si="6"/>
        <v/>
      </c>
      <c r="Y15" s="27" t="str">
        <f>IF($W15="","",IF(OR(AND($Q15&lt;&gt;"",N($Q15)&gt;N($W15)),COUNTIFS('Chase Log'!$B$4:$B$2000,$G15,'Chase Log'!$E$4:$E$2000,$W15,'Chase Log'!$I$4:$I$2000,"Y")&gt;0),"",IF(_xlfn.MAXIFS('Chase Log'!$J$4:$J$2000,'Chase Log'!$B$4:$B$2000,$G15,'Chase Log'!$E$4:$E$2000,$W15)=0,"",_xlfn.MAXIFS('Chase Log'!$J$4:$J$2000,'Chase Log'!$B$4:$B$2000,$G15,'Chase Log'!$E$4:$E$2000,$W15))))</f>
        <v/>
      </c>
      <c r="Z15" s="13" t="str">
        <f ca="1">IF(OR($G15="",N($P15)&gt;=1,$C15="Live",$D15&lt;&gt;""),"",IF(AND($Y15&lt;&gt;"",N($Y15)&gt;0),IF($Y15&lt;TODAY(),"Chase Overdue","Scheduled"),IF(AND($Q15&lt;&gt;"",N($R15)&gt;='안내 Guide'!$D$4,OR($X15="",N($X15)&gt;='안내 Guide'!$D$4)),"Chase Needed","")))</f>
        <v>Chase Needed</v>
      </c>
      <c r="AA15" s="28"/>
      <c r="AB15" s="25"/>
      <c r="AC15" s="25" t="s">
        <v>320</v>
      </c>
      <c r="AD15" s="29" t="s">
        <v>321</v>
      </c>
      <c r="AE15" s="25"/>
      <c r="AF15" s="13" t="s">
        <v>322</v>
      </c>
      <c r="AG15" s="16" t="s">
        <v>168</v>
      </c>
      <c r="AH15" s="30"/>
      <c r="AI15" s="30"/>
      <c r="AJ15" s="30"/>
      <c r="AK15" s="30">
        <v>46275</v>
      </c>
      <c r="AL15" s="30">
        <v>46275</v>
      </c>
      <c r="AM15" s="30">
        <v>46275</v>
      </c>
      <c r="AN15" s="30">
        <v>46305</v>
      </c>
      <c r="AO15" s="30">
        <v>46305</v>
      </c>
      <c r="AP15" s="30"/>
      <c r="AQ15" s="30"/>
      <c r="AR15" s="30"/>
      <c r="AS15" s="30"/>
      <c r="AT15" s="30"/>
      <c r="AU15" s="30"/>
    </row>
    <row r="16" spans="1:47" ht="25.5" customHeight="1">
      <c r="A16" s="22">
        <f t="shared" si="0"/>
        <v>12</v>
      </c>
      <c r="B16" s="22" t="str">
        <f t="shared" si="7"/>
        <v>NDA/Contract</v>
      </c>
      <c r="C16" s="23"/>
      <c r="D16" s="23"/>
      <c r="E16" s="13" t="s">
        <v>30</v>
      </c>
      <c r="F16" s="13" t="s">
        <v>298</v>
      </c>
      <c r="G16" s="24" t="s">
        <v>62</v>
      </c>
      <c r="H16" s="13" t="s">
        <v>204</v>
      </c>
      <c r="I16" s="13" t="s">
        <v>285</v>
      </c>
      <c r="J16" s="13" t="s">
        <v>206</v>
      </c>
      <c r="K16" s="22" t="s">
        <v>194</v>
      </c>
      <c r="L16" s="13" t="s">
        <v>323</v>
      </c>
      <c r="M16" s="13" t="s">
        <v>40</v>
      </c>
      <c r="N16" s="13" t="s">
        <v>196</v>
      </c>
      <c r="O16" s="22" t="s">
        <v>208</v>
      </c>
      <c r="P16" s="26">
        <f t="shared" si="1"/>
        <v>0.4</v>
      </c>
      <c r="Q16" s="27">
        <f t="shared" si="2"/>
        <v>46212</v>
      </c>
      <c r="R16" s="22">
        <f t="shared" ca="1" si="3"/>
        <v>113</v>
      </c>
      <c r="S16" s="13" t="str">
        <f t="shared" ca="1" si="4"/>
        <v>Stalled 90d+</v>
      </c>
      <c r="T16" s="13" t="str">
        <f>IF(COUNT($AH16:$AU16)=0,"",LOOKUP(2,1/($AH16:$AU16&lt;&gt;""),{"①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⑥ SLA 확정 · SLA Finalized</v>
      </c>
      <c r="U16" s="22">
        <f t="shared" ca="1" si="5"/>
        <v>113</v>
      </c>
      <c r="V16" s="22">
        <f>IF($G16="","",COUNTIF('Chase Log'!$B$4:$B$2000,$G16))</f>
        <v>1</v>
      </c>
      <c r="W16" s="27">
        <f>IF(N($V16)=0,"",_xlfn.MAXIFS('Chase Log'!$E$4:$E$2000,'Chase Log'!$B$4:$B$2000,$G16))</f>
        <v>46300</v>
      </c>
      <c r="X16" s="22">
        <f t="shared" ca="1" si="6"/>
        <v>25</v>
      </c>
      <c r="Y16" s="27" t="str">
        <f>IF($W16="","",IF(OR(AND($Q16&lt;&gt;"",N($Q16)&gt;N($W16)),COUNTIFS('Chase Log'!$B$4:$B$2000,$G16,'Chase Log'!$E$4:$E$2000,$W16,'Chase Log'!$I$4:$I$2000,"Y")&gt;0),"",IF(_xlfn.MAXIFS('Chase Log'!$J$4:$J$2000,'Chase Log'!$B$4:$B$2000,$G16,'Chase Log'!$E$4:$E$2000,$W16)=0,"",_xlfn.MAXIFS('Chase Log'!$J$4:$J$2000,'Chase Log'!$B$4:$B$2000,$G16,'Chase Log'!$E$4:$E$2000,$W16))))</f>
        <v/>
      </c>
      <c r="Z16" s="13" t="str">
        <f ca="1">IF(OR($G16="",N($P16)&gt;=1,$C16="Live",$D16&lt;&gt;""),"",IF(AND($Y16&lt;&gt;"",N($Y16)&gt;0),IF($Y16&lt;TODAY(),"Chase Overdue","Scheduled"),IF(AND($Q16&lt;&gt;"",N($R16)&gt;='안내 Guide'!$D$4,OR($X16="",N($X16)&gt;='안내 Guide'!$D$4)),"Chase Needed","")))</f>
        <v>Chase Needed</v>
      </c>
      <c r="AA16" s="28"/>
      <c r="AB16" s="25"/>
      <c r="AC16" s="25" t="s">
        <v>324</v>
      </c>
      <c r="AD16" s="29" t="s">
        <v>325</v>
      </c>
      <c r="AE16" s="25"/>
      <c r="AF16" s="13" t="s">
        <v>181</v>
      </c>
      <c r="AG16" s="16" t="s">
        <v>168</v>
      </c>
      <c r="AH16" s="30"/>
      <c r="AI16" s="30"/>
      <c r="AJ16" s="30"/>
      <c r="AK16" s="30">
        <v>46212</v>
      </c>
      <c r="AL16" s="30">
        <v>46212</v>
      </c>
      <c r="AM16" s="30">
        <v>46212</v>
      </c>
      <c r="AN16" s="30"/>
      <c r="AO16" s="30"/>
      <c r="AP16" s="30"/>
      <c r="AQ16" s="30"/>
      <c r="AR16" s="30"/>
      <c r="AS16" s="30"/>
      <c r="AT16" s="30"/>
      <c r="AU16" s="30"/>
    </row>
    <row r="17" spans="1:47" ht="25.5" customHeight="1">
      <c r="A17" s="22">
        <f t="shared" si="0"/>
        <v>13</v>
      </c>
      <c r="B17" s="22" t="str">
        <f t="shared" si="7"/>
        <v>NDA/Contract</v>
      </c>
      <c r="C17" s="23"/>
      <c r="D17" s="23"/>
      <c r="E17" s="13" t="s">
        <v>29</v>
      </c>
      <c r="F17" s="13" t="s">
        <v>153</v>
      </c>
      <c r="G17" s="24" t="s">
        <v>57</v>
      </c>
      <c r="H17" s="13" t="s">
        <v>204</v>
      </c>
      <c r="I17" s="13" t="s">
        <v>285</v>
      </c>
      <c r="J17" s="13" t="s">
        <v>206</v>
      </c>
      <c r="K17" s="22" t="s">
        <v>186</v>
      </c>
      <c r="L17" s="13" t="s">
        <v>187</v>
      </c>
      <c r="M17" s="13" t="s">
        <v>39</v>
      </c>
      <c r="N17" s="13" t="s">
        <v>196</v>
      </c>
      <c r="O17" s="22" t="s">
        <v>208</v>
      </c>
      <c r="P17" s="26">
        <f t="shared" si="1"/>
        <v>0.2</v>
      </c>
      <c r="Q17" s="27">
        <f t="shared" si="2"/>
        <v>45957</v>
      </c>
      <c r="R17" s="22">
        <f t="shared" ca="1" si="3"/>
        <v>368</v>
      </c>
      <c r="S17" s="13" t="str">
        <f t="shared" ca="1" si="4"/>
        <v>Stalled 90d+</v>
      </c>
      <c r="T17" s="13" t="str">
        <f>IF(COUNT($AH17:$AU17)=0,"",LOOKUP(2,1/($AH17:$AU17&lt;&gt;""),{"①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U17" s="22">
        <f t="shared" ca="1" si="5"/>
        <v>368</v>
      </c>
      <c r="V17" s="22">
        <f>IF($G17="","",COUNTIF('Chase Log'!$B$4:$B$2000,$G17))</f>
        <v>1</v>
      </c>
      <c r="W17" s="27">
        <f>IF(N($V17)=0,"",_xlfn.MAXIFS('Chase Log'!$E$4:$E$2000,'Chase Log'!$B$4:$B$2000,$G17))</f>
        <v>46300</v>
      </c>
      <c r="X17" s="22">
        <f t="shared" ca="1" si="6"/>
        <v>25</v>
      </c>
      <c r="Y17" s="27" t="str">
        <f>IF($W17="","",IF(OR(AND($Q17&lt;&gt;"",N($Q17)&gt;N($W17)),COUNTIFS('Chase Log'!$B$4:$B$2000,$G17,'Chase Log'!$E$4:$E$2000,$W17,'Chase Log'!$I$4:$I$2000,"Y")&gt;0),"",IF(_xlfn.MAXIFS('Chase Log'!$J$4:$J$2000,'Chase Log'!$B$4:$B$2000,$G17,'Chase Log'!$E$4:$E$2000,$W17)=0,"",_xlfn.MAXIFS('Chase Log'!$J$4:$J$2000,'Chase Log'!$B$4:$B$2000,$G17,'Chase Log'!$E$4:$E$2000,$W17))))</f>
        <v/>
      </c>
      <c r="Z17" s="13" t="str">
        <f ca="1">IF(OR($G17="",N($P17)&gt;=1,$C17="Live",$D17&lt;&gt;""),"",IF(AND($Y17&lt;&gt;"",N($Y17)&gt;0),IF($Y17&lt;TODAY(),"Chase Overdue","Scheduled"),IF(AND($Q17&lt;&gt;"",N($R17)&gt;='안내 Guide'!$D$4,OR($X17="",N($X17)&gt;='안내 Guide'!$D$4)),"Chase Needed","")))</f>
        <v>Chase Needed</v>
      </c>
      <c r="AA17" s="28"/>
      <c r="AB17" s="25"/>
      <c r="AC17" s="25"/>
      <c r="AD17" s="29"/>
      <c r="AE17" s="25"/>
      <c r="AF17" s="13"/>
      <c r="AG17" s="16" t="s">
        <v>168</v>
      </c>
      <c r="AH17" s="30"/>
      <c r="AI17" s="30"/>
      <c r="AJ17" s="30"/>
      <c r="AK17" s="30">
        <v>45957</v>
      </c>
      <c r="AL17" s="30"/>
      <c r="AM17" s="30"/>
      <c r="AN17" s="30"/>
      <c r="AO17" s="30"/>
      <c r="AP17" s="30"/>
      <c r="AQ17" s="30"/>
      <c r="AR17" s="30"/>
      <c r="AS17" s="30"/>
      <c r="AT17" s="30"/>
      <c r="AU17" s="30"/>
    </row>
    <row r="18" spans="1:47" ht="25.5" customHeight="1">
      <c r="A18" s="22">
        <f t="shared" si="0"/>
        <v>14</v>
      </c>
      <c r="B18" s="22" t="str">
        <f t="shared" si="7"/>
        <v>NDA/Contract</v>
      </c>
      <c r="C18" s="23"/>
      <c r="D18" s="23"/>
      <c r="E18" s="13" t="s">
        <v>29</v>
      </c>
      <c r="F18" s="13" t="s">
        <v>153</v>
      </c>
      <c r="G18" s="24" t="s">
        <v>61</v>
      </c>
      <c r="H18" s="13" t="s">
        <v>204</v>
      </c>
      <c r="I18" s="13" t="s">
        <v>285</v>
      </c>
      <c r="J18" s="13" t="s">
        <v>206</v>
      </c>
      <c r="K18" s="22" t="s">
        <v>186</v>
      </c>
      <c r="L18" s="13" t="s">
        <v>187</v>
      </c>
      <c r="M18" s="13" t="s">
        <v>39</v>
      </c>
      <c r="N18" s="13" t="s">
        <v>196</v>
      </c>
      <c r="O18" s="22" t="s">
        <v>208</v>
      </c>
      <c r="P18" s="26">
        <f t="shared" si="1"/>
        <v>0.2</v>
      </c>
      <c r="Q18" s="27">
        <f t="shared" si="2"/>
        <v>46027</v>
      </c>
      <c r="R18" s="22">
        <f t="shared" ca="1" si="3"/>
        <v>298</v>
      </c>
      <c r="S18" s="13" t="str">
        <f t="shared" ca="1" si="4"/>
        <v>Stalled 90d+</v>
      </c>
      <c r="T18" s="13" t="str">
        <f>IF(COUNT($AH18:$AU18)=0,"",LOOKUP(2,1/($AH18:$AU18&lt;&gt;""),{"①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U18" s="22">
        <f t="shared" ca="1" si="5"/>
        <v>298</v>
      </c>
      <c r="V18" s="22">
        <f>IF($G18="","",COUNTIF('Chase Log'!$B$4:$B$2000,$G18))</f>
        <v>1</v>
      </c>
      <c r="W18" s="27">
        <f>IF(N($V18)=0,"",_xlfn.MAXIFS('Chase Log'!$E$4:$E$2000,'Chase Log'!$B$4:$B$2000,$G18))</f>
        <v>46300</v>
      </c>
      <c r="X18" s="22">
        <f t="shared" ca="1" si="6"/>
        <v>25</v>
      </c>
      <c r="Y18" s="27" t="str">
        <f>IF($W18="","",IF(OR(AND($Q18&lt;&gt;"",N($Q18)&gt;N($W18)),COUNTIFS('Chase Log'!$B$4:$B$2000,$G18,'Chase Log'!$E$4:$E$2000,$W18,'Chase Log'!$I$4:$I$2000,"Y")&gt;0),"",IF(_xlfn.MAXIFS('Chase Log'!$J$4:$J$2000,'Chase Log'!$B$4:$B$2000,$G18,'Chase Log'!$E$4:$E$2000,$W18)=0,"",_xlfn.MAXIFS('Chase Log'!$J$4:$J$2000,'Chase Log'!$B$4:$B$2000,$G18,'Chase Log'!$E$4:$E$2000,$W18))))</f>
        <v/>
      </c>
      <c r="Z18" s="13" t="str">
        <f ca="1">IF(OR($G18="",N($P18)&gt;=1,$C18="Live",$D18&lt;&gt;""),"",IF(AND($Y18&lt;&gt;"",N($Y18)&gt;0),IF($Y18&lt;TODAY(),"Chase Overdue","Scheduled"),IF(AND($Q18&lt;&gt;"",N($R18)&gt;='안내 Guide'!$D$4,OR($X18="",N($X18)&gt;='안내 Guide'!$D$4)),"Chase Needed","")))</f>
        <v>Chase Needed</v>
      </c>
      <c r="AA18" s="28"/>
      <c r="AB18" s="25"/>
      <c r="AC18" s="25"/>
      <c r="AD18" s="29"/>
      <c r="AE18" s="25"/>
      <c r="AF18" s="13"/>
      <c r="AG18" s="16" t="s">
        <v>168</v>
      </c>
      <c r="AH18" s="30"/>
      <c r="AI18" s="30"/>
      <c r="AJ18" s="30"/>
      <c r="AK18" s="30">
        <v>46027</v>
      </c>
      <c r="AL18" s="30"/>
      <c r="AM18" s="30"/>
      <c r="AN18" s="30"/>
      <c r="AO18" s="30"/>
      <c r="AP18" s="30"/>
      <c r="AQ18" s="30"/>
      <c r="AR18" s="30"/>
      <c r="AS18" s="30"/>
      <c r="AT18" s="30"/>
      <c r="AU18" s="30"/>
    </row>
    <row r="19" spans="1:47" ht="25.5" customHeight="1">
      <c r="A19" s="22">
        <f t="shared" si="0"/>
        <v>15</v>
      </c>
      <c r="B19" s="22" t="str">
        <f t="shared" si="7"/>
        <v>NDA/Contract</v>
      </c>
      <c r="C19" s="23"/>
      <c r="D19" s="23"/>
      <c r="E19" s="13" t="s">
        <v>29</v>
      </c>
      <c r="F19" s="13" t="s">
        <v>153</v>
      </c>
      <c r="G19" s="24" t="s">
        <v>54</v>
      </c>
      <c r="H19" s="13" t="s">
        <v>204</v>
      </c>
      <c r="I19" s="13" t="s">
        <v>285</v>
      </c>
      <c r="J19" s="13" t="s">
        <v>206</v>
      </c>
      <c r="K19" s="22" t="s">
        <v>186</v>
      </c>
      <c r="L19" s="13" t="s">
        <v>187</v>
      </c>
      <c r="M19" s="13" t="s">
        <v>39</v>
      </c>
      <c r="N19" s="13" t="s">
        <v>196</v>
      </c>
      <c r="O19" s="22" t="s">
        <v>208</v>
      </c>
      <c r="P19" s="26">
        <f t="shared" si="1"/>
        <v>0.2</v>
      </c>
      <c r="Q19" s="27">
        <f t="shared" si="2"/>
        <v>45908</v>
      </c>
      <c r="R19" s="22">
        <f t="shared" ca="1" si="3"/>
        <v>417</v>
      </c>
      <c r="S19" s="13" t="str">
        <f t="shared" ca="1" si="4"/>
        <v>Stalled 90d+</v>
      </c>
      <c r="T19" s="13" t="str">
        <f>IF(COUNT($AH19:$AU19)=0,"",LOOKUP(2,1/($AH19:$AU19&lt;&gt;""),{"①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U19" s="22">
        <f t="shared" ca="1" si="5"/>
        <v>417</v>
      </c>
      <c r="V19" s="22">
        <f>IF($G19="","",COUNTIF('Chase Log'!$B$4:$B$2000,$G19))</f>
        <v>1</v>
      </c>
      <c r="W19" s="27">
        <f>IF(N($V19)=0,"",_xlfn.MAXIFS('Chase Log'!$E$4:$E$2000,'Chase Log'!$B$4:$B$2000,$G19))</f>
        <v>46300</v>
      </c>
      <c r="X19" s="22">
        <f t="shared" ca="1" si="6"/>
        <v>25</v>
      </c>
      <c r="Y19" s="27" t="str">
        <f>IF($W19="","",IF(OR(AND($Q19&lt;&gt;"",N($Q19)&gt;N($W19)),COUNTIFS('Chase Log'!$B$4:$B$2000,$G19,'Chase Log'!$E$4:$E$2000,$W19,'Chase Log'!$I$4:$I$2000,"Y")&gt;0),"",IF(_xlfn.MAXIFS('Chase Log'!$J$4:$J$2000,'Chase Log'!$B$4:$B$2000,$G19,'Chase Log'!$E$4:$E$2000,$W19)=0,"",_xlfn.MAXIFS('Chase Log'!$J$4:$J$2000,'Chase Log'!$B$4:$B$2000,$G19,'Chase Log'!$E$4:$E$2000,$W19))))</f>
        <v/>
      </c>
      <c r="Z19" s="13" t="str">
        <f ca="1">IF(OR($G19="",N($P19)&gt;=1,$C19="Live",$D19&lt;&gt;""),"",IF(AND($Y19&lt;&gt;"",N($Y19)&gt;0),IF($Y19&lt;TODAY(),"Chase Overdue","Scheduled"),IF(AND($Q19&lt;&gt;"",N($R19)&gt;='안내 Guide'!$D$4,OR($X19="",N($X19)&gt;='안내 Guide'!$D$4)),"Chase Needed","")))</f>
        <v>Chase Needed</v>
      </c>
      <c r="AA19" s="28"/>
      <c r="AB19" s="25"/>
      <c r="AC19" s="25"/>
      <c r="AD19" s="29"/>
      <c r="AE19" s="25"/>
      <c r="AF19" s="13"/>
      <c r="AG19" s="16" t="s">
        <v>168</v>
      </c>
      <c r="AH19" s="30"/>
      <c r="AI19" s="30"/>
      <c r="AJ19" s="30"/>
      <c r="AK19" s="30">
        <v>45908</v>
      </c>
      <c r="AL19" s="30"/>
      <c r="AM19" s="30"/>
      <c r="AN19" s="30"/>
      <c r="AO19" s="30"/>
      <c r="AP19" s="30"/>
      <c r="AQ19" s="30"/>
      <c r="AR19" s="30"/>
      <c r="AS19" s="30"/>
      <c r="AT19" s="30"/>
      <c r="AU19" s="30"/>
    </row>
    <row r="20" spans="1:47" ht="25.5" customHeight="1">
      <c r="A20" s="22">
        <f t="shared" si="0"/>
        <v>16</v>
      </c>
      <c r="B20" s="22" t="str">
        <f t="shared" si="7"/>
        <v>Pipeline</v>
      </c>
      <c r="C20" s="23"/>
      <c r="D20" s="23"/>
      <c r="E20" s="13" t="s">
        <v>29</v>
      </c>
      <c r="F20" s="13" t="s">
        <v>153</v>
      </c>
      <c r="G20" s="24" t="s">
        <v>326</v>
      </c>
      <c r="H20" s="13" t="s">
        <v>204</v>
      </c>
      <c r="I20" s="13" t="s">
        <v>285</v>
      </c>
      <c r="J20" s="13" t="s">
        <v>206</v>
      </c>
      <c r="K20" s="22" t="s">
        <v>194</v>
      </c>
      <c r="L20" s="13" t="s">
        <v>178</v>
      </c>
      <c r="M20" s="13" t="s">
        <v>39</v>
      </c>
      <c r="N20" s="13" t="s">
        <v>188</v>
      </c>
      <c r="O20" s="22" t="s">
        <v>208</v>
      </c>
      <c r="P20" s="26">
        <f t="shared" si="1"/>
        <v>0.1</v>
      </c>
      <c r="Q20" s="27">
        <f t="shared" si="2"/>
        <v>46308</v>
      </c>
      <c r="R20" s="22">
        <f t="shared" ca="1" si="3"/>
        <v>17</v>
      </c>
      <c r="S20" s="13" t="str">
        <f t="shared" ca="1" si="4"/>
        <v>In Progress</v>
      </c>
      <c r="T20" s="13" t="str">
        <f>IF(COUNT($AH20:$AU20)=0,"",LOOKUP(2,1/($AH20:$AU20&lt;&gt;""),{"①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② 제안·소개 발송 · Proposal Sent</v>
      </c>
      <c r="U20" s="22">
        <f t="shared" ca="1" si="5"/>
        <v>18</v>
      </c>
      <c r="V20" s="22">
        <f>IF($G20="","",COUNTIF('Chase Log'!$B$4:$B$2000,$G20))</f>
        <v>0</v>
      </c>
      <c r="W20" s="27" t="str">
        <f>IF(N($V20)=0,"",_xlfn.MAXIFS('Chase Log'!$E$4:$E$2000,'Chase Log'!$B$4:$B$2000,$G20))</f>
        <v/>
      </c>
      <c r="X20" s="22" t="str">
        <f t="shared" ca="1" si="6"/>
        <v/>
      </c>
      <c r="Y20" s="27" t="str">
        <f>IF($W20="","",IF(OR(AND($Q20&lt;&gt;"",N($Q20)&gt;N($W20)),COUNTIFS('Chase Log'!$B$4:$B$2000,$G20,'Chase Log'!$E$4:$E$2000,$W20,'Chase Log'!$I$4:$I$2000,"Y")&gt;0),"",IF(_xlfn.MAXIFS('Chase Log'!$J$4:$J$2000,'Chase Log'!$B$4:$B$2000,$G20,'Chase Log'!$E$4:$E$2000,$W20)=0,"",_xlfn.MAXIFS('Chase Log'!$J$4:$J$2000,'Chase Log'!$B$4:$B$2000,$G20,'Chase Log'!$E$4:$E$2000,$W20))))</f>
        <v/>
      </c>
      <c r="Z20" s="13" t="str">
        <f ca="1">IF(OR($G20="",N($P20)&gt;=1,$C20="Live",$D20&lt;&gt;""),"",IF(AND($Y20&lt;&gt;"",N($Y20)&gt;0),IF($Y20&lt;TODAY(),"Chase Overdue","Scheduled"),IF(AND($Q20&lt;&gt;"",N($R20)&gt;='안내 Guide'!$D$4,OR($X20="",N($X20)&gt;='안내 Guide'!$D$4)),"Chase Needed","")))</f>
        <v>Chase Needed</v>
      </c>
      <c r="AA20" s="28"/>
      <c r="AB20" s="25" t="s">
        <v>327</v>
      </c>
      <c r="AC20" s="25" t="s">
        <v>328</v>
      </c>
      <c r="AD20" s="29" t="s">
        <v>329</v>
      </c>
      <c r="AE20" s="25"/>
      <c r="AF20" s="13" t="s">
        <v>302</v>
      </c>
      <c r="AG20" s="16" t="s">
        <v>168</v>
      </c>
      <c r="AH20" s="30">
        <v>46307</v>
      </c>
      <c r="AI20" s="30">
        <v>46308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</row>
    <row r="21" spans="1:47" ht="25.5" customHeight="1">
      <c r="A21" s="22">
        <f t="shared" si="0"/>
        <v>17</v>
      </c>
      <c r="B21" s="22" t="str">
        <f t="shared" si="7"/>
        <v>Pipeline</v>
      </c>
      <c r="C21" s="23"/>
      <c r="D21" s="23"/>
      <c r="E21" s="13" t="s">
        <v>31</v>
      </c>
      <c r="F21" s="13" t="s">
        <v>176</v>
      </c>
      <c r="G21" s="24" t="s">
        <v>330</v>
      </c>
      <c r="H21" s="13" t="s">
        <v>204</v>
      </c>
      <c r="I21" s="13" t="s">
        <v>285</v>
      </c>
      <c r="J21" s="13" t="s">
        <v>206</v>
      </c>
      <c r="K21" s="22" t="s">
        <v>160</v>
      </c>
      <c r="L21" s="13" t="s">
        <v>207</v>
      </c>
      <c r="M21" s="13" t="s">
        <v>40</v>
      </c>
      <c r="N21" s="13" t="s">
        <v>188</v>
      </c>
      <c r="O21" s="22" t="s">
        <v>208</v>
      </c>
      <c r="P21" s="26">
        <f t="shared" si="1"/>
        <v>0.1</v>
      </c>
      <c r="Q21" s="27">
        <f t="shared" si="2"/>
        <v>46268</v>
      </c>
      <c r="R21" s="22">
        <f t="shared" ca="1" si="3"/>
        <v>57</v>
      </c>
      <c r="S21" s="13" t="str">
        <f t="shared" ca="1" si="4"/>
        <v>Stalled 30d+</v>
      </c>
      <c r="T21" s="13" t="str">
        <f>IF(COUNT($AH21:$AU21)=0,"",LOOKUP(2,1/($AH21:$AU21&lt;&gt;""),{"①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② 제안·소개 발송 · Proposal Sent</v>
      </c>
      <c r="U21" s="22">
        <f t="shared" ca="1" si="5"/>
        <v>60</v>
      </c>
      <c r="V21" s="22">
        <f>IF($G21="","",COUNTIF('Chase Log'!$B$4:$B$2000,$G21))</f>
        <v>3</v>
      </c>
      <c r="W21" s="27">
        <f>IF(N($V21)=0,"",_xlfn.MAXIFS('Chase Log'!$E$4:$E$2000,'Chase Log'!$B$4:$B$2000,$G21))</f>
        <v>46318</v>
      </c>
      <c r="X21" s="22">
        <f t="shared" ca="1" si="6"/>
        <v>7</v>
      </c>
      <c r="Y21" s="27">
        <f>IF($W21="","",IF(OR(AND($Q21&lt;&gt;"",N($Q21)&gt;N($W21)),COUNTIFS('Chase Log'!$B$4:$B$2000,$G21,'Chase Log'!$E$4:$E$2000,$W21,'Chase Log'!$I$4:$I$2000,"Y")&gt;0),"",IF(_xlfn.MAXIFS('Chase Log'!$J$4:$J$2000,'Chase Log'!$B$4:$B$2000,$G21,'Chase Log'!$E$4:$E$2000,$W21)=0,"",_xlfn.MAXIFS('Chase Log'!$J$4:$J$2000,'Chase Log'!$B$4:$B$2000,$G21,'Chase Log'!$E$4:$E$2000,$W21))))</f>
        <v>46325</v>
      </c>
      <c r="Z21" s="13" t="str">
        <f ca="1">IF(OR($G21="",N($P21)&gt;=1,$C21="Live",$D21&lt;&gt;""),"",IF(AND($Y21&lt;&gt;"",N($Y21)&gt;0),IF($Y21&lt;TODAY(),"Chase Overdue","Scheduled"),IF(AND($Q21&lt;&gt;"",N($R21)&gt;='안내 Guide'!$D$4,OR($X21="",N($X21)&gt;='안내 Guide'!$D$4)),"Chase Needed","")))</f>
        <v>Scheduled</v>
      </c>
      <c r="AA21" s="28">
        <v>46491</v>
      </c>
      <c r="AB21" s="25"/>
      <c r="AC21" s="25" t="s">
        <v>331</v>
      </c>
      <c r="AD21" s="29" t="s">
        <v>332</v>
      </c>
      <c r="AE21" s="25" t="s">
        <v>333</v>
      </c>
      <c r="AF21" s="13" t="s">
        <v>224</v>
      </c>
      <c r="AG21" s="16" t="s">
        <v>168</v>
      </c>
      <c r="AH21" s="30">
        <v>46265</v>
      </c>
      <c r="AI21" s="30">
        <v>46268</v>
      </c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</row>
    <row r="22" spans="1:47" ht="25.5" customHeight="1">
      <c r="A22" s="22">
        <f t="shared" si="0"/>
        <v>18</v>
      </c>
      <c r="B22" s="22" t="str">
        <f t="shared" si="7"/>
        <v>Contact</v>
      </c>
      <c r="C22" s="23"/>
      <c r="D22" s="23"/>
      <c r="E22" s="13" t="s">
        <v>29</v>
      </c>
      <c r="F22" s="13" t="s">
        <v>153</v>
      </c>
      <c r="G22" s="24" t="s">
        <v>334</v>
      </c>
      <c r="H22" s="13" t="s">
        <v>204</v>
      </c>
      <c r="I22" s="13" t="s">
        <v>285</v>
      </c>
      <c r="J22" s="13" t="s">
        <v>206</v>
      </c>
      <c r="K22" s="22" t="s">
        <v>160</v>
      </c>
      <c r="L22" s="13" t="s">
        <v>187</v>
      </c>
      <c r="M22" s="13" t="s">
        <v>39</v>
      </c>
      <c r="N22" s="13" t="s">
        <v>196</v>
      </c>
      <c r="O22" s="22" t="s">
        <v>208</v>
      </c>
      <c r="P22" s="26">
        <f t="shared" si="1"/>
        <v>0</v>
      </c>
      <c r="Q22" s="27" t="str">
        <f t="shared" si="2"/>
        <v/>
      </c>
      <c r="R22" s="22" t="str">
        <f t="shared" ca="1" si="3"/>
        <v/>
      </c>
      <c r="S22" s="13" t="str">
        <f t="shared" si="4"/>
        <v>No Record</v>
      </c>
      <c r="T22" s="13" t="str">
        <f>IF(COUNT($AH22:$AU22)=0,"",LOOKUP(2,1/($AH22:$AU22&lt;&gt;""),{"①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2" s="22" t="str">
        <f t="shared" ca="1" si="5"/>
        <v/>
      </c>
      <c r="V22" s="22">
        <f>IF($G22="","",COUNTIF('Chase Log'!$B$4:$B$2000,$G22))</f>
        <v>0</v>
      </c>
      <c r="W22" s="27" t="str">
        <f>IF(N($V22)=0,"",_xlfn.MAXIFS('Chase Log'!$E$4:$E$2000,'Chase Log'!$B$4:$B$2000,$G22))</f>
        <v/>
      </c>
      <c r="X22" s="22" t="str">
        <f t="shared" ca="1" si="6"/>
        <v/>
      </c>
      <c r="Y22" s="27" t="str">
        <f>IF($W22="","",IF(OR(AND($Q22&lt;&gt;"",N($Q22)&gt;N($W22)),COUNTIFS('Chase Log'!$B$4:$B$2000,$G22,'Chase Log'!$E$4:$E$2000,$W22,'Chase Log'!$I$4:$I$2000,"Y")&gt;0),"",IF(_xlfn.MAXIFS('Chase Log'!$J$4:$J$2000,'Chase Log'!$B$4:$B$2000,$G22,'Chase Log'!$E$4:$E$2000,$W22)=0,"",_xlfn.MAXIFS('Chase Log'!$J$4:$J$2000,'Chase Log'!$B$4:$B$2000,$G22,'Chase Log'!$E$4:$E$2000,$W22))))</f>
        <v/>
      </c>
      <c r="Z22" s="13" t="str">
        <f ca="1">IF(OR($G22="",N($P22)&gt;=1,$C22="Live",$D22&lt;&gt;""),"",IF(AND($Y22&lt;&gt;"",N($Y22)&gt;0),IF($Y22&lt;TODAY(),"Chase Overdue","Scheduled"),IF(AND($Q22&lt;&gt;"",N($R22)&gt;='안내 Guide'!$D$4,OR($X22="",N($X22)&gt;='안내 Guide'!$D$4)),"Chase Needed","")))</f>
        <v/>
      </c>
      <c r="AA22" s="28"/>
      <c r="AB22" s="25"/>
      <c r="AC22" s="25"/>
      <c r="AD22" s="29"/>
      <c r="AE22" s="25"/>
      <c r="AF22" s="13"/>
      <c r="AG22" s="16" t="s">
        <v>168</v>
      </c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</row>
    <row r="23" spans="1:47" ht="25.5" customHeight="1">
      <c r="A23" s="22">
        <f t="shared" si="0"/>
        <v>19</v>
      </c>
      <c r="B23" s="22" t="str">
        <f t="shared" si="7"/>
        <v>Contact</v>
      </c>
      <c r="C23" s="23"/>
      <c r="D23" s="23"/>
      <c r="E23" s="13" t="s">
        <v>29</v>
      </c>
      <c r="F23" s="13" t="s">
        <v>153</v>
      </c>
      <c r="G23" s="24" t="s">
        <v>335</v>
      </c>
      <c r="H23" s="13" t="s">
        <v>204</v>
      </c>
      <c r="I23" s="13" t="s">
        <v>285</v>
      </c>
      <c r="J23" s="13" t="s">
        <v>206</v>
      </c>
      <c r="K23" s="22" t="s">
        <v>194</v>
      </c>
      <c r="L23" s="13" t="s">
        <v>187</v>
      </c>
      <c r="M23" s="13" t="s">
        <v>39</v>
      </c>
      <c r="N23" s="13" t="s">
        <v>196</v>
      </c>
      <c r="O23" s="22" t="s">
        <v>208</v>
      </c>
      <c r="P23" s="26">
        <f t="shared" si="1"/>
        <v>0</v>
      </c>
      <c r="Q23" s="27" t="str">
        <f t="shared" si="2"/>
        <v/>
      </c>
      <c r="R23" s="22" t="str">
        <f t="shared" ca="1" si="3"/>
        <v/>
      </c>
      <c r="S23" s="13" t="str">
        <f t="shared" si="4"/>
        <v>No Record</v>
      </c>
      <c r="T23" s="13" t="str">
        <f>IF(COUNT($AH23:$AU23)=0,"",LOOKUP(2,1/($AH23:$AU23&lt;&gt;""),{"①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3" s="22" t="str">
        <f t="shared" ca="1" si="5"/>
        <v/>
      </c>
      <c r="V23" s="22">
        <f>IF($G23="","",COUNTIF('Chase Log'!$B$4:$B$2000,$G23))</f>
        <v>0</v>
      </c>
      <c r="W23" s="27" t="str">
        <f>IF(N($V23)=0,"",_xlfn.MAXIFS('Chase Log'!$E$4:$E$2000,'Chase Log'!$B$4:$B$2000,$G23))</f>
        <v/>
      </c>
      <c r="X23" s="22" t="str">
        <f t="shared" ca="1" si="6"/>
        <v/>
      </c>
      <c r="Y23" s="27" t="str">
        <f>IF($W23="","",IF(OR(AND($Q23&lt;&gt;"",N($Q23)&gt;N($W23)),COUNTIFS('Chase Log'!$B$4:$B$2000,$G23,'Chase Log'!$E$4:$E$2000,$W23,'Chase Log'!$I$4:$I$2000,"Y")&gt;0),"",IF(_xlfn.MAXIFS('Chase Log'!$J$4:$J$2000,'Chase Log'!$B$4:$B$2000,$G23,'Chase Log'!$E$4:$E$2000,$W23)=0,"",_xlfn.MAXIFS('Chase Log'!$J$4:$J$2000,'Chase Log'!$B$4:$B$2000,$G23,'Chase Log'!$E$4:$E$2000,$W23))))</f>
        <v/>
      </c>
      <c r="Z23" s="13" t="str">
        <f ca="1">IF(OR($G23="",N($P23)&gt;=1,$C23="Live",$D23&lt;&gt;""),"",IF(AND($Y23&lt;&gt;"",N($Y23)&gt;0),IF($Y23&lt;TODAY(),"Chase Overdue","Scheduled"),IF(AND($Q23&lt;&gt;"",N($R23)&gt;='안내 Guide'!$D$4,OR($X23="",N($X23)&gt;='안내 Guide'!$D$4)),"Chase Needed","")))</f>
        <v/>
      </c>
      <c r="AA23" s="28"/>
      <c r="AB23" s="25"/>
      <c r="AC23" s="25"/>
      <c r="AD23" s="29"/>
      <c r="AE23" s="25"/>
      <c r="AF23" s="13"/>
      <c r="AG23" s="16" t="s">
        <v>168</v>
      </c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</row>
    <row r="24" spans="1:47" ht="25.5" customHeight="1">
      <c r="A24" s="22">
        <f t="shared" si="0"/>
        <v>20</v>
      </c>
      <c r="B24" s="22" t="str">
        <f t="shared" si="7"/>
        <v>NDA/Contract</v>
      </c>
      <c r="C24" s="23" t="s">
        <v>16</v>
      </c>
      <c r="D24" s="23"/>
      <c r="E24" s="13" t="s">
        <v>29</v>
      </c>
      <c r="F24" s="13" t="s">
        <v>153</v>
      </c>
      <c r="G24" s="24" t="s">
        <v>336</v>
      </c>
      <c r="H24" s="13" t="s">
        <v>204</v>
      </c>
      <c r="I24" s="13" t="s">
        <v>285</v>
      </c>
      <c r="J24" s="13" t="s">
        <v>206</v>
      </c>
      <c r="K24" s="22" t="s">
        <v>160</v>
      </c>
      <c r="L24" s="13" t="s">
        <v>178</v>
      </c>
      <c r="M24" s="13" t="s">
        <v>39</v>
      </c>
      <c r="N24" s="13" t="s">
        <v>196</v>
      </c>
      <c r="O24" s="22" t="s">
        <v>208</v>
      </c>
      <c r="P24" s="26">
        <f t="shared" si="1"/>
        <v>0</v>
      </c>
      <c r="Q24" s="27" t="str">
        <f t="shared" si="2"/>
        <v/>
      </c>
      <c r="R24" s="22" t="str">
        <f t="shared" ca="1" si="3"/>
        <v/>
      </c>
      <c r="S24" s="13" t="str">
        <f t="shared" si="4"/>
        <v>No Record</v>
      </c>
      <c r="T24" s="13" t="str">
        <f>IF(COUNT($AH24:$AU24)=0,"",LOOKUP(2,1/($AH24:$AU24&lt;&gt;""),{"①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4" s="22" t="str">
        <f t="shared" ca="1" si="5"/>
        <v/>
      </c>
      <c r="V24" s="22">
        <f>IF($G24="","",COUNTIF('Chase Log'!$B$4:$B$2000,$G24))</f>
        <v>0</v>
      </c>
      <c r="W24" s="27" t="str">
        <f>IF(N($V24)=0,"",_xlfn.MAXIFS('Chase Log'!$E$4:$E$2000,'Chase Log'!$B$4:$B$2000,$G24))</f>
        <v/>
      </c>
      <c r="X24" s="22" t="str">
        <f t="shared" ca="1" si="6"/>
        <v/>
      </c>
      <c r="Y24" s="27" t="str">
        <f>IF($W24="","",IF(OR(AND($Q24&lt;&gt;"",N($Q24)&gt;N($W24)),COUNTIFS('Chase Log'!$B$4:$B$2000,$G24,'Chase Log'!$E$4:$E$2000,$W24,'Chase Log'!$I$4:$I$2000,"Y")&gt;0),"",IF(_xlfn.MAXIFS('Chase Log'!$J$4:$J$2000,'Chase Log'!$B$4:$B$2000,$G24,'Chase Log'!$E$4:$E$2000,$W24)=0,"",_xlfn.MAXIFS('Chase Log'!$J$4:$J$2000,'Chase Log'!$B$4:$B$2000,$G24,'Chase Log'!$E$4:$E$2000,$W24))))</f>
        <v/>
      </c>
      <c r="Z24" s="13" t="str">
        <f ca="1">IF(OR($G24="",N($P24)&gt;=1,$C24="Live",$D24&lt;&gt;""),"",IF(AND($Y24&lt;&gt;"",N($Y24)&gt;0),IF($Y24&lt;TODAY(),"Chase Overdue","Scheduled"),IF(AND($Q24&lt;&gt;"",N($R24)&gt;='안내 Guide'!$D$4,OR($X24="",N($X24)&gt;='안내 Guide'!$D$4)),"Chase Needed","")))</f>
        <v/>
      </c>
      <c r="AA24" s="28"/>
      <c r="AB24" s="25"/>
      <c r="AC24" s="25" t="s">
        <v>337</v>
      </c>
      <c r="AD24" s="29" t="s">
        <v>338</v>
      </c>
      <c r="AE24" s="25"/>
      <c r="AF24" s="13" t="s">
        <v>199</v>
      </c>
      <c r="AG24" s="16" t="s">
        <v>168</v>
      </c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</row>
    <row r="25" spans="1:47" ht="25.5" customHeight="1">
      <c r="A25" s="22">
        <f t="shared" si="0"/>
        <v>21</v>
      </c>
      <c r="B25" s="22" t="str">
        <f t="shared" si="7"/>
        <v>Contact</v>
      </c>
      <c r="C25" s="23"/>
      <c r="D25" s="23"/>
      <c r="E25" s="13" t="s">
        <v>29</v>
      </c>
      <c r="F25" s="13" t="s">
        <v>153</v>
      </c>
      <c r="G25" s="24" t="s">
        <v>339</v>
      </c>
      <c r="H25" s="13" t="s">
        <v>204</v>
      </c>
      <c r="I25" s="13" t="s">
        <v>285</v>
      </c>
      <c r="J25" s="13" t="s">
        <v>206</v>
      </c>
      <c r="K25" s="22" t="s">
        <v>160</v>
      </c>
      <c r="L25" s="13" t="s">
        <v>178</v>
      </c>
      <c r="M25" s="13" t="s">
        <v>39</v>
      </c>
      <c r="N25" s="13" t="s">
        <v>196</v>
      </c>
      <c r="O25" s="22" t="s">
        <v>208</v>
      </c>
      <c r="P25" s="26">
        <f t="shared" si="1"/>
        <v>0</v>
      </c>
      <c r="Q25" s="27" t="str">
        <f t="shared" si="2"/>
        <v/>
      </c>
      <c r="R25" s="22" t="str">
        <f t="shared" ca="1" si="3"/>
        <v/>
      </c>
      <c r="S25" s="13" t="str">
        <f t="shared" si="4"/>
        <v>No Record</v>
      </c>
      <c r="T25" s="13" t="str">
        <f>IF(COUNT($AH25:$AU25)=0,"",LOOKUP(2,1/($AH25:$AU25&lt;&gt;""),{"①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5" s="22" t="str">
        <f t="shared" ca="1" si="5"/>
        <v/>
      </c>
      <c r="V25" s="22">
        <f>IF($G25="","",COUNTIF('Chase Log'!$B$4:$B$2000,$G25))</f>
        <v>0</v>
      </c>
      <c r="W25" s="27" t="str">
        <f>IF(N($V25)=0,"",_xlfn.MAXIFS('Chase Log'!$E$4:$E$2000,'Chase Log'!$B$4:$B$2000,$G25))</f>
        <v/>
      </c>
      <c r="X25" s="22" t="str">
        <f t="shared" ca="1" si="6"/>
        <v/>
      </c>
      <c r="Y25" s="27" t="str">
        <f>IF($W25="","",IF(OR(AND($Q25&lt;&gt;"",N($Q25)&gt;N($W25)),COUNTIFS('Chase Log'!$B$4:$B$2000,$G25,'Chase Log'!$E$4:$E$2000,$W25,'Chase Log'!$I$4:$I$2000,"Y")&gt;0),"",IF(_xlfn.MAXIFS('Chase Log'!$J$4:$J$2000,'Chase Log'!$B$4:$B$2000,$G25,'Chase Log'!$E$4:$E$2000,$W25)=0,"",_xlfn.MAXIFS('Chase Log'!$J$4:$J$2000,'Chase Log'!$B$4:$B$2000,$G25,'Chase Log'!$E$4:$E$2000,$W25))))</f>
        <v/>
      </c>
      <c r="Z25" s="13" t="str">
        <f ca="1">IF(OR($G25="",N($P25)&gt;=1,$C25="Live",$D25&lt;&gt;""),"",IF(AND($Y25&lt;&gt;"",N($Y25)&gt;0),IF($Y25&lt;TODAY(),"Chase Overdue","Scheduled"),IF(AND($Q25&lt;&gt;"",N($R25)&gt;='안내 Guide'!$D$4,OR($X25="",N($X25)&gt;='안내 Guide'!$D$4)),"Chase Needed","")))</f>
        <v/>
      </c>
      <c r="AA25" s="28"/>
      <c r="AB25" s="25"/>
      <c r="AC25" s="25" t="s">
        <v>340</v>
      </c>
      <c r="AD25" s="29" t="s">
        <v>341</v>
      </c>
      <c r="AE25" s="25"/>
      <c r="AF25" s="13" t="s">
        <v>302</v>
      </c>
      <c r="AG25" s="16" t="s">
        <v>168</v>
      </c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</row>
    <row r="26" spans="1:47" ht="25.5" customHeight="1">
      <c r="A26" s="22">
        <f t="shared" si="0"/>
        <v>22</v>
      </c>
      <c r="B26" s="22" t="str">
        <f t="shared" si="7"/>
        <v>Contact</v>
      </c>
      <c r="C26" s="23"/>
      <c r="D26" s="23"/>
      <c r="E26" s="13" t="s">
        <v>29</v>
      </c>
      <c r="F26" s="13" t="s">
        <v>153</v>
      </c>
      <c r="G26" s="24" t="s">
        <v>342</v>
      </c>
      <c r="H26" s="13" t="s">
        <v>204</v>
      </c>
      <c r="I26" s="13" t="s">
        <v>285</v>
      </c>
      <c r="J26" s="13" t="s">
        <v>206</v>
      </c>
      <c r="K26" s="22" t="s">
        <v>186</v>
      </c>
      <c r="L26" s="13" t="s">
        <v>187</v>
      </c>
      <c r="M26" s="13" t="s">
        <v>39</v>
      </c>
      <c r="N26" s="13" t="s">
        <v>196</v>
      </c>
      <c r="O26" s="22" t="s">
        <v>208</v>
      </c>
      <c r="P26" s="26">
        <f t="shared" si="1"/>
        <v>0</v>
      </c>
      <c r="Q26" s="27" t="str">
        <f t="shared" si="2"/>
        <v/>
      </c>
      <c r="R26" s="22" t="str">
        <f t="shared" ca="1" si="3"/>
        <v/>
      </c>
      <c r="S26" s="13" t="str">
        <f t="shared" si="4"/>
        <v>No Record</v>
      </c>
      <c r="T26" s="13" t="str">
        <f>IF(COUNT($AH26:$AU26)=0,"",LOOKUP(2,1/($AH26:$AU26&lt;&gt;""),{"①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6" s="22" t="str">
        <f t="shared" ca="1" si="5"/>
        <v/>
      </c>
      <c r="V26" s="22">
        <f>IF($G26="","",COUNTIF('Chase Log'!$B$4:$B$2000,$G26))</f>
        <v>0</v>
      </c>
      <c r="W26" s="27" t="str">
        <f>IF(N($V26)=0,"",_xlfn.MAXIFS('Chase Log'!$E$4:$E$2000,'Chase Log'!$B$4:$B$2000,$G26))</f>
        <v/>
      </c>
      <c r="X26" s="22" t="str">
        <f t="shared" ca="1" si="6"/>
        <v/>
      </c>
      <c r="Y26" s="27" t="str">
        <f>IF($W26="","",IF(OR(AND($Q26&lt;&gt;"",N($Q26)&gt;N($W26)),COUNTIFS('Chase Log'!$B$4:$B$2000,$G26,'Chase Log'!$E$4:$E$2000,$W26,'Chase Log'!$I$4:$I$2000,"Y")&gt;0),"",IF(_xlfn.MAXIFS('Chase Log'!$J$4:$J$2000,'Chase Log'!$B$4:$B$2000,$G26,'Chase Log'!$E$4:$E$2000,$W26)=0,"",_xlfn.MAXIFS('Chase Log'!$J$4:$J$2000,'Chase Log'!$B$4:$B$2000,$G26,'Chase Log'!$E$4:$E$2000,$W26))))</f>
        <v/>
      </c>
      <c r="Z26" s="13" t="str">
        <f ca="1">IF(OR($G26="",N($P26)&gt;=1,$C26="Live",$D26&lt;&gt;""),"",IF(AND($Y26&lt;&gt;"",N($Y26)&gt;0),IF($Y26&lt;TODAY(),"Chase Overdue","Scheduled"),IF(AND($Q26&lt;&gt;"",N($R26)&gt;='안내 Guide'!$D$4,OR($X26="",N($X26)&gt;='안내 Guide'!$D$4)),"Chase Needed","")))</f>
        <v/>
      </c>
      <c r="AA26" s="28"/>
      <c r="AB26" s="25"/>
      <c r="AC26" s="25"/>
      <c r="AD26" s="29"/>
      <c r="AE26" s="25"/>
      <c r="AF26" s="13"/>
      <c r="AG26" s="16" t="s">
        <v>168</v>
      </c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</row>
    <row r="27" spans="1:47" ht="25.5" customHeight="1">
      <c r="A27" s="22">
        <f t="shared" si="0"/>
        <v>23</v>
      </c>
      <c r="B27" s="22" t="str">
        <f t="shared" si="7"/>
        <v>Contact</v>
      </c>
      <c r="C27" s="23"/>
      <c r="D27" s="23"/>
      <c r="E27" s="13" t="s">
        <v>29</v>
      </c>
      <c r="F27" s="13" t="s">
        <v>153</v>
      </c>
      <c r="G27" s="24" t="s">
        <v>343</v>
      </c>
      <c r="H27" s="13" t="s">
        <v>204</v>
      </c>
      <c r="I27" s="13" t="s">
        <v>285</v>
      </c>
      <c r="J27" s="13" t="s">
        <v>206</v>
      </c>
      <c r="K27" s="22" t="s">
        <v>194</v>
      </c>
      <c r="L27" s="13" t="s">
        <v>187</v>
      </c>
      <c r="M27" s="13" t="s">
        <v>39</v>
      </c>
      <c r="N27" s="13" t="s">
        <v>196</v>
      </c>
      <c r="O27" s="22" t="s">
        <v>208</v>
      </c>
      <c r="P27" s="26">
        <f t="shared" si="1"/>
        <v>0</v>
      </c>
      <c r="Q27" s="27" t="str">
        <f t="shared" si="2"/>
        <v/>
      </c>
      <c r="R27" s="22" t="str">
        <f t="shared" ca="1" si="3"/>
        <v/>
      </c>
      <c r="S27" s="13" t="str">
        <f t="shared" si="4"/>
        <v>No Record</v>
      </c>
      <c r="T27" s="13" t="str">
        <f>IF(COUNT($AH27:$AU27)=0,"",LOOKUP(2,1/($AH27:$AU27&lt;&gt;""),{"①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7" s="22" t="str">
        <f t="shared" ca="1" si="5"/>
        <v/>
      </c>
      <c r="V27" s="22">
        <f>IF($G27="","",COUNTIF('Chase Log'!$B$4:$B$2000,$G27))</f>
        <v>0</v>
      </c>
      <c r="W27" s="27" t="str">
        <f>IF(N($V27)=0,"",_xlfn.MAXIFS('Chase Log'!$E$4:$E$2000,'Chase Log'!$B$4:$B$2000,$G27))</f>
        <v/>
      </c>
      <c r="X27" s="22" t="str">
        <f t="shared" ca="1" si="6"/>
        <v/>
      </c>
      <c r="Y27" s="27" t="str">
        <f>IF($W27="","",IF(OR(AND($Q27&lt;&gt;"",N($Q27)&gt;N($W27)),COUNTIFS('Chase Log'!$B$4:$B$2000,$G27,'Chase Log'!$E$4:$E$2000,$W27,'Chase Log'!$I$4:$I$2000,"Y")&gt;0),"",IF(_xlfn.MAXIFS('Chase Log'!$J$4:$J$2000,'Chase Log'!$B$4:$B$2000,$G27,'Chase Log'!$E$4:$E$2000,$W27)=0,"",_xlfn.MAXIFS('Chase Log'!$J$4:$J$2000,'Chase Log'!$B$4:$B$2000,$G27,'Chase Log'!$E$4:$E$2000,$W27))))</f>
        <v/>
      </c>
      <c r="Z27" s="13" t="str">
        <f ca="1">IF(OR($G27="",N($P27)&gt;=1,$C27="Live",$D27&lt;&gt;""),"",IF(AND($Y27&lt;&gt;"",N($Y27)&gt;0),IF($Y27&lt;TODAY(),"Chase Overdue","Scheduled"),IF(AND($Q27&lt;&gt;"",N($R27)&gt;='안내 Guide'!$D$4,OR($X27="",N($X27)&gt;='안내 Guide'!$D$4)),"Chase Needed","")))</f>
        <v/>
      </c>
      <c r="AA27" s="28"/>
      <c r="AB27" s="25"/>
      <c r="AC27" s="25"/>
      <c r="AD27" s="29"/>
      <c r="AE27" s="25"/>
      <c r="AF27" s="13"/>
      <c r="AG27" s="16" t="s">
        <v>168</v>
      </c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</row>
    <row r="28" spans="1:47" ht="25.5" customHeight="1">
      <c r="A28" s="22">
        <f t="shared" si="0"/>
        <v>24</v>
      </c>
      <c r="B28" s="22" t="str">
        <f t="shared" si="7"/>
        <v>Contact</v>
      </c>
      <c r="C28" s="23"/>
      <c r="D28" s="23"/>
      <c r="E28" s="13" t="s">
        <v>29</v>
      </c>
      <c r="F28" s="13" t="s">
        <v>153</v>
      </c>
      <c r="G28" s="24" t="s">
        <v>344</v>
      </c>
      <c r="H28" s="13" t="s">
        <v>204</v>
      </c>
      <c r="I28" s="13" t="s">
        <v>285</v>
      </c>
      <c r="J28" s="13" t="s">
        <v>206</v>
      </c>
      <c r="K28" s="22" t="s">
        <v>194</v>
      </c>
      <c r="L28" s="13" t="s">
        <v>187</v>
      </c>
      <c r="M28" s="13" t="s">
        <v>39</v>
      </c>
      <c r="N28" s="13" t="s">
        <v>196</v>
      </c>
      <c r="O28" s="22" t="s">
        <v>208</v>
      </c>
      <c r="P28" s="26">
        <f t="shared" si="1"/>
        <v>0</v>
      </c>
      <c r="Q28" s="27" t="str">
        <f t="shared" si="2"/>
        <v/>
      </c>
      <c r="R28" s="22" t="str">
        <f t="shared" ca="1" si="3"/>
        <v/>
      </c>
      <c r="S28" s="13" t="str">
        <f t="shared" si="4"/>
        <v>No Record</v>
      </c>
      <c r="T28" s="13" t="str">
        <f>IF(COUNT($AH28:$AU28)=0,"",LOOKUP(2,1/($AH28:$AU28&lt;&gt;""),{"①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8" s="22" t="str">
        <f t="shared" ca="1" si="5"/>
        <v/>
      </c>
      <c r="V28" s="22">
        <f>IF($G28="","",COUNTIF('Chase Log'!$B$4:$B$2000,$G28))</f>
        <v>0</v>
      </c>
      <c r="W28" s="27" t="str">
        <f>IF(N($V28)=0,"",_xlfn.MAXIFS('Chase Log'!$E$4:$E$2000,'Chase Log'!$B$4:$B$2000,$G28))</f>
        <v/>
      </c>
      <c r="X28" s="22" t="str">
        <f t="shared" ca="1" si="6"/>
        <v/>
      </c>
      <c r="Y28" s="27" t="str">
        <f>IF($W28="","",IF(OR(AND($Q28&lt;&gt;"",N($Q28)&gt;N($W28)),COUNTIFS('Chase Log'!$B$4:$B$2000,$G28,'Chase Log'!$E$4:$E$2000,$W28,'Chase Log'!$I$4:$I$2000,"Y")&gt;0),"",IF(_xlfn.MAXIFS('Chase Log'!$J$4:$J$2000,'Chase Log'!$B$4:$B$2000,$G28,'Chase Log'!$E$4:$E$2000,$W28)=0,"",_xlfn.MAXIFS('Chase Log'!$J$4:$J$2000,'Chase Log'!$B$4:$B$2000,$G28,'Chase Log'!$E$4:$E$2000,$W28))))</f>
        <v/>
      </c>
      <c r="Z28" s="13" t="str">
        <f ca="1">IF(OR($G28="",N($P28)&gt;=1,$C28="Live",$D28&lt;&gt;""),"",IF(AND($Y28&lt;&gt;"",N($Y28)&gt;0),IF($Y28&lt;TODAY(),"Chase Overdue","Scheduled"),IF(AND($Q28&lt;&gt;"",N($R28)&gt;='안내 Guide'!$D$4,OR($X28="",N($X28)&gt;='안내 Guide'!$D$4)),"Chase Needed","")))</f>
        <v/>
      </c>
      <c r="AA28" s="28"/>
      <c r="AB28" s="25"/>
      <c r="AC28" s="25"/>
      <c r="AD28" s="29"/>
      <c r="AE28" s="25"/>
      <c r="AF28" s="13"/>
      <c r="AG28" s="16" t="s">
        <v>168</v>
      </c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</row>
    <row r="29" spans="1:47" ht="25.5" customHeight="1">
      <c r="A29" s="22">
        <f t="shared" si="0"/>
        <v>25</v>
      </c>
      <c r="B29" s="22" t="str">
        <f t="shared" si="7"/>
        <v>Contact</v>
      </c>
      <c r="C29" s="23"/>
      <c r="D29" s="23"/>
      <c r="E29" s="13" t="s">
        <v>29</v>
      </c>
      <c r="F29" s="13" t="s">
        <v>153</v>
      </c>
      <c r="G29" s="24" t="s">
        <v>345</v>
      </c>
      <c r="H29" s="13" t="s">
        <v>204</v>
      </c>
      <c r="I29" s="13" t="s">
        <v>285</v>
      </c>
      <c r="J29" s="13" t="s">
        <v>206</v>
      </c>
      <c r="K29" s="22" t="s">
        <v>160</v>
      </c>
      <c r="L29" s="13" t="s">
        <v>187</v>
      </c>
      <c r="M29" s="13" t="s">
        <v>39</v>
      </c>
      <c r="N29" s="13" t="s">
        <v>196</v>
      </c>
      <c r="O29" s="22" t="s">
        <v>208</v>
      </c>
      <c r="P29" s="26">
        <f t="shared" si="1"/>
        <v>0</v>
      </c>
      <c r="Q29" s="27" t="str">
        <f t="shared" si="2"/>
        <v/>
      </c>
      <c r="R29" s="22" t="str">
        <f t="shared" ca="1" si="3"/>
        <v/>
      </c>
      <c r="S29" s="13" t="str">
        <f t="shared" si="4"/>
        <v>No Record</v>
      </c>
      <c r="T29" s="13" t="str">
        <f>IF(COUNT($AH29:$AU29)=0,"",LOOKUP(2,1/($AH29:$AU29&lt;&gt;""),{"①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29" s="22" t="str">
        <f t="shared" ca="1" si="5"/>
        <v/>
      </c>
      <c r="V29" s="22">
        <f>IF($G29="","",COUNTIF('Chase Log'!$B$4:$B$2000,$G29))</f>
        <v>0</v>
      </c>
      <c r="W29" s="27" t="str">
        <f>IF(N($V29)=0,"",_xlfn.MAXIFS('Chase Log'!$E$4:$E$2000,'Chase Log'!$B$4:$B$2000,$G29))</f>
        <v/>
      </c>
      <c r="X29" s="22" t="str">
        <f t="shared" ca="1" si="6"/>
        <v/>
      </c>
      <c r="Y29" s="27" t="str">
        <f>IF($W29="","",IF(OR(AND($Q29&lt;&gt;"",N($Q29)&gt;N($W29)),COUNTIFS('Chase Log'!$B$4:$B$2000,$G29,'Chase Log'!$E$4:$E$2000,$W29,'Chase Log'!$I$4:$I$2000,"Y")&gt;0),"",IF(_xlfn.MAXIFS('Chase Log'!$J$4:$J$2000,'Chase Log'!$B$4:$B$2000,$G29,'Chase Log'!$E$4:$E$2000,$W29)=0,"",_xlfn.MAXIFS('Chase Log'!$J$4:$J$2000,'Chase Log'!$B$4:$B$2000,$G29,'Chase Log'!$E$4:$E$2000,$W29))))</f>
        <v/>
      </c>
      <c r="Z29" s="13" t="str">
        <f ca="1">IF(OR($G29="",N($P29)&gt;=1,$C29="Live",$D29&lt;&gt;""),"",IF(AND($Y29&lt;&gt;"",N($Y29)&gt;0),IF($Y29&lt;TODAY(),"Chase Overdue","Scheduled"),IF(AND($Q29&lt;&gt;"",N($R29)&gt;='안내 Guide'!$D$4,OR($X29="",N($X29)&gt;='안내 Guide'!$D$4)),"Chase Needed","")))</f>
        <v/>
      </c>
      <c r="AA29" s="28"/>
      <c r="AB29" s="25"/>
      <c r="AC29" s="25"/>
      <c r="AD29" s="29"/>
      <c r="AE29" s="25"/>
      <c r="AF29" s="13"/>
      <c r="AG29" s="16" t="s">
        <v>168</v>
      </c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</row>
    <row r="30" spans="1:47" ht="25.5" customHeight="1">
      <c r="A30" s="22">
        <f t="shared" si="0"/>
        <v>26</v>
      </c>
      <c r="B30" s="22" t="str">
        <f t="shared" si="7"/>
        <v>Contact</v>
      </c>
      <c r="C30" s="23"/>
      <c r="D30" s="23"/>
      <c r="E30" s="13" t="s">
        <v>29</v>
      </c>
      <c r="F30" s="13" t="s">
        <v>153</v>
      </c>
      <c r="G30" s="24" t="s">
        <v>346</v>
      </c>
      <c r="H30" s="13" t="s">
        <v>204</v>
      </c>
      <c r="I30" s="13" t="s">
        <v>285</v>
      </c>
      <c r="J30" s="13" t="s">
        <v>206</v>
      </c>
      <c r="K30" s="22" t="s">
        <v>194</v>
      </c>
      <c r="L30" s="13" t="s">
        <v>187</v>
      </c>
      <c r="M30" s="13" t="s">
        <v>39</v>
      </c>
      <c r="N30" s="13" t="s">
        <v>196</v>
      </c>
      <c r="O30" s="22" t="s">
        <v>208</v>
      </c>
      <c r="P30" s="26">
        <f t="shared" si="1"/>
        <v>0</v>
      </c>
      <c r="Q30" s="27" t="str">
        <f t="shared" si="2"/>
        <v/>
      </c>
      <c r="R30" s="22" t="str">
        <f t="shared" ca="1" si="3"/>
        <v/>
      </c>
      <c r="S30" s="13" t="str">
        <f t="shared" si="4"/>
        <v>No Record</v>
      </c>
      <c r="T30" s="13" t="str">
        <f>IF(COUNT($AH30:$AU30)=0,"",LOOKUP(2,1/($AH30:$AU30&lt;&gt;""),{"①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0" s="22" t="str">
        <f t="shared" ca="1" si="5"/>
        <v/>
      </c>
      <c r="V30" s="22">
        <f>IF($G30="","",COUNTIF('Chase Log'!$B$4:$B$2000,$G30))</f>
        <v>0</v>
      </c>
      <c r="W30" s="27" t="str">
        <f>IF(N($V30)=0,"",_xlfn.MAXIFS('Chase Log'!$E$4:$E$2000,'Chase Log'!$B$4:$B$2000,$G30))</f>
        <v/>
      </c>
      <c r="X30" s="22" t="str">
        <f t="shared" ca="1" si="6"/>
        <v/>
      </c>
      <c r="Y30" s="27" t="str">
        <f>IF($W30="","",IF(OR(AND($Q30&lt;&gt;"",N($Q30)&gt;N($W30)),COUNTIFS('Chase Log'!$B$4:$B$2000,$G30,'Chase Log'!$E$4:$E$2000,$W30,'Chase Log'!$I$4:$I$2000,"Y")&gt;0),"",IF(_xlfn.MAXIFS('Chase Log'!$J$4:$J$2000,'Chase Log'!$B$4:$B$2000,$G30,'Chase Log'!$E$4:$E$2000,$W30)=0,"",_xlfn.MAXIFS('Chase Log'!$J$4:$J$2000,'Chase Log'!$B$4:$B$2000,$G30,'Chase Log'!$E$4:$E$2000,$W30))))</f>
        <v/>
      </c>
      <c r="Z30" s="13" t="str">
        <f ca="1">IF(OR($G30="",N($P30)&gt;=1,$C30="Live",$D30&lt;&gt;""),"",IF(AND($Y30&lt;&gt;"",N($Y30)&gt;0),IF($Y30&lt;TODAY(),"Chase Overdue","Scheduled"),IF(AND($Q30&lt;&gt;"",N($R30)&gt;='안내 Guide'!$D$4,OR($X30="",N($X30)&gt;='안내 Guide'!$D$4)),"Chase Needed","")))</f>
        <v/>
      </c>
      <c r="AA30" s="28"/>
      <c r="AB30" s="25"/>
      <c r="AC30" s="25"/>
      <c r="AD30" s="29"/>
      <c r="AE30" s="25"/>
      <c r="AF30" s="13"/>
      <c r="AG30" s="16" t="s">
        <v>168</v>
      </c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</row>
    <row r="31" spans="1:47" ht="25.5" customHeight="1">
      <c r="A31" s="22">
        <f t="shared" si="0"/>
        <v>27</v>
      </c>
      <c r="B31" s="22" t="str">
        <f>IF($G31="","",IF($C31&lt;&gt;"",$C31,IF($Q31="","Contact",IF($P31&gt;=1,"Live",IF($P31&gt;=0.8,"Pending Live",IF($P31&gt;=0.7,"Testing",IF($P31&gt;=0.45,"In Development",IF($P31&gt;=0.2,"NDA/Contract","Pipeline"))))))))</f>
        <v>In Development</v>
      </c>
      <c r="C31" s="23" t="s">
        <v>15</v>
      </c>
      <c r="D31" s="23"/>
      <c r="E31" s="13" t="s">
        <v>29</v>
      </c>
      <c r="F31" s="13" t="s">
        <v>153</v>
      </c>
      <c r="G31" s="24" t="s">
        <v>347</v>
      </c>
      <c r="H31" s="13" t="s">
        <v>204</v>
      </c>
      <c r="I31" s="13" t="s">
        <v>285</v>
      </c>
      <c r="J31" s="13" t="s">
        <v>206</v>
      </c>
      <c r="K31" s="22" t="s">
        <v>194</v>
      </c>
      <c r="L31" s="13" t="s">
        <v>187</v>
      </c>
      <c r="M31" s="13" t="s">
        <v>39</v>
      </c>
      <c r="N31" s="13" t="s">
        <v>196</v>
      </c>
      <c r="O31" s="22" t="s">
        <v>208</v>
      </c>
      <c r="P31" s="26">
        <f t="shared" si="1"/>
        <v>0</v>
      </c>
      <c r="Q31" s="27" t="str">
        <f t="shared" si="2"/>
        <v/>
      </c>
      <c r="R31" s="22" t="str">
        <f t="shared" ca="1" si="3"/>
        <v/>
      </c>
      <c r="S31" s="13" t="str">
        <f t="shared" si="4"/>
        <v>No Record</v>
      </c>
      <c r="T31" s="13" t="str">
        <f>IF(COUNT($AH31:$AU31)=0,"",LOOKUP(2,1/($AH31:$AU31&lt;&gt;""),{"①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1" s="22" t="str">
        <f t="shared" ca="1" si="5"/>
        <v/>
      </c>
      <c r="V31" s="22">
        <f>IF($G31="","",COUNTIF('Chase Log'!$B$4:$B$2000,$G31))</f>
        <v>0</v>
      </c>
      <c r="W31" s="27" t="str">
        <f>IF(N($V31)=0,"",_xlfn.MAXIFS('Chase Log'!$E$4:$E$2000,'Chase Log'!$B$4:$B$2000,$G31))</f>
        <v/>
      </c>
      <c r="X31" s="22" t="str">
        <f t="shared" ca="1" si="6"/>
        <v/>
      </c>
      <c r="Y31" s="27" t="str">
        <f>IF($W31="","",IF(OR(AND($Q31&lt;&gt;"",N($Q31)&gt;N($W31)),COUNTIFS('Chase Log'!$B$4:$B$2000,$G31,'Chase Log'!$E$4:$E$2000,$W31,'Chase Log'!$I$4:$I$2000,"Y")&gt;0),"",IF(_xlfn.MAXIFS('Chase Log'!$J$4:$J$2000,'Chase Log'!$B$4:$B$2000,$G31,'Chase Log'!$E$4:$E$2000,$W31)=0,"",_xlfn.MAXIFS('Chase Log'!$J$4:$J$2000,'Chase Log'!$B$4:$B$2000,$G31,'Chase Log'!$E$4:$E$2000,$W31))))</f>
        <v/>
      </c>
      <c r="Z31" s="13" t="str">
        <f ca="1">IF(OR($G31="",N($P31)&gt;=1,$C31="Live",$D31&lt;&gt;""),"",IF(AND($Y31&lt;&gt;"",N($Y31)&gt;0),IF($Y31&lt;TODAY(),"Chase Overdue","Scheduled"),IF(AND($Q31&lt;&gt;"",N($R31)&gt;='안내 Guide'!$D$4,OR($X31="",N($X31)&gt;='안내 Guide'!$D$4)),"Chase Needed","")))</f>
        <v/>
      </c>
      <c r="AA31" s="28"/>
      <c r="AB31" s="25"/>
      <c r="AC31" s="25"/>
      <c r="AD31" s="29"/>
      <c r="AE31" s="25"/>
      <c r="AF31" s="13"/>
      <c r="AG31" s="16" t="s">
        <v>168</v>
      </c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</row>
    <row r="32" spans="1:47" ht="25.5" customHeight="1">
      <c r="A32" s="22">
        <f t="shared" si="0"/>
        <v>28</v>
      </c>
      <c r="B32" s="22" t="str">
        <f t="shared" si="7"/>
        <v>Contact</v>
      </c>
      <c r="C32" s="23"/>
      <c r="D32" s="23"/>
      <c r="E32" s="13" t="s">
        <v>30</v>
      </c>
      <c r="F32" s="13" t="s">
        <v>298</v>
      </c>
      <c r="G32" s="24" t="s">
        <v>348</v>
      </c>
      <c r="H32" s="13" t="s">
        <v>204</v>
      </c>
      <c r="I32" s="13" t="s">
        <v>285</v>
      </c>
      <c r="J32" s="13" t="s">
        <v>206</v>
      </c>
      <c r="K32" s="22" t="s">
        <v>194</v>
      </c>
      <c r="L32" s="13" t="s">
        <v>323</v>
      </c>
      <c r="M32" s="13" t="s">
        <v>40</v>
      </c>
      <c r="N32" s="13" t="s">
        <v>196</v>
      </c>
      <c r="O32" s="22" t="s">
        <v>208</v>
      </c>
      <c r="P32" s="26">
        <f t="shared" si="1"/>
        <v>0</v>
      </c>
      <c r="Q32" s="27" t="str">
        <f t="shared" si="2"/>
        <v/>
      </c>
      <c r="R32" s="22" t="str">
        <f t="shared" ca="1" si="3"/>
        <v/>
      </c>
      <c r="S32" s="13" t="str">
        <f t="shared" si="4"/>
        <v>No Record</v>
      </c>
      <c r="T32" s="13" t="str">
        <f>IF(COUNT($AH32:$AU32)=0,"",LOOKUP(2,1/($AH32:$AU32&lt;&gt;""),{"①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2" s="22" t="str">
        <f t="shared" ca="1" si="5"/>
        <v/>
      </c>
      <c r="V32" s="22">
        <f>IF($G32="","",COUNTIF('Chase Log'!$B$4:$B$2000,$G32))</f>
        <v>0</v>
      </c>
      <c r="W32" s="27" t="str">
        <f>IF(N($V32)=0,"",_xlfn.MAXIFS('Chase Log'!$E$4:$E$2000,'Chase Log'!$B$4:$B$2000,$G32))</f>
        <v/>
      </c>
      <c r="X32" s="22" t="str">
        <f t="shared" ca="1" si="6"/>
        <v/>
      </c>
      <c r="Y32" s="27" t="str">
        <f>IF($W32="","",IF(OR(AND($Q32&lt;&gt;"",N($Q32)&gt;N($W32)),COUNTIFS('Chase Log'!$B$4:$B$2000,$G32,'Chase Log'!$E$4:$E$2000,$W32,'Chase Log'!$I$4:$I$2000,"Y")&gt;0),"",IF(_xlfn.MAXIFS('Chase Log'!$J$4:$J$2000,'Chase Log'!$B$4:$B$2000,$G32,'Chase Log'!$E$4:$E$2000,$W32)=0,"",_xlfn.MAXIFS('Chase Log'!$J$4:$J$2000,'Chase Log'!$B$4:$B$2000,$G32,'Chase Log'!$E$4:$E$2000,$W32))))</f>
        <v/>
      </c>
      <c r="Z32" s="13" t="str">
        <f ca="1">IF(OR($G32="",N($P32)&gt;=1,$C32="Live",$D32&lt;&gt;""),"",IF(AND($Y32&lt;&gt;"",N($Y32)&gt;0),IF($Y32&lt;TODAY(),"Chase Overdue","Scheduled"),IF(AND($Q32&lt;&gt;"",N($R32)&gt;='안내 Guide'!$D$4,OR($X32="",N($X32)&gt;='안내 Guide'!$D$4)),"Chase Needed","")))</f>
        <v/>
      </c>
      <c r="AA32" s="28"/>
      <c r="AB32" s="25"/>
      <c r="AC32" s="25" t="s">
        <v>324</v>
      </c>
      <c r="AD32" s="29" t="s">
        <v>325</v>
      </c>
      <c r="AE32" s="25"/>
      <c r="AF32" s="13" t="s">
        <v>181</v>
      </c>
      <c r="AG32" s="16" t="s">
        <v>168</v>
      </c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</row>
    <row r="33" spans="1:47" ht="25.5" customHeight="1">
      <c r="A33" s="22">
        <f t="shared" si="0"/>
        <v>29</v>
      </c>
      <c r="B33" s="22" t="str">
        <f t="shared" si="7"/>
        <v>Contact</v>
      </c>
      <c r="C33" s="23"/>
      <c r="D33" s="23"/>
      <c r="E33" s="13" t="s">
        <v>30</v>
      </c>
      <c r="F33" s="13" t="s">
        <v>298</v>
      </c>
      <c r="G33" s="24" t="s">
        <v>349</v>
      </c>
      <c r="H33" s="13" t="s">
        <v>204</v>
      </c>
      <c r="I33" s="13" t="s">
        <v>285</v>
      </c>
      <c r="J33" s="13" t="s">
        <v>206</v>
      </c>
      <c r="K33" s="22" t="s">
        <v>160</v>
      </c>
      <c r="L33" s="13" t="s">
        <v>207</v>
      </c>
      <c r="M33" s="13" t="s">
        <v>40</v>
      </c>
      <c r="N33" s="13" t="s">
        <v>196</v>
      </c>
      <c r="O33" s="22" t="s">
        <v>208</v>
      </c>
      <c r="P33" s="26">
        <f t="shared" si="1"/>
        <v>0</v>
      </c>
      <c r="Q33" s="27" t="str">
        <f t="shared" si="2"/>
        <v/>
      </c>
      <c r="R33" s="22" t="str">
        <f t="shared" ca="1" si="3"/>
        <v/>
      </c>
      <c r="S33" s="13" t="str">
        <f t="shared" si="4"/>
        <v>No Record</v>
      </c>
      <c r="T33" s="13" t="str">
        <f>IF(COUNT($AH33:$AU33)=0,"",LOOKUP(2,1/($AH33:$AU33&lt;&gt;""),{"①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3" s="22" t="str">
        <f t="shared" ca="1" si="5"/>
        <v/>
      </c>
      <c r="V33" s="22">
        <f>IF($G33="","",COUNTIF('Chase Log'!$B$4:$B$2000,$G33))</f>
        <v>1</v>
      </c>
      <c r="W33" s="27">
        <f>IF(N($V33)=0,"",_xlfn.MAXIFS('Chase Log'!$E$4:$E$2000,'Chase Log'!$B$4:$B$2000,$G33))</f>
        <v>46300</v>
      </c>
      <c r="X33" s="22">
        <f t="shared" ca="1" si="6"/>
        <v>25</v>
      </c>
      <c r="Y33" s="27">
        <f>IF($W33="","",IF(OR(AND($Q33&lt;&gt;"",N($Q33)&gt;N($W33)),COUNTIFS('Chase Log'!$B$4:$B$2000,$G33,'Chase Log'!$E$4:$E$2000,$W33,'Chase Log'!$I$4:$I$2000,"Y")&gt;0),"",IF(_xlfn.MAXIFS('Chase Log'!$J$4:$J$2000,'Chase Log'!$B$4:$B$2000,$G33,'Chase Log'!$E$4:$E$2000,$W33)=0,"",_xlfn.MAXIFS('Chase Log'!$J$4:$J$2000,'Chase Log'!$B$4:$B$2000,$G33,'Chase Log'!$E$4:$E$2000,$W33))))</f>
        <v>46307</v>
      </c>
      <c r="Z33" s="13" t="str">
        <f ca="1">IF(OR($G33="",N($P33)&gt;=1,$C33="Live",$D33&lt;&gt;""),"",IF(AND($Y33&lt;&gt;"",N($Y33)&gt;0),IF($Y33&lt;TODAY(),"Chase Overdue","Scheduled"),IF(AND($Q33&lt;&gt;"",N($R33)&gt;='안내 Guide'!$D$4,OR($X33="",N($X33)&gt;='안내 Guide'!$D$4)),"Chase Needed","")))</f>
        <v>Chase Overdue</v>
      </c>
      <c r="AA33" s="28">
        <v>46400</v>
      </c>
      <c r="AB33" s="25" t="s">
        <v>327</v>
      </c>
      <c r="AC33" s="25" t="s">
        <v>350</v>
      </c>
      <c r="AD33" s="29" t="s">
        <v>351</v>
      </c>
      <c r="AE33" s="25"/>
      <c r="AF33" s="13" t="s">
        <v>181</v>
      </c>
      <c r="AG33" s="16" t="s">
        <v>168</v>
      </c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</row>
    <row r="34" spans="1:47" ht="25.5" customHeight="1">
      <c r="A34" s="22">
        <f t="shared" si="0"/>
        <v>30</v>
      </c>
      <c r="B34" s="22" t="str">
        <f t="shared" si="7"/>
        <v>Contact</v>
      </c>
      <c r="C34" s="23"/>
      <c r="D34" s="23"/>
      <c r="E34" s="13" t="s">
        <v>33</v>
      </c>
      <c r="F34" s="13" t="s">
        <v>240</v>
      </c>
      <c r="G34" s="24" t="s">
        <v>352</v>
      </c>
      <c r="H34" s="13" t="s">
        <v>204</v>
      </c>
      <c r="I34" s="13" t="s">
        <v>285</v>
      </c>
      <c r="J34" s="13" t="s">
        <v>206</v>
      </c>
      <c r="K34" s="22" t="s">
        <v>194</v>
      </c>
      <c r="L34" s="13" t="s">
        <v>207</v>
      </c>
      <c r="M34" s="13" t="s">
        <v>40</v>
      </c>
      <c r="N34" s="13" t="s">
        <v>196</v>
      </c>
      <c r="O34" s="22" t="s">
        <v>208</v>
      </c>
      <c r="P34" s="26">
        <f t="shared" si="1"/>
        <v>0</v>
      </c>
      <c r="Q34" s="27" t="str">
        <f t="shared" si="2"/>
        <v/>
      </c>
      <c r="R34" s="22" t="str">
        <f t="shared" ca="1" si="3"/>
        <v/>
      </c>
      <c r="S34" s="13" t="str">
        <f t="shared" si="4"/>
        <v>No Record</v>
      </c>
      <c r="T34" s="13" t="str">
        <f>IF(COUNT($AH34:$AU34)=0,"",LOOKUP(2,1/($AH34:$AU34&lt;&gt;""),{"①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4" s="22" t="str">
        <f t="shared" ca="1" si="5"/>
        <v/>
      </c>
      <c r="V34" s="22">
        <f>IF($G34="","",COUNTIF('Chase Log'!$B$4:$B$2000,$G34))</f>
        <v>1</v>
      </c>
      <c r="W34" s="27">
        <f>IF(N($V34)=0,"",_xlfn.MAXIFS('Chase Log'!$E$4:$E$2000,'Chase Log'!$B$4:$B$2000,$G34))</f>
        <v>46301</v>
      </c>
      <c r="X34" s="22">
        <f t="shared" ca="1" si="6"/>
        <v>24</v>
      </c>
      <c r="Y34" s="27">
        <f>IF($W34="","",IF(OR(AND($Q34&lt;&gt;"",N($Q34)&gt;N($W34)),COUNTIFS('Chase Log'!$B$4:$B$2000,$G34,'Chase Log'!$E$4:$E$2000,$W34,'Chase Log'!$I$4:$I$2000,"Y")&gt;0),"",IF(_xlfn.MAXIFS('Chase Log'!$J$4:$J$2000,'Chase Log'!$B$4:$B$2000,$G34,'Chase Log'!$E$4:$E$2000,$W34)=0,"",_xlfn.MAXIFS('Chase Log'!$J$4:$J$2000,'Chase Log'!$B$4:$B$2000,$G34,'Chase Log'!$E$4:$E$2000,$W34))))</f>
        <v>46308</v>
      </c>
      <c r="Z34" s="13" t="str">
        <f ca="1">IF(OR($G34="",N($P34)&gt;=1,$C34="Live",$D34&lt;&gt;""),"",IF(AND($Y34&lt;&gt;"",N($Y34)&gt;0),IF($Y34&lt;TODAY(),"Chase Overdue","Scheduled"),IF(AND($Q34&lt;&gt;"",N($R34)&gt;='안내 Guide'!$D$4,OR($X34="",N($X34)&gt;='안내 Guide'!$D$4)),"Chase Needed","")))</f>
        <v>Chase Overdue</v>
      </c>
      <c r="AA34" s="28"/>
      <c r="AB34" s="25"/>
      <c r="AC34" s="25" t="s">
        <v>353</v>
      </c>
      <c r="AD34" s="29" t="s">
        <v>354</v>
      </c>
      <c r="AE34" s="25"/>
      <c r="AF34" s="13" t="s">
        <v>355</v>
      </c>
      <c r="AG34" s="16" t="s">
        <v>168</v>
      </c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</row>
    <row r="35" spans="1:47" ht="25.5" customHeight="1">
      <c r="A35" s="22">
        <f t="shared" si="0"/>
        <v>31</v>
      </c>
      <c r="B35" s="22" t="str">
        <f t="shared" si="7"/>
        <v>Contact</v>
      </c>
      <c r="C35" s="23"/>
      <c r="D35" s="23"/>
      <c r="E35" s="13" t="s">
        <v>33</v>
      </c>
      <c r="F35" s="13" t="s">
        <v>240</v>
      </c>
      <c r="G35" s="24" t="s">
        <v>356</v>
      </c>
      <c r="H35" s="13" t="s">
        <v>204</v>
      </c>
      <c r="I35" s="13" t="s">
        <v>285</v>
      </c>
      <c r="J35" s="13" t="s">
        <v>206</v>
      </c>
      <c r="K35" s="22" t="s">
        <v>160</v>
      </c>
      <c r="L35" s="13" t="s">
        <v>323</v>
      </c>
      <c r="M35" s="13" t="s">
        <v>40</v>
      </c>
      <c r="N35" s="13" t="s">
        <v>188</v>
      </c>
      <c r="O35" s="22" t="s">
        <v>208</v>
      </c>
      <c r="P35" s="26">
        <f t="shared" si="1"/>
        <v>0</v>
      </c>
      <c r="Q35" s="27" t="str">
        <f t="shared" si="2"/>
        <v/>
      </c>
      <c r="R35" s="22" t="str">
        <f t="shared" ca="1" si="3"/>
        <v/>
      </c>
      <c r="S35" s="13" t="str">
        <f t="shared" si="4"/>
        <v>No Record</v>
      </c>
      <c r="T35" s="13" t="str">
        <f>IF(COUNT($AH35:$AU35)=0,"",LOOKUP(2,1/($AH35:$AU35&lt;&gt;""),{"①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5" s="22" t="str">
        <f t="shared" ca="1" si="5"/>
        <v/>
      </c>
      <c r="V35" s="22">
        <f>IF($G35="","",COUNTIF('Chase Log'!$B$4:$B$2000,$G35))</f>
        <v>0</v>
      </c>
      <c r="W35" s="27" t="str">
        <f>IF(N($V35)=0,"",_xlfn.MAXIFS('Chase Log'!$E$4:$E$2000,'Chase Log'!$B$4:$B$2000,$G35))</f>
        <v/>
      </c>
      <c r="X35" s="22" t="str">
        <f t="shared" ca="1" si="6"/>
        <v/>
      </c>
      <c r="Y35" s="27" t="str">
        <f>IF($W35="","",IF(OR(AND($Q35&lt;&gt;"",N($Q35)&gt;N($W35)),COUNTIFS('Chase Log'!$B$4:$B$2000,$G35,'Chase Log'!$E$4:$E$2000,$W35,'Chase Log'!$I$4:$I$2000,"Y")&gt;0),"",IF(_xlfn.MAXIFS('Chase Log'!$J$4:$J$2000,'Chase Log'!$B$4:$B$2000,$G35,'Chase Log'!$E$4:$E$2000,$W35)=0,"",_xlfn.MAXIFS('Chase Log'!$J$4:$J$2000,'Chase Log'!$B$4:$B$2000,$G35,'Chase Log'!$E$4:$E$2000,$W35))))</f>
        <v/>
      </c>
      <c r="Z35" s="13" t="str">
        <f ca="1">IF(OR($G35="",N($P35)&gt;=1,$C35="Live",$D35&lt;&gt;""),"",IF(AND($Y35&lt;&gt;"",N($Y35)&gt;0),IF($Y35&lt;TODAY(),"Chase Overdue","Scheduled"),IF(AND($Q35&lt;&gt;"",N($R35)&gt;='안내 Guide'!$D$4,OR($X35="",N($X35)&gt;='안내 Guide'!$D$4)),"Chase Needed","")))</f>
        <v/>
      </c>
      <c r="AA35" s="28"/>
      <c r="AB35" s="25"/>
      <c r="AC35" s="25" t="s">
        <v>357</v>
      </c>
      <c r="AD35" s="29" t="s">
        <v>358</v>
      </c>
      <c r="AE35" s="25"/>
      <c r="AF35" s="13" t="s">
        <v>359</v>
      </c>
      <c r="AG35" s="16" t="s">
        <v>168</v>
      </c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</row>
    <row r="36" spans="1:47" ht="25.5" customHeight="1">
      <c r="A36" s="22">
        <f t="shared" si="0"/>
        <v>32</v>
      </c>
      <c r="B36" s="22" t="str">
        <f t="shared" si="7"/>
        <v>Contact</v>
      </c>
      <c r="C36" s="23"/>
      <c r="D36" s="23"/>
      <c r="E36" s="13" t="s">
        <v>27</v>
      </c>
      <c r="F36" s="13" t="s">
        <v>184</v>
      </c>
      <c r="G36" s="24" t="s">
        <v>360</v>
      </c>
      <c r="H36" s="13" t="s">
        <v>204</v>
      </c>
      <c r="I36" s="13" t="s">
        <v>361</v>
      </c>
      <c r="J36" s="13"/>
      <c r="K36" s="22"/>
      <c r="L36" s="13" t="s">
        <v>207</v>
      </c>
      <c r="M36" s="13" t="s">
        <v>42</v>
      </c>
      <c r="N36" s="13"/>
      <c r="O36" s="22" t="s">
        <v>208</v>
      </c>
      <c r="P36" s="26">
        <f t="shared" si="1"/>
        <v>0</v>
      </c>
      <c r="Q36" s="27" t="str">
        <f t="shared" si="2"/>
        <v/>
      </c>
      <c r="R36" s="22" t="str">
        <f t="shared" ca="1" si="3"/>
        <v/>
      </c>
      <c r="S36" s="13" t="str">
        <f t="shared" si="4"/>
        <v>No Record</v>
      </c>
      <c r="T36" s="13" t="str">
        <f>IF(COUNT($AH36:$AU36)=0,"",LOOKUP(2,1/($AH36:$AU36&lt;&gt;""),{"①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6" s="22" t="str">
        <f t="shared" ca="1" si="5"/>
        <v/>
      </c>
      <c r="V36" s="22">
        <f>IF($G36="","",COUNTIF('Chase Log'!$B$4:$B$2000,$G36))</f>
        <v>0</v>
      </c>
      <c r="W36" s="27" t="str">
        <f>IF(N($V36)=0,"",_xlfn.MAXIFS('Chase Log'!$E$4:$E$2000,'Chase Log'!$B$4:$B$2000,$G36))</f>
        <v/>
      </c>
      <c r="X36" s="22" t="str">
        <f t="shared" ca="1" si="6"/>
        <v/>
      </c>
      <c r="Y36" s="27" t="str">
        <f>IF($W36="","",IF(OR(AND($Q36&lt;&gt;"",N($Q36)&gt;N($W36)),COUNTIFS('Chase Log'!$B$4:$B$2000,$G36,'Chase Log'!$E$4:$E$2000,$W36,'Chase Log'!$I$4:$I$2000,"Y")&gt;0),"",IF(_xlfn.MAXIFS('Chase Log'!$J$4:$J$2000,'Chase Log'!$B$4:$B$2000,$G36,'Chase Log'!$E$4:$E$2000,$W36)=0,"",_xlfn.MAXIFS('Chase Log'!$J$4:$J$2000,'Chase Log'!$B$4:$B$2000,$G36,'Chase Log'!$E$4:$E$2000,$W36))))</f>
        <v/>
      </c>
      <c r="Z36" s="13" t="str">
        <f ca="1">IF(OR($G36="",N($P36)&gt;=1,$C36="Live",$D36&lt;&gt;""),"",IF(AND($Y36&lt;&gt;"",N($Y36)&gt;0),IF($Y36&lt;TODAY(),"Chase Overdue","Scheduled"),IF(AND($Q36&lt;&gt;"",N($R36)&gt;='안내 Guide'!$D$4,OR($X36="",N($X36)&gt;='안내 Guide'!$D$4)),"Chase Needed","")))</f>
        <v/>
      </c>
      <c r="AA36" s="28"/>
      <c r="AB36" s="25"/>
      <c r="AC36" s="25" t="s">
        <v>362</v>
      </c>
      <c r="AD36" s="29" t="s">
        <v>363</v>
      </c>
      <c r="AE36" s="25"/>
      <c r="AF36" s="13" t="s">
        <v>250</v>
      </c>
      <c r="AG36" s="16" t="s">
        <v>182</v>
      </c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</row>
    <row r="37" spans="1:47" ht="25.5" customHeight="1">
      <c r="A37" s="22">
        <f t="shared" ref="A37:A67" si="8">IF($G37="","",ROW()-4)</f>
        <v>33</v>
      </c>
      <c r="B37" s="22" t="str">
        <f t="shared" ref="B37:B67" si="9">IF($G37="","",IF($C37&lt;&gt;"",$C37,IF($Q37="","Contact",IF($P37&gt;=1,"Live",IF($P37&gt;=0.8,"Pending Live",IF($P37&gt;=0.7,"Testing",IF($P37&gt;=0.45,"In Development",IF($P37&gt;=0.2,"NDA/Contract","Pipeline"))))))))</f>
        <v>Contact</v>
      </c>
      <c r="C37" s="23"/>
      <c r="D37" s="23"/>
      <c r="E37" s="13" t="s">
        <v>27</v>
      </c>
      <c r="F37" s="13" t="s">
        <v>184</v>
      </c>
      <c r="G37" s="24" t="s">
        <v>364</v>
      </c>
      <c r="H37" s="13" t="s">
        <v>204</v>
      </c>
      <c r="I37" s="13" t="s">
        <v>361</v>
      </c>
      <c r="J37" s="13"/>
      <c r="K37" s="22"/>
      <c r="L37" s="13" t="s">
        <v>178</v>
      </c>
      <c r="M37" s="13" t="s">
        <v>42</v>
      </c>
      <c r="N37" s="13"/>
      <c r="O37" s="22" t="s">
        <v>208</v>
      </c>
      <c r="P37" s="26">
        <f t="shared" ref="P37:P67" si="10">IF($G37="","",IFERROR(LOOKUP(2,1/($AH37:$AU37&lt;&gt;""),$AH$2:$AU$2),0))</f>
        <v>0</v>
      </c>
      <c r="Q37" s="27" t="str">
        <f t="shared" ref="Q37:Q67" si="11">IF(COUNT($AH37:$AU37)=0,"",MAX($AH37:$AU37))</f>
        <v/>
      </c>
      <c r="R37" s="22" t="str">
        <f t="shared" ref="R37:R67" ca="1" si="12">IF($Q37="","",TODAY()-$Q37)</f>
        <v/>
      </c>
      <c r="S37" s="13" t="str">
        <f t="shared" ref="S37:S67" si="13">IF($G37="","",IF($Q37="","No Record",IF(OR($P37&gt;=1,$C37="Live"),"Live",IF($R37&gt;=90,"Stalled 90d+",IF($R37&gt;=60,"Stalled 60d+",IF($R37&gt;=30,"Stalled 30d+","In Progress"))))))</f>
        <v>No Record</v>
      </c>
      <c r="T37" s="13" t="str">
        <f>IF(COUNT($AH37:$AU37)=0,"",LOOKUP(2,1/($AH37:$AU37&lt;&gt;""),{"①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7" s="22" t="str">
        <f t="shared" ref="U37:U67" ca="1" si="14">IF(COUNT($AH37:$AU37)=0,"",IF(N($P37)&gt;=1,MAX($AH37:$AU37),TODAY())-MIN($AH37:$AU37))</f>
        <v/>
      </c>
      <c r="V37" s="22">
        <f>IF($G37="","",COUNTIF('Chase Log'!$B$4:$B$2000,$G37))</f>
        <v>1</v>
      </c>
      <c r="W37" s="27">
        <f>IF(N($V37)=0,"",_xlfn.MAXIFS('Chase Log'!$E$4:$E$2000,'Chase Log'!$B$4:$B$2000,$G37))</f>
        <v>46295</v>
      </c>
      <c r="X37" s="22">
        <f t="shared" ref="X37:X67" ca="1" si="15">IF($W37="","",TODAY()-$W37)</f>
        <v>30</v>
      </c>
      <c r="Y37" s="27">
        <f>IF($W37="","",IF(OR(AND($Q37&lt;&gt;"",N($Q37)&gt;N($W37)),COUNTIFS('Chase Log'!$B$4:$B$2000,$G37,'Chase Log'!$E$4:$E$2000,$W37,'Chase Log'!$I$4:$I$2000,"Y")&gt;0),"",IF(_xlfn.MAXIFS('Chase Log'!$J$4:$J$2000,'Chase Log'!$B$4:$B$2000,$G37,'Chase Log'!$E$4:$E$2000,$W37)=0,"",_xlfn.MAXIFS('Chase Log'!$J$4:$J$2000,'Chase Log'!$B$4:$B$2000,$G37,'Chase Log'!$E$4:$E$2000,$W37))))</f>
        <v>46302</v>
      </c>
      <c r="Z37" s="13" t="str">
        <f ca="1">IF(OR($G37="",N($P37)&gt;=1,$C37="Live",$D37&lt;&gt;""),"",IF(AND($Y37&lt;&gt;"",N($Y37)&gt;0),IF($Y37&lt;TODAY(),"Chase Overdue","Scheduled"),IF(AND($Q37&lt;&gt;"",N($R37)&gt;='안내 Guide'!$D$4,OR($X37="",N($X37)&gt;='안내 Guide'!$D$4)),"Chase Needed","")))</f>
        <v>Chase Overdue</v>
      </c>
      <c r="AA37" s="28"/>
      <c r="AB37" s="25"/>
      <c r="AC37" s="25" t="s">
        <v>365</v>
      </c>
      <c r="AD37" s="29" t="s">
        <v>366</v>
      </c>
      <c r="AE37" s="25"/>
      <c r="AF37" s="13" t="s">
        <v>238</v>
      </c>
      <c r="AG37" s="16" t="s">
        <v>182</v>
      </c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</row>
    <row r="38" spans="1:47" ht="25.5" customHeight="1">
      <c r="A38" s="22">
        <f t="shared" si="8"/>
        <v>34</v>
      </c>
      <c r="B38" s="22" t="str">
        <f t="shared" si="9"/>
        <v>Contact</v>
      </c>
      <c r="C38" s="23"/>
      <c r="D38" s="23"/>
      <c r="E38" s="13" t="s">
        <v>27</v>
      </c>
      <c r="F38" s="13" t="s">
        <v>184</v>
      </c>
      <c r="G38" s="24" t="s">
        <v>367</v>
      </c>
      <c r="H38" s="13" t="s">
        <v>204</v>
      </c>
      <c r="I38" s="13" t="s">
        <v>361</v>
      </c>
      <c r="J38" s="13"/>
      <c r="K38" s="22"/>
      <c r="L38" s="13" t="s">
        <v>178</v>
      </c>
      <c r="M38" s="13" t="s">
        <v>42</v>
      </c>
      <c r="N38" s="13"/>
      <c r="O38" s="22" t="s">
        <v>208</v>
      </c>
      <c r="P38" s="26">
        <f t="shared" si="10"/>
        <v>0</v>
      </c>
      <c r="Q38" s="27" t="str">
        <f t="shared" si="11"/>
        <v/>
      </c>
      <c r="R38" s="22" t="str">
        <f t="shared" ca="1" si="12"/>
        <v/>
      </c>
      <c r="S38" s="13" t="str">
        <f t="shared" si="13"/>
        <v>No Record</v>
      </c>
      <c r="T38" s="13" t="str">
        <f>IF(COUNT($AH38:$AU38)=0,"",LOOKUP(2,1/($AH38:$AU38&lt;&gt;""),{"①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8" s="22" t="str">
        <f t="shared" ca="1" si="14"/>
        <v/>
      </c>
      <c r="V38" s="22">
        <f>IF($G38="","",COUNTIF('Chase Log'!$B$4:$B$2000,$G38))</f>
        <v>0</v>
      </c>
      <c r="W38" s="27" t="str">
        <f>IF(N($V38)=0,"",_xlfn.MAXIFS('Chase Log'!$E$4:$E$2000,'Chase Log'!$B$4:$B$2000,$G38))</f>
        <v/>
      </c>
      <c r="X38" s="22" t="str">
        <f t="shared" ca="1" si="15"/>
        <v/>
      </c>
      <c r="Y38" s="27" t="str">
        <f>IF($W38="","",IF(OR(AND($Q38&lt;&gt;"",N($Q38)&gt;N($W38)),COUNTIFS('Chase Log'!$B$4:$B$2000,$G38,'Chase Log'!$E$4:$E$2000,$W38,'Chase Log'!$I$4:$I$2000,"Y")&gt;0),"",IF(_xlfn.MAXIFS('Chase Log'!$J$4:$J$2000,'Chase Log'!$B$4:$B$2000,$G38,'Chase Log'!$E$4:$E$2000,$W38)=0,"",_xlfn.MAXIFS('Chase Log'!$J$4:$J$2000,'Chase Log'!$B$4:$B$2000,$G38,'Chase Log'!$E$4:$E$2000,$W38))))</f>
        <v/>
      </c>
      <c r="Z38" s="13" t="str">
        <f ca="1">IF(OR($G38="",N($P38)&gt;=1,$C38="Live",$D38&lt;&gt;""),"",IF(AND($Y38&lt;&gt;"",N($Y38)&gt;0),IF($Y38&lt;TODAY(),"Chase Overdue","Scheduled"),IF(AND($Q38&lt;&gt;"",N($R38)&gt;='안내 Guide'!$D$4,OR($X38="",N($X38)&gt;='안내 Guide'!$D$4)),"Chase Needed","")))</f>
        <v/>
      </c>
      <c r="AA38" s="28"/>
      <c r="AB38" s="25"/>
      <c r="AC38" s="25" t="s">
        <v>368</v>
      </c>
      <c r="AD38" s="29" t="s">
        <v>369</v>
      </c>
      <c r="AE38" s="25"/>
      <c r="AF38" s="13" t="s">
        <v>370</v>
      </c>
      <c r="AG38" s="16" t="s">
        <v>182</v>
      </c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</row>
    <row r="39" spans="1:47" ht="25.5" customHeight="1">
      <c r="A39" s="22">
        <f t="shared" si="8"/>
        <v>35</v>
      </c>
      <c r="B39" s="22" t="str">
        <f t="shared" si="9"/>
        <v>Contact</v>
      </c>
      <c r="C39" s="23"/>
      <c r="D39" s="23"/>
      <c r="E39" s="13" t="s">
        <v>27</v>
      </c>
      <c r="F39" s="13" t="s">
        <v>184</v>
      </c>
      <c r="G39" s="24" t="s">
        <v>371</v>
      </c>
      <c r="H39" s="13" t="s">
        <v>204</v>
      </c>
      <c r="I39" s="13" t="s">
        <v>361</v>
      </c>
      <c r="J39" s="13"/>
      <c r="K39" s="22"/>
      <c r="L39" s="13" t="s">
        <v>161</v>
      </c>
      <c r="M39" s="13" t="s">
        <v>42</v>
      </c>
      <c r="N39" s="13"/>
      <c r="O39" s="22" t="s">
        <v>208</v>
      </c>
      <c r="P39" s="26">
        <f t="shared" si="10"/>
        <v>0</v>
      </c>
      <c r="Q39" s="27" t="str">
        <f t="shared" si="11"/>
        <v/>
      </c>
      <c r="R39" s="22" t="str">
        <f t="shared" ca="1" si="12"/>
        <v/>
      </c>
      <c r="S39" s="13" t="str">
        <f t="shared" si="13"/>
        <v>No Record</v>
      </c>
      <c r="T39" s="13" t="str">
        <f>IF(COUNT($AH39:$AU39)=0,"",LOOKUP(2,1/($AH39:$AU39&lt;&gt;""),{"①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39" s="22" t="str">
        <f t="shared" ca="1" si="14"/>
        <v/>
      </c>
      <c r="V39" s="22">
        <f>IF($G39="","",COUNTIF('Chase Log'!$B$4:$B$2000,$G39))</f>
        <v>0</v>
      </c>
      <c r="W39" s="27" t="str">
        <f>IF(N($V39)=0,"",_xlfn.MAXIFS('Chase Log'!$E$4:$E$2000,'Chase Log'!$B$4:$B$2000,$G39))</f>
        <v/>
      </c>
      <c r="X39" s="22" t="str">
        <f t="shared" ca="1" si="15"/>
        <v/>
      </c>
      <c r="Y39" s="27" t="str">
        <f>IF($W39="","",IF(OR(AND($Q39&lt;&gt;"",N($Q39)&gt;N($W39)),COUNTIFS('Chase Log'!$B$4:$B$2000,$G39,'Chase Log'!$E$4:$E$2000,$W39,'Chase Log'!$I$4:$I$2000,"Y")&gt;0),"",IF(_xlfn.MAXIFS('Chase Log'!$J$4:$J$2000,'Chase Log'!$B$4:$B$2000,$G39,'Chase Log'!$E$4:$E$2000,$W39)=0,"",_xlfn.MAXIFS('Chase Log'!$J$4:$J$2000,'Chase Log'!$B$4:$B$2000,$G39,'Chase Log'!$E$4:$E$2000,$W39))))</f>
        <v/>
      </c>
      <c r="Z39" s="13" t="str">
        <f ca="1">IF(OR($G39="",N($P39)&gt;=1,$C39="Live",$D39&lt;&gt;""),"",IF(AND($Y39&lt;&gt;"",N($Y39)&gt;0),IF($Y39&lt;TODAY(),"Chase Overdue","Scheduled"),IF(AND($Q39&lt;&gt;"",N($R39)&gt;='안내 Guide'!$D$4,OR($X39="",N($X39)&gt;='안내 Guide'!$D$4)),"Chase Needed","")))</f>
        <v/>
      </c>
      <c r="AA39" s="28"/>
      <c r="AB39" s="25"/>
      <c r="AC39" s="25" t="s">
        <v>372</v>
      </c>
      <c r="AD39" s="29" t="s">
        <v>373</v>
      </c>
      <c r="AE39" s="25"/>
      <c r="AF39" s="13" t="s">
        <v>302</v>
      </c>
      <c r="AG39" s="16" t="s">
        <v>182</v>
      </c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</row>
    <row r="40" spans="1:47" ht="25.5" customHeight="1">
      <c r="A40" s="22">
        <f t="shared" si="8"/>
        <v>36</v>
      </c>
      <c r="B40" s="22" t="str">
        <f t="shared" si="9"/>
        <v>Contact</v>
      </c>
      <c r="C40" s="23"/>
      <c r="D40" s="23"/>
      <c r="E40" s="13" t="s">
        <v>27</v>
      </c>
      <c r="F40" s="13" t="s">
        <v>184</v>
      </c>
      <c r="G40" s="24" t="s">
        <v>374</v>
      </c>
      <c r="H40" s="13" t="s">
        <v>204</v>
      </c>
      <c r="I40" s="13" t="s">
        <v>361</v>
      </c>
      <c r="J40" s="13"/>
      <c r="K40" s="22"/>
      <c r="L40" s="13" t="s">
        <v>178</v>
      </c>
      <c r="M40" s="13" t="s">
        <v>42</v>
      </c>
      <c r="N40" s="13"/>
      <c r="O40" s="22" t="s">
        <v>208</v>
      </c>
      <c r="P40" s="26">
        <f t="shared" si="10"/>
        <v>0</v>
      </c>
      <c r="Q40" s="27" t="str">
        <f t="shared" si="11"/>
        <v/>
      </c>
      <c r="R40" s="22" t="str">
        <f t="shared" ca="1" si="12"/>
        <v/>
      </c>
      <c r="S40" s="13" t="str">
        <f t="shared" si="13"/>
        <v>No Record</v>
      </c>
      <c r="T40" s="13" t="str">
        <f>IF(COUNT($AH40:$AU40)=0,"",LOOKUP(2,1/($AH40:$AU40&lt;&gt;""),{"①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0" s="22" t="str">
        <f t="shared" ca="1" si="14"/>
        <v/>
      </c>
      <c r="V40" s="22">
        <f>IF($G40="","",COUNTIF('Chase Log'!$B$4:$B$2000,$G40))</f>
        <v>0</v>
      </c>
      <c r="W40" s="27" t="str">
        <f>IF(N($V40)=0,"",_xlfn.MAXIFS('Chase Log'!$E$4:$E$2000,'Chase Log'!$B$4:$B$2000,$G40))</f>
        <v/>
      </c>
      <c r="X40" s="22" t="str">
        <f t="shared" ca="1" si="15"/>
        <v/>
      </c>
      <c r="Y40" s="27" t="str">
        <f>IF($W40="","",IF(OR(AND($Q40&lt;&gt;"",N($Q40)&gt;N($W40)),COUNTIFS('Chase Log'!$B$4:$B$2000,$G40,'Chase Log'!$E$4:$E$2000,$W40,'Chase Log'!$I$4:$I$2000,"Y")&gt;0),"",IF(_xlfn.MAXIFS('Chase Log'!$J$4:$J$2000,'Chase Log'!$B$4:$B$2000,$G40,'Chase Log'!$E$4:$E$2000,$W40)=0,"",_xlfn.MAXIFS('Chase Log'!$J$4:$J$2000,'Chase Log'!$B$4:$B$2000,$G40,'Chase Log'!$E$4:$E$2000,$W40))))</f>
        <v/>
      </c>
      <c r="Z40" s="13" t="str">
        <f ca="1">IF(OR($G40="",N($P40)&gt;=1,$C40="Live",$D40&lt;&gt;""),"",IF(AND($Y40&lt;&gt;"",N($Y40)&gt;0),IF($Y40&lt;TODAY(),"Chase Overdue","Scheduled"),IF(AND($Q40&lt;&gt;"",N($R40)&gt;='안내 Guide'!$D$4,OR($X40="",N($X40)&gt;='안내 Guide'!$D$4)),"Chase Needed","")))</f>
        <v/>
      </c>
      <c r="AA40" s="28"/>
      <c r="AB40" s="25"/>
      <c r="AC40" s="25" t="s">
        <v>375</v>
      </c>
      <c r="AD40" s="29" t="s">
        <v>376</v>
      </c>
      <c r="AE40" s="25"/>
      <c r="AF40" s="13" t="s">
        <v>302</v>
      </c>
      <c r="AG40" s="16" t="s">
        <v>182</v>
      </c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</row>
    <row r="41" spans="1:47" ht="25.5" customHeight="1">
      <c r="A41" s="22">
        <f t="shared" si="8"/>
        <v>37</v>
      </c>
      <c r="B41" s="22" t="str">
        <f t="shared" si="9"/>
        <v>Contact</v>
      </c>
      <c r="C41" s="23"/>
      <c r="D41" s="23" t="s">
        <v>183</v>
      </c>
      <c r="E41" s="13" t="s">
        <v>27</v>
      </c>
      <c r="F41" s="13" t="s">
        <v>184</v>
      </c>
      <c r="G41" s="24" t="s">
        <v>377</v>
      </c>
      <c r="H41" s="13" t="s">
        <v>204</v>
      </c>
      <c r="I41" s="13" t="s">
        <v>361</v>
      </c>
      <c r="J41" s="13"/>
      <c r="K41" s="22"/>
      <c r="L41" s="13" t="s">
        <v>323</v>
      </c>
      <c r="M41" s="13" t="s">
        <v>42</v>
      </c>
      <c r="N41" s="13"/>
      <c r="O41" s="22" t="s">
        <v>208</v>
      </c>
      <c r="P41" s="26">
        <f t="shared" si="10"/>
        <v>0</v>
      </c>
      <c r="Q41" s="27" t="str">
        <f t="shared" si="11"/>
        <v/>
      </c>
      <c r="R41" s="22" t="str">
        <f t="shared" ca="1" si="12"/>
        <v/>
      </c>
      <c r="S41" s="13" t="str">
        <f t="shared" si="13"/>
        <v>No Record</v>
      </c>
      <c r="T41" s="13" t="str">
        <f>IF(COUNT($AH41:$AU41)=0,"",LOOKUP(2,1/($AH41:$AU41&lt;&gt;""),{"①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1" s="22" t="str">
        <f t="shared" ca="1" si="14"/>
        <v/>
      </c>
      <c r="V41" s="22">
        <f>IF($G41="","",COUNTIF('Chase Log'!$B$4:$B$2000,$G41))</f>
        <v>0</v>
      </c>
      <c r="W41" s="27" t="str">
        <f>IF(N($V41)=0,"",_xlfn.MAXIFS('Chase Log'!$E$4:$E$2000,'Chase Log'!$B$4:$B$2000,$G41))</f>
        <v/>
      </c>
      <c r="X41" s="22" t="str">
        <f t="shared" ca="1" si="15"/>
        <v/>
      </c>
      <c r="Y41" s="27" t="str">
        <f>IF($W41="","",IF(OR(AND($Q41&lt;&gt;"",N($Q41)&gt;N($W41)),COUNTIFS('Chase Log'!$B$4:$B$2000,$G41,'Chase Log'!$E$4:$E$2000,$W41,'Chase Log'!$I$4:$I$2000,"Y")&gt;0),"",IF(_xlfn.MAXIFS('Chase Log'!$J$4:$J$2000,'Chase Log'!$B$4:$B$2000,$G41,'Chase Log'!$E$4:$E$2000,$W41)=0,"",_xlfn.MAXIFS('Chase Log'!$J$4:$J$2000,'Chase Log'!$B$4:$B$2000,$G41,'Chase Log'!$E$4:$E$2000,$W41))))</f>
        <v/>
      </c>
      <c r="Z41" s="13" t="str">
        <f ca="1">IF(OR($G41="",N($P41)&gt;=1,$C41="Live",$D41&lt;&gt;""),"",IF(AND($Y41&lt;&gt;"",N($Y41)&gt;0),IF($Y41&lt;TODAY(),"Chase Overdue","Scheduled"),IF(AND($Q41&lt;&gt;"",N($R41)&gt;='안내 Guide'!$D$4,OR($X41="",N($X41)&gt;='안내 Guide'!$D$4)),"Chase Needed","")))</f>
        <v/>
      </c>
      <c r="AA41" s="28"/>
      <c r="AB41" s="25"/>
      <c r="AC41" s="25" t="s">
        <v>378</v>
      </c>
      <c r="AD41" s="29" t="s">
        <v>379</v>
      </c>
      <c r="AE41" s="25"/>
      <c r="AF41" s="13" t="s">
        <v>380</v>
      </c>
      <c r="AG41" s="16" t="s">
        <v>182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</row>
    <row r="42" spans="1:47" ht="25.5" customHeight="1">
      <c r="A42" s="22">
        <f t="shared" si="8"/>
        <v>38</v>
      </c>
      <c r="B42" s="22" t="str">
        <f t="shared" si="9"/>
        <v>Contact</v>
      </c>
      <c r="C42" s="23"/>
      <c r="D42" s="23"/>
      <c r="E42" s="13" t="s">
        <v>27</v>
      </c>
      <c r="F42" s="13" t="s">
        <v>184</v>
      </c>
      <c r="G42" s="24" t="s">
        <v>381</v>
      </c>
      <c r="H42" s="13" t="s">
        <v>204</v>
      </c>
      <c r="I42" s="13" t="s">
        <v>361</v>
      </c>
      <c r="J42" s="13"/>
      <c r="K42" s="22"/>
      <c r="L42" s="13" t="s">
        <v>178</v>
      </c>
      <c r="M42" s="13" t="s">
        <v>42</v>
      </c>
      <c r="N42" s="13"/>
      <c r="O42" s="22" t="s">
        <v>208</v>
      </c>
      <c r="P42" s="26">
        <f t="shared" si="10"/>
        <v>0</v>
      </c>
      <c r="Q42" s="27" t="str">
        <f t="shared" si="11"/>
        <v/>
      </c>
      <c r="R42" s="22" t="str">
        <f t="shared" ca="1" si="12"/>
        <v/>
      </c>
      <c r="S42" s="13" t="str">
        <f t="shared" si="13"/>
        <v>No Record</v>
      </c>
      <c r="T42" s="13" t="str">
        <f>IF(COUNT($AH42:$AU42)=0,"",LOOKUP(2,1/($AH42:$AU42&lt;&gt;""),{"①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2" s="22" t="str">
        <f t="shared" ca="1" si="14"/>
        <v/>
      </c>
      <c r="V42" s="22">
        <f>IF($G42="","",COUNTIF('Chase Log'!$B$4:$B$2000,$G42))</f>
        <v>3</v>
      </c>
      <c r="W42" s="27">
        <f>IF(N($V42)=0,"",_xlfn.MAXIFS('Chase Log'!$E$4:$E$2000,'Chase Log'!$B$4:$B$2000,$G42))</f>
        <v>46320</v>
      </c>
      <c r="X42" s="22">
        <f t="shared" ca="1" si="15"/>
        <v>5</v>
      </c>
      <c r="Y42" s="27">
        <f>IF($W42="","",IF(OR(AND($Q42&lt;&gt;"",N($Q42)&gt;N($W42)),COUNTIFS('Chase Log'!$B$4:$B$2000,$G42,'Chase Log'!$E$4:$E$2000,$W42,'Chase Log'!$I$4:$I$2000,"Y")&gt;0),"",IF(_xlfn.MAXIFS('Chase Log'!$J$4:$J$2000,'Chase Log'!$B$4:$B$2000,$G42,'Chase Log'!$E$4:$E$2000,$W42)=0,"",_xlfn.MAXIFS('Chase Log'!$J$4:$J$2000,'Chase Log'!$B$4:$B$2000,$G42,'Chase Log'!$E$4:$E$2000,$W42))))</f>
        <v>46327</v>
      </c>
      <c r="Z42" s="13" t="str">
        <f ca="1">IF(OR($G42="",N($P42)&gt;=1,$C42="Live",$D42&lt;&gt;""),"",IF(AND($Y42&lt;&gt;"",N($Y42)&gt;0),IF($Y42&lt;TODAY(),"Chase Overdue","Scheduled"),IF(AND($Q42&lt;&gt;"",N($R42)&gt;='안내 Guide'!$D$4,OR($X42="",N($X42)&gt;='안내 Guide'!$D$4)),"Chase Needed","")))</f>
        <v>Scheduled</v>
      </c>
      <c r="AA42" s="28"/>
      <c r="AB42" s="25"/>
      <c r="AC42" s="25" t="s">
        <v>382</v>
      </c>
      <c r="AD42" s="29" t="s">
        <v>383</v>
      </c>
      <c r="AE42" s="25"/>
      <c r="AF42" s="13" t="s">
        <v>234</v>
      </c>
      <c r="AG42" s="16" t="s">
        <v>182</v>
      </c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</row>
    <row r="43" spans="1:47" ht="25.5" customHeight="1">
      <c r="A43" s="22">
        <f t="shared" si="8"/>
        <v>39</v>
      </c>
      <c r="B43" s="22" t="str">
        <f t="shared" si="9"/>
        <v>Contact</v>
      </c>
      <c r="C43" s="23"/>
      <c r="D43" s="23"/>
      <c r="E43" s="13" t="s">
        <v>27</v>
      </c>
      <c r="F43" s="13" t="s">
        <v>184</v>
      </c>
      <c r="G43" s="24" t="s">
        <v>384</v>
      </c>
      <c r="H43" s="13" t="s">
        <v>204</v>
      </c>
      <c r="I43" s="13" t="s">
        <v>361</v>
      </c>
      <c r="J43" s="13"/>
      <c r="K43" s="22"/>
      <c r="L43" s="13" t="s">
        <v>178</v>
      </c>
      <c r="M43" s="13" t="s">
        <v>42</v>
      </c>
      <c r="N43" s="13"/>
      <c r="O43" s="22" t="s">
        <v>208</v>
      </c>
      <c r="P43" s="26">
        <f t="shared" si="10"/>
        <v>0</v>
      </c>
      <c r="Q43" s="27" t="str">
        <f t="shared" si="11"/>
        <v/>
      </c>
      <c r="R43" s="22" t="str">
        <f t="shared" ca="1" si="12"/>
        <v/>
      </c>
      <c r="S43" s="13" t="str">
        <f t="shared" si="13"/>
        <v>No Record</v>
      </c>
      <c r="T43" s="13" t="str">
        <f>IF(COUNT($AH43:$AU43)=0,"",LOOKUP(2,1/($AH43:$AU43&lt;&gt;""),{"①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3" s="22" t="str">
        <f t="shared" ca="1" si="14"/>
        <v/>
      </c>
      <c r="V43" s="22">
        <f>IF($G43="","",COUNTIF('Chase Log'!$B$4:$B$2000,$G43))</f>
        <v>0</v>
      </c>
      <c r="W43" s="27" t="str">
        <f>IF(N($V43)=0,"",_xlfn.MAXIFS('Chase Log'!$E$4:$E$2000,'Chase Log'!$B$4:$B$2000,$G43))</f>
        <v/>
      </c>
      <c r="X43" s="22" t="str">
        <f t="shared" ca="1" si="15"/>
        <v/>
      </c>
      <c r="Y43" s="27" t="str">
        <f>IF($W43="","",IF(OR(AND($Q43&lt;&gt;"",N($Q43)&gt;N($W43)),COUNTIFS('Chase Log'!$B$4:$B$2000,$G43,'Chase Log'!$E$4:$E$2000,$W43,'Chase Log'!$I$4:$I$2000,"Y")&gt;0),"",IF(_xlfn.MAXIFS('Chase Log'!$J$4:$J$2000,'Chase Log'!$B$4:$B$2000,$G43,'Chase Log'!$E$4:$E$2000,$W43)=0,"",_xlfn.MAXIFS('Chase Log'!$J$4:$J$2000,'Chase Log'!$B$4:$B$2000,$G43,'Chase Log'!$E$4:$E$2000,$W43))))</f>
        <v/>
      </c>
      <c r="Z43" s="13" t="str">
        <f ca="1">IF(OR($G43="",N($P43)&gt;=1,$C43="Live",$D43&lt;&gt;""),"",IF(AND($Y43&lt;&gt;"",N($Y43)&gt;0),IF($Y43&lt;TODAY(),"Chase Overdue","Scheduled"),IF(AND($Q43&lt;&gt;"",N($R43)&gt;='안내 Guide'!$D$4,OR($X43="",N($X43)&gt;='안내 Guide'!$D$4)),"Chase Needed","")))</f>
        <v/>
      </c>
      <c r="AA43" s="28"/>
      <c r="AB43" s="25"/>
      <c r="AC43" s="25" t="s">
        <v>385</v>
      </c>
      <c r="AD43" s="29" t="s">
        <v>386</v>
      </c>
      <c r="AE43" s="25"/>
      <c r="AF43" s="13" t="s">
        <v>255</v>
      </c>
      <c r="AG43" s="16" t="s">
        <v>182</v>
      </c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</row>
    <row r="44" spans="1:47" ht="25.5" customHeight="1">
      <c r="A44" s="22">
        <f t="shared" si="8"/>
        <v>40</v>
      </c>
      <c r="B44" s="22" t="str">
        <f t="shared" si="9"/>
        <v>Contact</v>
      </c>
      <c r="C44" s="23"/>
      <c r="D44" s="23"/>
      <c r="E44" s="13" t="s">
        <v>28</v>
      </c>
      <c r="F44" s="13" t="s">
        <v>225</v>
      </c>
      <c r="G44" s="24" t="s">
        <v>387</v>
      </c>
      <c r="H44" s="13" t="s">
        <v>204</v>
      </c>
      <c r="I44" s="13" t="s">
        <v>361</v>
      </c>
      <c r="J44" s="13"/>
      <c r="K44" s="22"/>
      <c r="L44" s="13" t="s">
        <v>323</v>
      </c>
      <c r="M44" s="13" t="s">
        <v>43</v>
      </c>
      <c r="N44" s="13"/>
      <c r="O44" s="22" t="s">
        <v>208</v>
      </c>
      <c r="P44" s="26">
        <f t="shared" si="10"/>
        <v>0</v>
      </c>
      <c r="Q44" s="27" t="str">
        <f t="shared" si="11"/>
        <v/>
      </c>
      <c r="R44" s="22" t="str">
        <f t="shared" ca="1" si="12"/>
        <v/>
      </c>
      <c r="S44" s="13" t="str">
        <f t="shared" si="13"/>
        <v>No Record</v>
      </c>
      <c r="T44" s="13" t="str">
        <f>IF(COUNT($AH44:$AU44)=0,"",LOOKUP(2,1/($AH44:$AU44&lt;&gt;""),{"①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4" s="22" t="str">
        <f t="shared" ca="1" si="14"/>
        <v/>
      </c>
      <c r="V44" s="22">
        <f>IF($G44="","",COUNTIF('Chase Log'!$B$4:$B$2000,$G44))</f>
        <v>0</v>
      </c>
      <c r="W44" s="27" t="str">
        <f>IF(N($V44)=0,"",_xlfn.MAXIFS('Chase Log'!$E$4:$E$2000,'Chase Log'!$B$4:$B$2000,$G44))</f>
        <v/>
      </c>
      <c r="X44" s="22" t="str">
        <f t="shared" ca="1" si="15"/>
        <v/>
      </c>
      <c r="Y44" s="27" t="str">
        <f>IF($W44="","",IF(OR(AND($Q44&lt;&gt;"",N($Q44)&gt;N($W44)),COUNTIFS('Chase Log'!$B$4:$B$2000,$G44,'Chase Log'!$E$4:$E$2000,$W44,'Chase Log'!$I$4:$I$2000,"Y")&gt;0),"",IF(_xlfn.MAXIFS('Chase Log'!$J$4:$J$2000,'Chase Log'!$B$4:$B$2000,$G44,'Chase Log'!$E$4:$E$2000,$W44)=0,"",_xlfn.MAXIFS('Chase Log'!$J$4:$J$2000,'Chase Log'!$B$4:$B$2000,$G44,'Chase Log'!$E$4:$E$2000,$W44))))</f>
        <v/>
      </c>
      <c r="Z44" s="13" t="str">
        <f ca="1">IF(OR($G44="",N($P44)&gt;=1,$C44="Live",$D44&lt;&gt;""),"",IF(AND($Y44&lt;&gt;"",N($Y44)&gt;0),IF($Y44&lt;TODAY(),"Chase Overdue","Scheduled"),IF(AND($Q44&lt;&gt;"",N($R44)&gt;='안내 Guide'!$D$4,OR($X44="",N($X44)&gt;='안내 Guide'!$D$4)),"Chase Needed","")))</f>
        <v/>
      </c>
      <c r="AA44" s="28"/>
      <c r="AB44" s="25"/>
      <c r="AC44" s="25" t="s">
        <v>388</v>
      </c>
      <c r="AD44" s="29" t="s">
        <v>389</v>
      </c>
      <c r="AE44" s="25"/>
      <c r="AF44" s="13" t="s">
        <v>390</v>
      </c>
      <c r="AG44" s="16" t="s">
        <v>182</v>
      </c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</row>
    <row r="45" spans="1:47" ht="25.5" customHeight="1">
      <c r="A45" s="22">
        <f t="shared" si="8"/>
        <v>41</v>
      </c>
      <c r="B45" s="22" t="str">
        <f t="shared" si="9"/>
        <v>Contact</v>
      </c>
      <c r="C45" s="23"/>
      <c r="D45" s="23"/>
      <c r="E45" s="13" t="s">
        <v>28</v>
      </c>
      <c r="F45" s="13" t="s">
        <v>225</v>
      </c>
      <c r="G45" s="24" t="s">
        <v>391</v>
      </c>
      <c r="H45" s="13" t="s">
        <v>204</v>
      </c>
      <c r="I45" s="13" t="s">
        <v>361</v>
      </c>
      <c r="J45" s="13"/>
      <c r="K45" s="22"/>
      <c r="L45" s="13" t="s">
        <v>323</v>
      </c>
      <c r="M45" s="13" t="s">
        <v>43</v>
      </c>
      <c r="N45" s="13"/>
      <c r="O45" s="22" t="s">
        <v>208</v>
      </c>
      <c r="P45" s="26">
        <f t="shared" si="10"/>
        <v>0</v>
      </c>
      <c r="Q45" s="27" t="str">
        <f t="shared" si="11"/>
        <v/>
      </c>
      <c r="R45" s="22" t="str">
        <f t="shared" ca="1" si="12"/>
        <v/>
      </c>
      <c r="S45" s="13" t="str">
        <f t="shared" si="13"/>
        <v>No Record</v>
      </c>
      <c r="T45" s="13" t="str">
        <f>IF(COUNT($AH45:$AU45)=0,"",LOOKUP(2,1/($AH45:$AU45&lt;&gt;""),{"①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5" s="22" t="str">
        <f t="shared" ca="1" si="14"/>
        <v/>
      </c>
      <c r="V45" s="22">
        <f>IF($G45="","",COUNTIF('Chase Log'!$B$4:$B$2000,$G45))</f>
        <v>0</v>
      </c>
      <c r="W45" s="27" t="str">
        <f>IF(N($V45)=0,"",_xlfn.MAXIFS('Chase Log'!$E$4:$E$2000,'Chase Log'!$B$4:$B$2000,$G45))</f>
        <v/>
      </c>
      <c r="X45" s="22" t="str">
        <f t="shared" ca="1" si="15"/>
        <v/>
      </c>
      <c r="Y45" s="27" t="str">
        <f>IF($W45="","",IF(OR(AND($Q45&lt;&gt;"",N($Q45)&gt;N($W45)),COUNTIFS('Chase Log'!$B$4:$B$2000,$G45,'Chase Log'!$E$4:$E$2000,$W45,'Chase Log'!$I$4:$I$2000,"Y")&gt;0),"",IF(_xlfn.MAXIFS('Chase Log'!$J$4:$J$2000,'Chase Log'!$B$4:$B$2000,$G45,'Chase Log'!$E$4:$E$2000,$W45)=0,"",_xlfn.MAXIFS('Chase Log'!$J$4:$J$2000,'Chase Log'!$B$4:$B$2000,$G45,'Chase Log'!$E$4:$E$2000,$W45))))</f>
        <v/>
      </c>
      <c r="Z45" s="13" t="str">
        <f ca="1">IF(OR($G45="",N($P45)&gt;=1,$C45="Live",$D45&lt;&gt;""),"",IF(AND($Y45&lt;&gt;"",N($Y45)&gt;0),IF($Y45&lt;TODAY(),"Chase Overdue","Scheduled"),IF(AND($Q45&lt;&gt;"",N($R45)&gt;='안내 Guide'!$D$4,OR($X45="",N($X45)&gt;='안내 Guide'!$D$4)),"Chase Needed","")))</f>
        <v/>
      </c>
      <c r="AA45" s="28"/>
      <c r="AB45" s="25"/>
      <c r="AC45" s="25" t="s">
        <v>392</v>
      </c>
      <c r="AD45" s="29" t="s">
        <v>393</v>
      </c>
      <c r="AE45" s="25"/>
      <c r="AF45" s="13" t="s">
        <v>394</v>
      </c>
      <c r="AG45" s="16" t="s">
        <v>182</v>
      </c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</row>
    <row r="46" spans="1:47" ht="25.5" customHeight="1">
      <c r="A46" s="22">
        <f t="shared" si="8"/>
        <v>42</v>
      </c>
      <c r="B46" s="22" t="str">
        <f t="shared" si="9"/>
        <v>Contact</v>
      </c>
      <c r="C46" s="23"/>
      <c r="D46" s="23"/>
      <c r="E46" s="13" t="s">
        <v>29</v>
      </c>
      <c r="F46" s="13" t="s">
        <v>153</v>
      </c>
      <c r="G46" s="24" t="s">
        <v>395</v>
      </c>
      <c r="H46" s="13" t="s">
        <v>204</v>
      </c>
      <c r="I46" s="13" t="s">
        <v>361</v>
      </c>
      <c r="J46" s="13"/>
      <c r="K46" s="22"/>
      <c r="L46" s="13" t="s">
        <v>178</v>
      </c>
      <c r="M46" s="13" t="s">
        <v>39</v>
      </c>
      <c r="N46" s="13"/>
      <c r="O46" s="22" t="s">
        <v>208</v>
      </c>
      <c r="P46" s="26">
        <f t="shared" si="10"/>
        <v>0</v>
      </c>
      <c r="Q46" s="27" t="str">
        <f t="shared" si="11"/>
        <v/>
      </c>
      <c r="R46" s="22" t="str">
        <f t="shared" ca="1" si="12"/>
        <v/>
      </c>
      <c r="S46" s="13" t="str">
        <f t="shared" si="13"/>
        <v>No Record</v>
      </c>
      <c r="T46" s="13" t="str">
        <f>IF(COUNT($AH46:$AU46)=0,"",LOOKUP(2,1/($AH46:$AU46&lt;&gt;""),{"①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6" s="22" t="str">
        <f t="shared" ca="1" si="14"/>
        <v/>
      </c>
      <c r="V46" s="22">
        <f>IF($G46="","",COUNTIF('Chase Log'!$B$4:$B$2000,$G46))</f>
        <v>0</v>
      </c>
      <c r="W46" s="27" t="str">
        <f>IF(N($V46)=0,"",_xlfn.MAXIFS('Chase Log'!$E$4:$E$2000,'Chase Log'!$B$4:$B$2000,$G46))</f>
        <v/>
      </c>
      <c r="X46" s="22" t="str">
        <f t="shared" ca="1" si="15"/>
        <v/>
      </c>
      <c r="Y46" s="27" t="str">
        <f>IF($W46="","",IF(OR(AND($Q46&lt;&gt;"",N($Q46)&gt;N($W46)),COUNTIFS('Chase Log'!$B$4:$B$2000,$G46,'Chase Log'!$E$4:$E$2000,$W46,'Chase Log'!$I$4:$I$2000,"Y")&gt;0),"",IF(_xlfn.MAXIFS('Chase Log'!$J$4:$J$2000,'Chase Log'!$B$4:$B$2000,$G46,'Chase Log'!$E$4:$E$2000,$W46)=0,"",_xlfn.MAXIFS('Chase Log'!$J$4:$J$2000,'Chase Log'!$B$4:$B$2000,$G46,'Chase Log'!$E$4:$E$2000,$W46))))</f>
        <v/>
      </c>
      <c r="Z46" s="13" t="str">
        <f ca="1">IF(OR($G46="",N($P46)&gt;=1,$C46="Live",$D46&lt;&gt;""),"",IF(AND($Y46&lt;&gt;"",N($Y46)&gt;0),IF($Y46&lt;TODAY(),"Chase Overdue","Scheduled"),IF(AND($Q46&lt;&gt;"",N($R46)&gt;='안내 Guide'!$D$4,OR($X46="",N($X46)&gt;='안내 Guide'!$D$4)),"Chase Needed","")))</f>
        <v/>
      </c>
      <c r="AA46" s="28"/>
      <c r="AB46" s="25"/>
      <c r="AC46" s="25" t="s">
        <v>396</v>
      </c>
      <c r="AD46" s="29" t="s">
        <v>397</v>
      </c>
      <c r="AE46" s="25"/>
      <c r="AF46" s="13" t="s">
        <v>199</v>
      </c>
      <c r="AG46" s="16" t="s">
        <v>182</v>
      </c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</row>
    <row r="47" spans="1:47" ht="25.5" customHeight="1">
      <c r="A47" s="22">
        <f t="shared" si="8"/>
        <v>43</v>
      </c>
      <c r="B47" s="22" t="str">
        <f t="shared" si="9"/>
        <v>Contact</v>
      </c>
      <c r="C47" s="23"/>
      <c r="D47" s="23"/>
      <c r="E47" s="13" t="s">
        <v>29</v>
      </c>
      <c r="F47" s="13" t="s">
        <v>153</v>
      </c>
      <c r="G47" s="24" t="s">
        <v>398</v>
      </c>
      <c r="H47" s="13" t="s">
        <v>204</v>
      </c>
      <c r="I47" s="13" t="s">
        <v>361</v>
      </c>
      <c r="J47" s="13"/>
      <c r="K47" s="22"/>
      <c r="L47" s="13" t="s">
        <v>178</v>
      </c>
      <c r="M47" s="13" t="s">
        <v>39</v>
      </c>
      <c r="N47" s="13"/>
      <c r="O47" s="22" t="s">
        <v>208</v>
      </c>
      <c r="P47" s="26">
        <f t="shared" si="10"/>
        <v>0</v>
      </c>
      <c r="Q47" s="27" t="str">
        <f t="shared" si="11"/>
        <v/>
      </c>
      <c r="R47" s="22" t="str">
        <f t="shared" ca="1" si="12"/>
        <v/>
      </c>
      <c r="S47" s="13" t="str">
        <f t="shared" si="13"/>
        <v>No Record</v>
      </c>
      <c r="T47" s="13" t="str">
        <f>IF(COUNT($AH47:$AU47)=0,"",LOOKUP(2,1/($AH47:$AU47&lt;&gt;""),{"①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7" s="22" t="str">
        <f t="shared" ca="1" si="14"/>
        <v/>
      </c>
      <c r="V47" s="22">
        <f>IF($G47="","",COUNTIF('Chase Log'!$B$4:$B$2000,$G47))</f>
        <v>0</v>
      </c>
      <c r="W47" s="27" t="str">
        <f>IF(N($V47)=0,"",_xlfn.MAXIFS('Chase Log'!$E$4:$E$2000,'Chase Log'!$B$4:$B$2000,$G47))</f>
        <v/>
      </c>
      <c r="X47" s="22" t="str">
        <f t="shared" ca="1" si="15"/>
        <v/>
      </c>
      <c r="Y47" s="27" t="str">
        <f>IF($W47="","",IF(OR(AND($Q47&lt;&gt;"",N($Q47)&gt;N($W47)),COUNTIFS('Chase Log'!$B$4:$B$2000,$G47,'Chase Log'!$E$4:$E$2000,$W47,'Chase Log'!$I$4:$I$2000,"Y")&gt;0),"",IF(_xlfn.MAXIFS('Chase Log'!$J$4:$J$2000,'Chase Log'!$B$4:$B$2000,$G47,'Chase Log'!$E$4:$E$2000,$W47)=0,"",_xlfn.MAXIFS('Chase Log'!$J$4:$J$2000,'Chase Log'!$B$4:$B$2000,$G47,'Chase Log'!$E$4:$E$2000,$W47))))</f>
        <v/>
      </c>
      <c r="Z47" s="13" t="str">
        <f ca="1">IF(OR($G47="",N($P47)&gt;=1,$C47="Live",$D47&lt;&gt;""),"",IF(AND($Y47&lt;&gt;"",N($Y47)&gt;0),IF($Y47&lt;TODAY(),"Chase Overdue","Scheduled"),IF(AND($Q47&lt;&gt;"",N($R47)&gt;='안내 Guide'!$D$4,OR($X47="",N($X47)&gt;='안내 Guide'!$D$4)),"Chase Needed","")))</f>
        <v/>
      </c>
      <c r="AA47" s="28"/>
      <c r="AB47" s="25"/>
      <c r="AC47" s="25" t="s">
        <v>399</v>
      </c>
      <c r="AD47" s="29" t="s">
        <v>400</v>
      </c>
      <c r="AE47" s="25"/>
      <c r="AF47" s="13" t="s">
        <v>401</v>
      </c>
      <c r="AG47" s="16" t="s">
        <v>182</v>
      </c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</row>
    <row r="48" spans="1:47" ht="25.5" customHeight="1">
      <c r="A48" s="22">
        <f t="shared" si="8"/>
        <v>44</v>
      </c>
      <c r="B48" s="22" t="str">
        <f t="shared" si="9"/>
        <v>Contact</v>
      </c>
      <c r="C48" s="23"/>
      <c r="D48" s="23"/>
      <c r="E48" s="13" t="s">
        <v>30</v>
      </c>
      <c r="F48" s="13" t="s">
        <v>298</v>
      </c>
      <c r="G48" s="24" t="s">
        <v>402</v>
      </c>
      <c r="H48" s="13" t="s">
        <v>204</v>
      </c>
      <c r="I48" s="13" t="s">
        <v>361</v>
      </c>
      <c r="J48" s="13"/>
      <c r="K48" s="22"/>
      <c r="L48" s="13" t="s">
        <v>323</v>
      </c>
      <c r="M48" s="13" t="s">
        <v>40</v>
      </c>
      <c r="N48" s="13"/>
      <c r="O48" s="22" t="s">
        <v>208</v>
      </c>
      <c r="P48" s="26">
        <f t="shared" si="10"/>
        <v>0</v>
      </c>
      <c r="Q48" s="27" t="str">
        <f t="shared" si="11"/>
        <v/>
      </c>
      <c r="R48" s="22" t="str">
        <f t="shared" ca="1" si="12"/>
        <v/>
      </c>
      <c r="S48" s="13" t="str">
        <f t="shared" si="13"/>
        <v>No Record</v>
      </c>
      <c r="T48" s="13" t="str">
        <f>IF(COUNT($AH48:$AU48)=0,"",LOOKUP(2,1/($AH48:$AU48&lt;&gt;""),{"①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8" s="22" t="str">
        <f t="shared" ca="1" si="14"/>
        <v/>
      </c>
      <c r="V48" s="22">
        <f>IF($G48="","",COUNTIF('Chase Log'!$B$4:$B$2000,$G48))</f>
        <v>1</v>
      </c>
      <c r="W48" s="27">
        <f>IF(N($V48)=0,"",_xlfn.MAXIFS('Chase Log'!$E$4:$E$2000,'Chase Log'!$B$4:$B$2000,$G48))</f>
        <v>46300</v>
      </c>
      <c r="X48" s="22">
        <f t="shared" ca="1" si="15"/>
        <v>25</v>
      </c>
      <c r="Y48" s="27">
        <f>IF($W48="","",IF(OR(AND($Q48&lt;&gt;"",N($Q48)&gt;N($W48)),COUNTIFS('Chase Log'!$B$4:$B$2000,$G48,'Chase Log'!$E$4:$E$2000,$W48,'Chase Log'!$I$4:$I$2000,"Y")&gt;0),"",IF(_xlfn.MAXIFS('Chase Log'!$J$4:$J$2000,'Chase Log'!$B$4:$B$2000,$G48,'Chase Log'!$E$4:$E$2000,$W48)=0,"",_xlfn.MAXIFS('Chase Log'!$J$4:$J$2000,'Chase Log'!$B$4:$B$2000,$G48,'Chase Log'!$E$4:$E$2000,$W48))))</f>
        <v>46307</v>
      </c>
      <c r="Z48" s="13" t="str">
        <f ca="1">IF(OR($G48="",N($P48)&gt;=1,$C48="Live",$D48&lt;&gt;""),"",IF(AND($Y48&lt;&gt;"",N($Y48)&gt;0),IF($Y48&lt;TODAY(),"Chase Overdue","Scheduled"),IF(AND($Q48&lt;&gt;"",N($R48)&gt;='안내 Guide'!$D$4,OR($X48="",N($X48)&gt;='안내 Guide'!$D$4)),"Chase Needed","")))</f>
        <v>Chase Overdue</v>
      </c>
      <c r="AA48" s="28"/>
      <c r="AB48" s="25"/>
      <c r="AC48" s="25" t="s">
        <v>403</v>
      </c>
      <c r="AD48" s="29" t="s">
        <v>404</v>
      </c>
      <c r="AE48" s="25"/>
      <c r="AF48" s="13" t="s">
        <v>181</v>
      </c>
      <c r="AG48" s="16" t="s">
        <v>182</v>
      </c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</row>
    <row r="49" spans="1:47" ht="25.5" customHeight="1">
      <c r="A49" s="22">
        <f t="shared" si="8"/>
        <v>45</v>
      </c>
      <c r="B49" s="22" t="str">
        <f t="shared" si="9"/>
        <v>Contact</v>
      </c>
      <c r="C49" s="23"/>
      <c r="D49" s="23"/>
      <c r="E49" s="13" t="s">
        <v>30</v>
      </c>
      <c r="F49" s="13" t="s">
        <v>298</v>
      </c>
      <c r="G49" s="24" t="s">
        <v>405</v>
      </c>
      <c r="H49" s="13" t="s">
        <v>204</v>
      </c>
      <c r="I49" s="13" t="s">
        <v>361</v>
      </c>
      <c r="J49" s="13"/>
      <c r="K49" s="22"/>
      <c r="L49" s="13" t="s">
        <v>178</v>
      </c>
      <c r="M49" s="13" t="s">
        <v>40</v>
      </c>
      <c r="N49" s="13"/>
      <c r="O49" s="22" t="s">
        <v>208</v>
      </c>
      <c r="P49" s="26">
        <f t="shared" si="10"/>
        <v>0</v>
      </c>
      <c r="Q49" s="27" t="str">
        <f t="shared" si="11"/>
        <v/>
      </c>
      <c r="R49" s="22" t="str">
        <f t="shared" ca="1" si="12"/>
        <v/>
      </c>
      <c r="S49" s="13" t="str">
        <f t="shared" si="13"/>
        <v>No Record</v>
      </c>
      <c r="T49" s="13" t="str">
        <f>IF(COUNT($AH49:$AU49)=0,"",LOOKUP(2,1/($AH49:$AU49&lt;&gt;""),{"①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49" s="22" t="str">
        <f t="shared" ca="1" si="14"/>
        <v/>
      </c>
      <c r="V49" s="22">
        <f>IF($G49="","",COUNTIF('Chase Log'!$B$4:$B$2000,$G49))</f>
        <v>2</v>
      </c>
      <c r="W49" s="27">
        <f>IF(N($V49)=0,"",_xlfn.MAXIFS('Chase Log'!$E$4:$E$2000,'Chase Log'!$B$4:$B$2000,$G49))</f>
        <v>46313</v>
      </c>
      <c r="X49" s="22">
        <f t="shared" ca="1" si="15"/>
        <v>12</v>
      </c>
      <c r="Y49" s="27">
        <f>IF($W49="","",IF(OR(AND($Q49&lt;&gt;"",N($Q49)&gt;N($W49)),COUNTIFS('Chase Log'!$B$4:$B$2000,$G49,'Chase Log'!$E$4:$E$2000,$W49,'Chase Log'!$I$4:$I$2000,"Y")&gt;0),"",IF(_xlfn.MAXIFS('Chase Log'!$J$4:$J$2000,'Chase Log'!$B$4:$B$2000,$G49,'Chase Log'!$E$4:$E$2000,$W49)=0,"",_xlfn.MAXIFS('Chase Log'!$J$4:$J$2000,'Chase Log'!$B$4:$B$2000,$G49,'Chase Log'!$E$4:$E$2000,$W49))))</f>
        <v>46320</v>
      </c>
      <c r="Z49" s="13" t="str">
        <f ca="1">IF(OR($G49="",N($P49)&gt;=1,$C49="Live",$D49&lt;&gt;""),"",IF(AND($Y49&lt;&gt;"",N($Y49)&gt;0),IF($Y49&lt;TODAY(),"Chase Overdue","Scheduled"),IF(AND($Q49&lt;&gt;"",N($R49)&gt;='안내 Guide'!$D$4,OR($X49="",N($X49)&gt;='안내 Guide'!$D$4)),"Chase Needed","")))</f>
        <v>Chase Overdue</v>
      </c>
      <c r="AA49" s="28"/>
      <c r="AB49" s="25"/>
      <c r="AC49" s="25" t="s">
        <v>406</v>
      </c>
      <c r="AD49" s="29" t="s">
        <v>407</v>
      </c>
      <c r="AE49" s="25"/>
      <c r="AF49" s="13" t="s">
        <v>224</v>
      </c>
      <c r="AG49" s="16" t="s">
        <v>182</v>
      </c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</row>
    <row r="50" spans="1:47" ht="25.5" customHeight="1">
      <c r="A50" s="22">
        <f t="shared" si="8"/>
        <v>46</v>
      </c>
      <c r="B50" s="22" t="str">
        <f t="shared" si="9"/>
        <v>Contact</v>
      </c>
      <c r="C50" s="23"/>
      <c r="D50" s="23"/>
      <c r="E50" s="13" t="s">
        <v>30</v>
      </c>
      <c r="F50" s="13" t="s">
        <v>408</v>
      </c>
      <c r="G50" s="24" t="s">
        <v>409</v>
      </c>
      <c r="H50" s="13" t="s">
        <v>204</v>
      </c>
      <c r="I50" s="13" t="s">
        <v>361</v>
      </c>
      <c r="J50" s="13"/>
      <c r="K50" s="22"/>
      <c r="L50" s="13" t="s">
        <v>323</v>
      </c>
      <c r="M50" s="13" t="s">
        <v>40</v>
      </c>
      <c r="N50" s="13"/>
      <c r="O50" s="22" t="s">
        <v>208</v>
      </c>
      <c r="P50" s="26">
        <f t="shared" si="10"/>
        <v>0</v>
      </c>
      <c r="Q50" s="27" t="str">
        <f t="shared" si="11"/>
        <v/>
      </c>
      <c r="R50" s="22" t="str">
        <f t="shared" ca="1" si="12"/>
        <v/>
      </c>
      <c r="S50" s="13" t="str">
        <f t="shared" si="13"/>
        <v>No Record</v>
      </c>
      <c r="T50" s="13" t="str">
        <f>IF(COUNT($AH50:$AU50)=0,"",LOOKUP(2,1/($AH50:$AU50&lt;&gt;""),{"①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0" s="22" t="str">
        <f t="shared" ca="1" si="14"/>
        <v/>
      </c>
      <c r="V50" s="22">
        <f>IF($G50="","",COUNTIF('Chase Log'!$B$4:$B$2000,$G50))</f>
        <v>0</v>
      </c>
      <c r="W50" s="27" t="str">
        <f>IF(N($V50)=0,"",_xlfn.MAXIFS('Chase Log'!$E$4:$E$2000,'Chase Log'!$B$4:$B$2000,$G50))</f>
        <v/>
      </c>
      <c r="X50" s="22" t="str">
        <f t="shared" ca="1" si="15"/>
        <v/>
      </c>
      <c r="Y50" s="27" t="str">
        <f>IF($W50="","",IF(OR(AND($Q50&lt;&gt;"",N($Q50)&gt;N($W50)),COUNTIFS('Chase Log'!$B$4:$B$2000,$G50,'Chase Log'!$E$4:$E$2000,$W50,'Chase Log'!$I$4:$I$2000,"Y")&gt;0),"",IF(_xlfn.MAXIFS('Chase Log'!$J$4:$J$2000,'Chase Log'!$B$4:$B$2000,$G50,'Chase Log'!$E$4:$E$2000,$W50)=0,"",_xlfn.MAXIFS('Chase Log'!$J$4:$J$2000,'Chase Log'!$B$4:$B$2000,$G50,'Chase Log'!$E$4:$E$2000,$W50))))</f>
        <v/>
      </c>
      <c r="Z50" s="13" t="str">
        <f ca="1">IF(OR($G50="",N($P50)&gt;=1,$C50="Live",$D50&lt;&gt;""),"",IF(AND($Y50&lt;&gt;"",N($Y50)&gt;0),IF($Y50&lt;TODAY(),"Chase Overdue","Scheduled"),IF(AND($Q50&lt;&gt;"",N($R50)&gt;='안내 Guide'!$D$4,OR($X50="",N($X50)&gt;='안내 Guide'!$D$4)),"Chase Needed","")))</f>
        <v/>
      </c>
      <c r="AA50" s="28"/>
      <c r="AB50" s="25"/>
      <c r="AC50" s="25" t="s">
        <v>410</v>
      </c>
      <c r="AD50" s="29" t="s">
        <v>411</v>
      </c>
      <c r="AE50" s="25"/>
      <c r="AF50" s="13" t="s">
        <v>412</v>
      </c>
      <c r="AG50" s="16" t="s">
        <v>182</v>
      </c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</row>
    <row r="51" spans="1:47" ht="25.5" customHeight="1">
      <c r="A51" s="22">
        <f t="shared" si="8"/>
        <v>47</v>
      </c>
      <c r="B51" s="22" t="str">
        <f t="shared" si="9"/>
        <v>Contact</v>
      </c>
      <c r="C51" s="23"/>
      <c r="D51" s="23"/>
      <c r="E51" s="13" t="s">
        <v>30</v>
      </c>
      <c r="F51" s="13" t="s">
        <v>191</v>
      </c>
      <c r="G51" s="24" t="s">
        <v>413</v>
      </c>
      <c r="H51" s="13" t="s">
        <v>204</v>
      </c>
      <c r="I51" s="13" t="s">
        <v>361</v>
      </c>
      <c r="J51" s="13"/>
      <c r="K51" s="22"/>
      <c r="L51" s="13" t="s">
        <v>267</v>
      </c>
      <c r="M51" s="13" t="s">
        <v>40</v>
      </c>
      <c r="N51" s="13"/>
      <c r="O51" s="22" t="s">
        <v>208</v>
      </c>
      <c r="P51" s="26">
        <f t="shared" si="10"/>
        <v>0</v>
      </c>
      <c r="Q51" s="27" t="str">
        <f t="shared" si="11"/>
        <v/>
      </c>
      <c r="R51" s="22" t="str">
        <f t="shared" ca="1" si="12"/>
        <v/>
      </c>
      <c r="S51" s="13" t="str">
        <f t="shared" si="13"/>
        <v>No Record</v>
      </c>
      <c r="T51" s="13" t="str">
        <f>IF(COUNT($AH51:$AU51)=0,"",LOOKUP(2,1/($AH51:$AU51&lt;&gt;""),{"①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1" s="22" t="str">
        <f t="shared" ca="1" si="14"/>
        <v/>
      </c>
      <c r="V51" s="22">
        <f>IF($G51="","",COUNTIF('Chase Log'!$B$4:$B$2000,$G51))</f>
        <v>1</v>
      </c>
      <c r="W51" s="27">
        <f>IF(N($V51)=0,"",_xlfn.MAXIFS('Chase Log'!$E$4:$E$2000,'Chase Log'!$B$4:$B$2000,$G51))</f>
        <v>46300</v>
      </c>
      <c r="X51" s="22">
        <f t="shared" ca="1" si="15"/>
        <v>25</v>
      </c>
      <c r="Y51" s="27">
        <f>IF($W51="","",IF(OR(AND($Q51&lt;&gt;"",N($Q51)&gt;N($W51)),COUNTIFS('Chase Log'!$B$4:$B$2000,$G51,'Chase Log'!$E$4:$E$2000,$W51,'Chase Log'!$I$4:$I$2000,"Y")&gt;0),"",IF(_xlfn.MAXIFS('Chase Log'!$J$4:$J$2000,'Chase Log'!$B$4:$B$2000,$G51,'Chase Log'!$E$4:$E$2000,$W51)=0,"",_xlfn.MAXIFS('Chase Log'!$J$4:$J$2000,'Chase Log'!$B$4:$B$2000,$G51,'Chase Log'!$E$4:$E$2000,$W51))))</f>
        <v>46307</v>
      </c>
      <c r="Z51" s="13" t="str">
        <f ca="1">IF(OR($G51="",N($P51)&gt;=1,$C51="Live",$D51&lt;&gt;""),"",IF(AND($Y51&lt;&gt;"",N($Y51)&gt;0),IF($Y51&lt;TODAY(),"Chase Overdue","Scheduled"),IF(AND($Q51&lt;&gt;"",N($R51)&gt;='안내 Guide'!$D$4,OR($X51="",N($X51)&gt;='안내 Guide'!$D$4)),"Chase Needed","")))</f>
        <v>Chase Overdue</v>
      </c>
      <c r="AA51" s="28"/>
      <c r="AB51" s="25"/>
      <c r="AC51" s="25" t="s">
        <v>268</v>
      </c>
      <c r="AD51" s="29" t="s">
        <v>269</v>
      </c>
      <c r="AE51" s="25"/>
      <c r="AF51" s="13"/>
      <c r="AG51" s="16" t="s">
        <v>182</v>
      </c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</row>
    <row r="52" spans="1:47" ht="25.5" customHeight="1">
      <c r="A52" s="22">
        <f t="shared" si="8"/>
        <v>48</v>
      </c>
      <c r="B52" s="22" t="str">
        <f t="shared" si="9"/>
        <v>Contact</v>
      </c>
      <c r="C52" s="23"/>
      <c r="D52" s="23"/>
      <c r="E52" s="13" t="s">
        <v>30</v>
      </c>
      <c r="F52" s="13" t="s">
        <v>298</v>
      </c>
      <c r="G52" s="24" t="s">
        <v>414</v>
      </c>
      <c r="H52" s="13" t="s">
        <v>204</v>
      </c>
      <c r="I52" s="13" t="s">
        <v>361</v>
      </c>
      <c r="J52" s="13"/>
      <c r="K52" s="22"/>
      <c r="L52" s="13" t="s">
        <v>267</v>
      </c>
      <c r="M52" s="13" t="s">
        <v>40</v>
      </c>
      <c r="N52" s="13"/>
      <c r="O52" s="22" t="s">
        <v>208</v>
      </c>
      <c r="P52" s="26">
        <f t="shared" si="10"/>
        <v>0</v>
      </c>
      <c r="Q52" s="27" t="str">
        <f t="shared" si="11"/>
        <v/>
      </c>
      <c r="R52" s="22" t="str">
        <f t="shared" ca="1" si="12"/>
        <v/>
      </c>
      <c r="S52" s="13" t="str">
        <f t="shared" si="13"/>
        <v>No Record</v>
      </c>
      <c r="T52" s="13" t="str">
        <f>IF(COUNT($AH52:$AU52)=0,"",LOOKUP(2,1/($AH52:$AU52&lt;&gt;""),{"①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2" s="22" t="str">
        <f t="shared" ca="1" si="14"/>
        <v/>
      </c>
      <c r="V52" s="22">
        <f>IF($G52="","",COUNTIF('Chase Log'!$B$4:$B$2000,$G52))</f>
        <v>1</v>
      </c>
      <c r="W52" s="27">
        <f>IF(N($V52)=0,"",_xlfn.MAXIFS('Chase Log'!$E$4:$E$2000,'Chase Log'!$B$4:$B$2000,$G52))</f>
        <v>46300</v>
      </c>
      <c r="X52" s="22">
        <f t="shared" ca="1" si="15"/>
        <v>25</v>
      </c>
      <c r="Y52" s="27">
        <f>IF($W52="","",IF(OR(AND($Q52&lt;&gt;"",N($Q52)&gt;N($W52)),COUNTIFS('Chase Log'!$B$4:$B$2000,$G52,'Chase Log'!$E$4:$E$2000,$W52,'Chase Log'!$I$4:$I$2000,"Y")&gt;0),"",IF(_xlfn.MAXIFS('Chase Log'!$J$4:$J$2000,'Chase Log'!$B$4:$B$2000,$G52,'Chase Log'!$E$4:$E$2000,$W52)=0,"",_xlfn.MAXIFS('Chase Log'!$J$4:$J$2000,'Chase Log'!$B$4:$B$2000,$G52,'Chase Log'!$E$4:$E$2000,$W52))))</f>
        <v>46307</v>
      </c>
      <c r="Z52" s="13" t="str">
        <f ca="1">IF(OR($G52="",N($P52)&gt;=1,$C52="Live",$D52&lt;&gt;""),"",IF(AND($Y52&lt;&gt;"",N($Y52)&gt;0),IF($Y52&lt;TODAY(),"Chase Overdue","Scheduled"),IF(AND($Q52&lt;&gt;"",N($R52)&gt;='안내 Guide'!$D$4,OR($X52="",N($X52)&gt;='안내 Guide'!$D$4)),"Chase Needed","")))</f>
        <v>Chase Overdue</v>
      </c>
      <c r="AA52" s="28"/>
      <c r="AB52" s="25"/>
      <c r="AC52" s="25" t="s">
        <v>268</v>
      </c>
      <c r="AD52" s="29" t="s">
        <v>269</v>
      </c>
      <c r="AE52" s="25"/>
      <c r="AF52" s="13"/>
      <c r="AG52" s="16" t="s">
        <v>182</v>
      </c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</row>
    <row r="53" spans="1:47" ht="25.5" customHeight="1">
      <c r="A53" s="22">
        <f t="shared" si="8"/>
        <v>49</v>
      </c>
      <c r="B53" s="22" t="str">
        <f t="shared" si="9"/>
        <v>Contact</v>
      </c>
      <c r="C53" s="23"/>
      <c r="D53" s="23"/>
      <c r="E53" s="13" t="s">
        <v>30</v>
      </c>
      <c r="F53" s="13" t="s">
        <v>298</v>
      </c>
      <c r="G53" s="24" t="s">
        <v>415</v>
      </c>
      <c r="H53" s="13" t="s">
        <v>204</v>
      </c>
      <c r="I53" s="13" t="s">
        <v>361</v>
      </c>
      <c r="J53" s="13"/>
      <c r="K53" s="22"/>
      <c r="L53" s="13" t="s">
        <v>178</v>
      </c>
      <c r="M53" s="13" t="s">
        <v>40</v>
      </c>
      <c r="N53" s="13"/>
      <c r="O53" s="22" t="s">
        <v>208</v>
      </c>
      <c r="P53" s="26">
        <f t="shared" si="10"/>
        <v>0</v>
      </c>
      <c r="Q53" s="27" t="str">
        <f t="shared" si="11"/>
        <v/>
      </c>
      <c r="R53" s="22" t="str">
        <f t="shared" ca="1" si="12"/>
        <v/>
      </c>
      <c r="S53" s="13" t="str">
        <f t="shared" si="13"/>
        <v>No Record</v>
      </c>
      <c r="T53" s="13" t="str">
        <f>IF(COUNT($AH53:$AU53)=0,"",LOOKUP(2,1/($AH53:$AU53&lt;&gt;""),{"①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3" s="22" t="str">
        <f t="shared" ca="1" si="14"/>
        <v/>
      </c>
      <c r="V53" s="22">
        <f>IF($G53="","",COUNTIF('Chase Log'!$B$4:$B$2000,$G53))</f>
        <v>1</v>
      </c>
      <c r="W53" s="27">
        <f>IF(N($V53)=0,"",_xlfn.MAXIFS('Chase Log'!$E$4:$E$2000,'Chase Log'!$B$4:$B$2000,$G53))</f>
        <v>46297</v>
      </c>
      <c r="X53" s="22">
        <f t="shared" ca="1" si="15"/>
        <v>28</v>
      </c>
      <c r="Y53" s="27">
        <f>IF($W53="","",IF(OR(AND($Q53&lt;&gt;"",N($Q53)&gt;N($W53)),COUNTIFS('Chase Log'!$B$4:$B$2000,$G53,'Chase Log'!$E$4:$E$2000,$W53,'Chase Log'!$I$4:$I$2000,"Y")&gt;0),"",IF(_xlfn.MAXIFS('Chase Log'!$J$4:$J$2000,'Chase Log'!$B$4:$B$2000,$G53,'Chase Log'!$E$4:$E$2000,$W53)=0,"",_xlfn.MAXIFS('Chase Log'!$J$4:$J$2000,'Chase Log'!$B$4:$B$2000,$G53,'Chase Log'!$E$4:$E$2000,$W53))))</f>
        <v>46304</v>
      </c>
      <c r="Z53" s="13" t="str">
        <f ca="1">IF(OR($G53="",N($P53)&gt;=1,$C53="Live",$D53&lt;&gt;""),"",IF(AND($Y53&lt;&gt;"",N($Y53)&gt;0),IF($Y53&lt;TODAY(),"Chase Overdue","Scheduled"),IF(AND($Q53&lt;&gt;"",N($R53)&gt;='안내 Guide'!$D$4,OR($X53="",N($X53)&gt;='안내 Guide'!$D$4)),"Chase Needed","")))</f>
        <v>Chase Overdue</v>
      </c>
      <c r="AA53" s="28"/>
      <c r="AB53" s="25"/>
      <c r="AC53" s="25" t="s">
        <v>416</v>
      </c>
      <c r="AD53" s="29" t="s">
        <v>417</v>
      </c>
      <c r="AE53" s="25"/>
      <c r="AF53" s="13" t="s">
        <v>355</v>
      </c>
      <c r="AG53" s="16" t="s">
        <v>182</v>
      </c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</row>
    <row r="54" spans="1:47" ht="25.5" customHeight="1">
      <c r="A54" s="22">
        <f t="shared" si="8"/>
        <v>50</v>
      </c>
      <c r="B54" s="22" t="str">
        <f t="shared" si="9"/>
        <v>Contact</v>
      </c>
      <c r="C54" s="23"/>
      <c r="D54" s="23"/>
      <c r="E54" s="13" t="s">
        <v>30</v>
      </c>
      <c r="F54" s="13" t="s">
        <v>298</v>
      </c>
      <c r="G54" s="24" t="s">
        <v>418</v>
      </c>
      <c r="H54" s="13" t="s">
        <v>204</v>
      </c>
      <c r="I54" s="13" t="s">
        <v>361</v>
      </c>
      <c r="J54" s="13"/>
      <c r="K54" s="22"/>
      <c r="L54" s="13" t="s">
        <v>267</v>
      </c>
      <c r="M54" s="13" t="s">
        <v>40</v>
      </c>
      <c r="N54" s="13"/>
      <c r="O54" s="22" t="s">
        <v>208</v>
      </c>
      <c r="P54" s="26">
        <f t="shared" si="10"/>
        <v>0</v>
      </c>
      <c r="Q54" s="27" t="str">
        <f t="shared" si="11"/>
        <v/>
      </c>
      <c r="R54" s="22" t="str">
        <f t="shared" ca="1" si="12"/>
        <v/>
      </c>
      <c r="S54" s="13" t="str">
        <f t="shared" si="13"/>
        <v>No Record</v>
      </c>
      <c r="T54" s="13" t="str">
        <f>IF(COUNT($AH54:$AU54)=0,"",LOOKUP(2,1/($AH54:$AU54&lt;&gt;""),{"①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4" s="22" t="str">
        <f t="shared" ca="1" si="14"/>
        <v/>
      </c>
      <c r="V54" s="22">
        <f>IF($G54="","",COUNTIF('Chase Log'!$B$4:$B$2000,$G54))</f>
        <v>1</v>
      </c>
      <c r="W54" s="27">
        <f>IF(N($V54)=0,"",_xlfn.MAXIFS('Chase Log'!$E$4:$E$2000,'Chase Log'!$B$4:$B$2000,$G54))</f>
        <v>46300</v>
      </c>
      <c r="X54" s="22">
        <f t="shared" ca="1" si="15"/>
        <v>25</v>
      </c>
      <c r="Y54" s="27">
        <f>IF($W54="","",IF(OR(AND($Q54&lt;&gt;"",N($Q54)&gt;N($W54)),COUNTIFS('Chase Log'!$B$4:$B$2000,$G54,'Chase Log'!$E$4:$E$2000,$W54,'Chase Log'!$I$4:$I$2000,"Y")&gt;0),"",IF(_xlfn.MAXIFS('Chase Log'!$J$4:$J$2000,'Chase Log'!$B$4:$B$2000,$G54,'Chase Log'!$E$4:$E$2000,$W54)=0,"",_xlfn.MAXIFS('Chase Log'!$J$4:$J$2000,'Chase Log'!$B$4:$B$2000,$G54,'Chase Log'!$E$4:$E$2000,$W54))))</f>
        <v>46307</v>
      </c>
      <c r="Z54" s="13" t="str">
        <f ca="1">IF(OR($G54="",N($P54)&gt;=1,$C54="Live",$D54&lt;&gt;""),"",IF(AND($Y54&lt;&gt;"",N($Y54)&gt;0),IF($Y54&lt;TODAY(),"Chase Overdue","Scheduled"),IF(AND($Q54&lt;&gt;"",N($R54)&gt;='안내 Guide'!$D$4,OR($X54="",N($X54)&gt;='안내 Guide'!$D$4)),"Chase Needed","")))</f>
        <v>Chase Overdue</v>
      </c>
      <c r="AA54" s="28"/>
      <c r="AB54" s="25"/>
      <c r="AC54" s="25" t="s">
        <v>268</v>
      </c>
      <c r="AD54" s="29" t="s">
        <v>269</v>
      </c>
      <c r="AE54" s="25"/>
      <c r="AF54" s="13"/>
      <c r="AG54" s="16" t="s">
        <v>182</v>
      </c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</row>
    <row r="55" spans="1:47" ht="25.5" customHeight="1">
      <c r="A55" s="22">
        <f t="shared" si="8"/>
        <v>51</v>
      </c>
      <c r="B55" s="22" t="str">
        <f t="shared" si="9"/>
        <v>Contact</v>
      </c>
      <c r="C55" s="23"/>
      <c r="D55" s="23"/>
      <c r="E55" s="13" t="s">
        <v>30</v>
      </c>
      <c r="F55" s="13" t="s">
        <v>298</v>
      </c>
      <c r="G55" s="24" t="s">
        <v>419</v>
      </c>
      <c r="H55" s="13" t="s">
        <v>204</v>
      </c>
      <c r="I55" s="13" t="s">
        <v>361</v>
      </c>
      <c r="J55" s="13"/>
      <c r="K55" s="22"/>
      <c r="L55" s="13" t="s">
        <v>267</v>
      </c>
      <c r="M55" s="13" t="s">
        <v>40</v>
      </c>
      <c r="N55" s="13"/>
      <c r="O55" s="22" t="s">
        <v>208</v>
      </c>
      <c r="P55" s="26">
        <f t="shared" si="10"/>
        <v>0</v>
      </c>
      <c r="Q55" s="27" t="str">
        <f t="shared" si="11"/>
        <v/>
      </c>
      <c r="R55" s="22" t="str">
        <f t="shared" ca="1" si="12"/>
        <v/>
      </c>
      <c r="S55" s="13" t="str">
        <f t="shared" si="13"/>
        <v>No Record</v>
      </c>
      <c r="T55" s="13" t="str">
        <f>IF(COUNT($AH55:$AU55)=0,"",LOOKUP(2,1/($AH55:$AU55&lt;&gt;""),{"①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5" s="22" t="str">
        <f t="shared" ca="1" si="14"/>
        <v/>
      </c>
      <c r="V55" s="22">
        <f>IF($G55="","",COUNTIF('Chase Log'!$B$4:$B$2000,$G55))</f>
        <v>1</v>
      </c>
      <c r="W55" s="27">
        <f>IF(N($V55)=0,"",_xlfn.MAXIFS('Chase Log'!$E$4:$E$2000,'Chase Log'!$B$4:$B$2000,$G55))</f>
        <v>46300</v>
      </c>
      <c r="X55" s="22">
        <f t="shared" ca="1" si="15"/>
        <v>25</v>
      </c>
      <c r="Y55" s="27">
        <f>IF($W55="","",IF(OR(AND($Q55&lt;&gt;"",N($Q55)&gt;N($W55)),COUNTIFS('Chase Log'!$B$4:$B$2000,$G55,'Chase Log'!$E$4:$E$2000,$W55,'Chase Log'!$I$4:$I$2000,"Y")&gt;0),"",IF(_xlfn.MAXIFS('Chase Log'!$J$4:$J$2000,'Chase Log'!$B$4:$B$2000,$G55,'Chase Log'!$E$4:$E$2000,$W55)=0,"",_xlfn.MAXIFS('Chase Log'!$J$4:$J$2000,'Chase Log'!$B$4:$B$2000,$G55,'Chase Log'!$E$4:$E$2000,$W55))))</f>
        <v>46307</v>
      </c>
      <c r="Z55" s="13" t="str">
        <f ca="1">IF(OR($G55="",N($P55)&gt;=1,$C55="Live",$D55&lt;&gt;""),"",IF(AND($Y55&lt;&gt;"",N($Y55)&gt;0),IF($Y55&lt;TODAY(),"Chase Overdue","Scheduled"),IF(AND($Q55&lt;&gt;"",N($R55)&gt;='안내 Guide'!$D$4,OR($X55="",N($X55)&gt;='안내 Guide'!$D$4)),"Chase Needed","")))</f>
        <v>Chase Overdue</v>
      </c>
      <c r="AA55" s="28"/>
      <c r="AB55" s="25"/>
      <c r="AC55" s="25" t="s">
        <v>268</v>
      </c>
      <c r="AD55" s="29" t="s">
        <v>269</v>
      </c>
      <c r="AE55" s="25"/>
      <c r="AF55" s="13"/>
      <c r="AG55" s="16" t="s">
        <v>182</v>
      </c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</row>
    <row r="56" spans="1:47" ht="25.5" customHeight="1">
      <c r="A56" s="22">
        <f t="shared" si="8"/>
        <v>52</v>
      </c>
      <c r="B56" s="22" t="str">
        <f t="shared" si="9"/>
        <v>Contact</v>
      </c>
      <c r="C56" s="23"/>
      <c r="D56" s="23"/>
      <c r="E56" s="13" t="s">
        <v>30</v>
      </c>
      <c r="F56" s="13" t="s">
        <v>298</v>
      </c>
      <c r="G56" s="24" t="s">
        <v>420</v>
      </c>
      <c r="H56" s="13" t="s">
        <v>204</v>
      </c>
      <c r="I56" s="13" t="s">
        <v>361</v>
      </c>
      <c r="J56" s="13"/>
      <c r="K56" s="22"/>
      <c r="L56" s="13" t="s">
        <v>267</v>
      </c>
      <c r="M56" s="13" t="s">
        <v>40</v>
      </c>
      <c r="N56" s="13"/>
      <c r="O56" s="22" t="s">
        <v>208</v>
      </c>
      <c r="P56" s="26">
        <f t="shared" si="10"/>
        <v>0</v>
      </c>
      <c r="Q56" s="27" t="str">
        <f t="shared" si="11"/>
        <v/>
      </c>
      <c r="R56" s="22" t="str">
        <f t="shared" ca="1" si="12"/>
        <v/>
      </c>
      <c r="S56" s="13" t="str">
        <f t="shared" si="13"/>
        <v>No Record</v>
      </c>
      <c r="T56" s="13" t="str">
        <f>IF(COUNT($AH56:$AU56)=0,"",LOOKUP(2,1/($AH56:$AU56&lt;&gt;""),{"①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6" s="22" t="str">
        <f t="shared" ca="1" si="14"/>
        <v/>
      </c>
      <c r="V56" s="22">
        <f>IF($G56="","",COUNTIF('Chase Log'!$B$4:$B$2000,$G56))</f>
        <v>1</v>
      </c>
      <c r="W56" s="27">
        <f>IF(N($V56)=0,"",_xlfn.MAXIFS('Chase Log'!$E$4:$E$2000,'Chase Log'!$B$4:$B$2000,$G56))</f>
        <v>46300</v>
      </c>
      <c r="X56" s="22">
        <f t="shared" ca="1" si="15"/>
        <v>25</v>
      </c>
      <c r="Y56" s="27">
        <f>IF($W56="","",IF(OR(AND($Q56&lt;&gt;"",N($Q56)&gt;N($W56)),COUNTIFS('Chase Log'!$B$4:$B$2000,$G56,'Chase Log'!$E$4:$E$2000,$W56,'Chase Log'!$I$4:$I$2000,"Y")&gt;0),"",IF(_xlfn.MAXIFS('Chase Log'!$J$4:$J$2000,'Chase Log'!$B$4:$B$2000,$G56,'Chase Log'!$E$4:$E$2000,$W56)=0,"",_xlfn.MAXIFS('Chase Log'!$J$4:$J$2000,'Chase Log'!$B$4:$B$2000,$G56,'Chase Log'!$E$4:$E$2000,$W56))))</f>
        <v>46307</v>
      </c>
      <c r="Z56" s="13" t="str">
        <f ca="1">IF(OR($G56="",N($P56)&gt;=1,$C56="Live",$D56&lt;&gt;""),"",IF(AND($Y56&lt;&gt;"",N($Y56)&gt;0),IF($Y56&lt;TODAY(),"Chase Overdue","Scheduled"),IF(AND($Q56&lt;&gt;"",N($R56)&gt;='안내 Guide'!$D$4,OR($X56="",N($X56)&gt;='안내 Guide'!$D$4)),"Chase Needed","")))</f>
        <v>Chase Overdue</v>
      </c>
      <c r="AA56" s="28"/>
      <c r="AB56" s="25"/>
      <c r="AC56" s="25" t="s">
        <v>268</v>
      </c>
      <c r="AD56" s="29" t="s">
        <v>269</v>
      </c>
      <c r="AE56" s="25"/>
      <c r="AF56" s="13"/>
      <c r="AG56" s="16" t="s">
        <v>182</v>
      </c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</row>
    <row r="57" spans="1:47" ht="25.5" customHeight="1">
      <c r="A57" s="22">
        <f t="shared" si="8"/>
        <v>53</v>
      </c>
      <c r="B57" s="22" t="str">
        <f t="shared" si="9"/>
        <v>Contact</v>
      </c>
      <c r="C57" s="23"/>
      <c r="D57" s="23"/>
      <c r="E57" s="13" t="s">
        <v>30</v>
      </c>
      <c r="F57" s="13" t="s">
        <v>298</v>
      </c>
      <c r="G57" s="24" t="s">
        <v>421</v>
      </c>
      <c r="H57" s="13" t="s">
        <v>204</v>
      </c>
      <c r="I57" s="13" t="s">
        <v>361</v>
      </c>
      <c r="J57" s="13"/>
      <c r="K57" s="22"/>
      <c r="L57" s="13" t="s">
        <v>267</v>
      </c>
      <c r="M57" s="13" t="s">
        <v>40</v>
      </c>
      <c r="N57" s="13"/>
      <c r="O57" s="22" t="s">
        <v>208</v>
      </c>
      <c r="P57" s="26">
        <f t="shared" si="10"/>
        <v>0</v>
      </c>
      <c r="Q57" s="27" t="str">
        <f t="shared" si="11"/>
        <v/>
      </c>
      <c r="R57" s="22" t="str">
        <f t="shared" ca="1" si="12"/>
        <v/>
      </c>
      <c r="S57" s="13" t="str">
        <f t="shared" si="13"/>
        <v>No Record</v>
      </c>
      <c r="T57" s="13" t="str">
        <f>IF(COUNT($AH57:$AU57)=0,"",LOOKUP(2,1/($AH57:$AU57&lt;&gt;""),{"①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7" s="22" t="str">
        <f t="shared" ca="1" si="14"/>
        <v/>
      </c>
      <c r="V57" s="22">
        <f>IF($G57="","",COUNTIF('Chase Log'!$B$4:$B$2000,$G57))</f>
        <v>1</v>
      </c>
      <c r="W57" s="27">
        <f>IF(N($V57)=0,"",_xlfn.MAXIFS('Chase Log'!$E$4:$E$2000,'Chase Log'!$B$4:$B$2000,$G57))</f>
        <v>46300</v>
      </c>
      <c r="X57" s="22">
        <f t="shared" ca="1" si="15"/>
        <v>25</v>
      </c>
      <c r="Y57" s="27">
        <f>IF($W57="","",IF(OR(AND($Q57&lt;&gt;"",N($Q57)&gt;N($W57)),COUNTIFS('Chase Log'!$B$4:$B$2000,$G57,'Chase Log'!$E$4:$E$2000,$W57,'Chase Log'!$I$4:$I$2000,"Y")&gt;0),"",IF(_xlfn.MAXIFS('Chase Log'!$J$4:$J$2000,'Chase Log'!$B$4:$B$2000,$G57,'Chase Log'!$E$4:$E$2000,$W57)=0,"",_xlfn.MAXIFS('Chase Log'!$J$4:$J$2000,'Chase Log'!$B$4:$B$2000,$G57,'Chase Log'!$E$4:$E$2000,$W57))))</f>
        <v>46307</v>
      </c>
      <c r="Z57" s="13" t="str">
        <f ca="1">IF(OR($G57="",N($P57)&gt;=1,$C57="Live",$D57&lt;&gt;""),"",IF(AND($Y57&lt;&gt;"",N($Y57)&gt;0),IF($Y57&lt;TODAY(),"Chase Overdue","Scheduled"),IF(AND($Q57&lt;&gt;"",N($R57)&gt;='안내 Guide'!$D$4,OR($X57="",N($X57)&gt;='안내 Guide'!$D$4)),"Chase Needed","")))</f>
        <v>Chase Overdue</v>
      </c>
      <c r="AA57" s="28"/>
      <c r="AB57" s="25"/>
      <c r="AC57" s="25" t="s">
        <v>268</v>
      </c>
      <c r="AD57" s="29" t="s">
        <v>269</v>
      </c>
      <c r="AE57" s="25"/>
      <c r="AF57" s="13"/>
      <c r="AG57" s="16" t="s">
        <v>182</v>
      </c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</row>
    <row r="58" spans="1:47" ht="25.5" customHeight="1">
      <c r="A58" s="22">
        <f t="shared" si="8"/>
        <v>54</v>
      </c>
      <c r="B58" s="22" t="str">
        <f t="shared" si="9"/>
        <v>Contact</v>
      </c>
      <c r="C58" s="23"/>
      <c r="D58" s="23"/>
      <c r="E58" s="13" t="s">
        <v>30</v>
      </c>
      <c r="F58" s="13" t="s">
        <v>298</v>
      </c>
      <c r="G58" s="24" t="s">
        <v>422</v>
      </c>
      <c r="H58" s="13" t="s">
        <v>204</v>
      </c>
      <c r="I58" s="13" t="s">
        <v>361</v>
      </c>
      <c r="J58" s="13"/>
      <c r="K58" s="22"/>
      <c r="L58" s="13" t="s">
        <v>267</v>
      </c>
      <c r="M58" s="13" t="s">
        <v>40</v>
      </c>
      <c r="N58" s="13"/>
      <c r="O58" s="22" t="s">
        <v>208</v>
      </c>
      <c r="P58" s="26">
        <f t="shared" si="10"/>
        <v>0</v>
      </c>
      <c r="Q58" s="27" t="str">
        <f t="shared" si="11"/>
        <v/>
      </c>
      <c r="R58" s="22" t="str">
        <f t="shared" ca="1" si="12"/>
        <v/>
      </c>
      <c r="S58" s="13" t="str">
        <f t="shared" si="13"/>
        <v>No Record</v>
      </c>
      <c r="T58" s="13" t="str">
        <f>IF(COUNT($AH58:$AU58)=0,"",LOOKUP(2,1/($AH58:$AU58&lt;&gt;""),{"①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8" s="22" t="str">
        <f t="shared" ca="1" si="14"/>
        <v/>
      </c>
      <c r="V58" s="22">
        <f>IF($G58="","",COUNTIF('Chase Log'!$B$4:$B$2000,$G58))</f>
        <v>1</v>
      </c>
      <c r="W58" s="27">
        <f>IF(N($V58)=0,"",_xlfn.MAXIFS('Chase Log'!$E$4:$E$2000,'Chase Log'!$B$4:$B$2000,$G58))</f>
        <v>46300</v>
      </c>
      <c r="X58" s="22">
        <f t="shared" ca="1" si="15"/>
        <v>25</v>
      </c>
      <c r="Y58" s="27">
        <f>IF($W58="","",IF(OR(AND($Q58&lt;&gt;"",N($Q58)&gt;N($W58)),COUNTIFS('Chase Log'!$B$4:$B$2000,$G58,'Chase Log'!$E$4:$E$2000,$W58,'Chase Log'!$I$4:$I$2000,"Y")&gt;0),"",IF(_xlfn.MAXIFS('Chase Log'!$J$4:$J$2000,'Chase Log'!$B$4:$B$2000,$G58,'Chase Log'!$E$4:$E$2000,$W58)=0,"",_xlfn.MAXIFS('Chase Log'!$J$4:$J$2000,'Chase Log'!$B$4:$B$2000,$G58,'Chase Log'!$E$4:$E$2000,$W58))))</f>
        <v>46307</v>
      </c>
      <c r="Z58" s="13" t="str">
        <f ca="1">IF(OR($G58="",N($P58)&gt;=1,$C58="Live",$D58&lt;&gt;""),"",IF(AND($Y58&lt;&gt;"",N($Y58)&gt;0),IF($Y58&lt;TODAY(),"Chase Overdue","Scheduled"),IF(AND($Q58&lt;&gt;"",N($R58)&gt;='안내 Guide'!$D$4,OR($X58="",N($X58)&gt;='안내 Guide'!$D$4)),"Chase Needed","")))</f>
        <v>Chase Overdue</v>
      </c>
      <c r="AA58" s="28"/>
      <c r="AB58" s="25"/>
      <c r="AC58" s="25" t="s">
        <v>268</v>
      </c>
      <c r="AD58" s="29" t="s">
        <v>269</v>
      </c>
      <c r="AE58" s="25"/>
      <c r="AF58" s="13"/>
      <c r="AG58" s="16" t="s">
        <v>182</v>
      </c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</row>
    <row r="59" spans="1:47" ht="25.5" customHeight="1">
      <c r="A59" s="22">
        <f t="shared" si="8"/>
        <v>55</v>
      </c>
      <c r="B59" s="22" t="str">
        <f t="shared" si="9"/>
        <v>Contact</v>
      </c>
      <c r="C59" s="23"/>
      <c r="D59" s="23"/>
      <c r="E59" s="13" t="s">
        <v>30</v>
      </c>
      <c r="F59" s="13" t="s">
        <v>298</v>
      </c>
      <c r="G59" s="24" t="s">
        <v>423</v>
      </c>
      <c r="H59" s="13" t="s">
        <v>204</v>
      </c>
      <c r="I59" s="13" t="s">
        <v>361</v>
      </c>
      <c r="J59" s="13"/>
      <c r="K59" s="22"/>
      <c r="L59" s="13" t="s">
        <v>267</v>
      </c>
      <c r="M59" s="13" t="s">
        <v>40</v>
      </c>
      <c r="N59" s="13"/>
      <c r="O59" s="22" t="s">
        <v>208</v>
      </c>
      <c r="P59" s="26">
        <f t="shared" si="10"/>
        <v>0</v>
      </c>
      <c r="Q59" s="27" t="str">
        <f t="shared" si="11"/>
        <v/>
      </c>
      <c r="R59" s="22" t="str">
        <f t="shared" ca="1" si="12"/>
        <v/>
      </c>
      <c r="S59" s="13" t="str">
        <f t="shared" si="13"/>
        <v>No Record</v>
      </c>
      <c r="T59" s="13" t="str">
        <f>IF(COUNT($AH59:$AU59)=0,"",LOOKUP(2,1/($AH59:$AU59&lt;&gt;""),{"①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59" s="22" t="str">
        <f t="shared" ca="1" si="14"/>
        <v/>
      </c>
      <c r="V59" s="22">
        <f>IF($G59="","",COUNTIF('Chase Log'!$B$4:$B$2000,$G59))</f>
        <v>1</v>
      </c>
      <c r="W59" s="27">
        <f>IF(N($V59)=0,"",_xlfn.MAXIFS('Chase Log'!$E$4:$E$2000,'Chase Log'!$B$4:$B$2000,$G59))</f>
        <v>46300</v>
      </c>
      <c r="X59" s="22">
        <f t="shared" ca="1" si="15"/>
        <v>25</v>
      </c>
      <c r="Y59" s="27">
        <f>IF($W59="","",IF(OR(AND($Q59&lt;&gt;"",N($Q59)&gt;N($W59)),COUNTIFS('Chase Log'!$B$4:$B$2000,$G59,'Chase Log'!$E$4:$E$2000,$W59,'Chase Log'!$I$4:$I$2000,"Y")&gt;0),"",IF(_xlfn.MAXIFS('Chase Log'!$J$4:$J$2000,'Chase Log'!$B$4:$B$2000,$G59,'Chase Log'!$E$4:$E$2000,$W59)=0,"",_xlfn.MAXIFS('Chase Log'!$J$4:$J$2000,'Chase Log'!$B$4:$B$2000,$G59,'Chase Log'!$E$4:$E$2000,$W59))))</f>
        <v>46307</v>
      </c>
      <c r="Z59" s="13" t="str">
        <f ca="1">IF(OR($G59="",N($P59)&gt;=1,$C59="Live",$D59&lt;&gt;""),"",IF(AND($Y59&lt;&gt;"",N($Y59)&gt;0),IF($Y59&lt;TODAY(),"Chase Overdue","Scheduled"),IF(AND($Q59&lt;&gt;"",N($R59)&gt;='안내 Guide'!$D$4,OR($X59="",N($X59)&gt;='안내 Guide'!$D$4)),"Chase Needed","")))</f>
        <v>Chase Overdue</v>
      </c>
      <c r="AA59" s="28"/>
      <c r="AB59" s="25"/>
      <c r="AC59" s="25" t="s">
        <v>268</v>
      </c>
      <c r="AD59" s="29" t="s">
        <v>269</v>
      </c>
      <c r="AE59" s="25"/>
      <c r="AF59" s="13"/>
      <c r="AG59" s="16" t="s">
        <v>182</v>
      </c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</row>
    <row r="60" spans="1:47" ht="25.5" customHeight="1">
      <c r="A60" s="22">
        <f t="shared" si="8"/>
        <v>56</v>
      </c>
      <c r="B60" s="22" t="str">
        <f t="shared" si="9"/>
        <v>Contact</v>
      </c>
      <c r="C60" s="23"/>
      <c r="D60" s="23"/>
      <c r="E60" s="13" t="s">
        <v>30</v>
      </c>
      <c r="F60" s="13" t="s">
        <v>298</v>
      </c>
      <c r="G60" s="24" t="s">
        <v>424</v>
      </c>
      <c r="H60" s="13" t="s">
        <v>204</v>
      </c>
      <c r="I60" s="13" t="s">
        <v>361</v>
      </c>
      <c r="J60" s="13"/>
      <c r="K60" s="22"/>
      <c r="L60" s="13" t="s">
        <v>267</v>
      </c>
      <c r="M60" s="13" t="s">
        <v>40</v>
      </c>
      <c r="N60" s="13"/>
      <c r="O60" s="22" t="s">
        <v>208</v>
      </c>
      <c r="P60" s="26">
        <f t="shared" si="10"/>
        <v>0</v>
      </c>
      <c r="Q60" s="27" t="str">
        <f t="shared" si="11"/>
        <v/>
      </c>
      <c r="R60" s="22" t="str">
        <f t="shared" ca="1" si="12"/>
        <v/>
      </c>
      <c r="S60" s="13" t="str">
        <f t="shared" si="13"/>
        <v>No Record</v>
      </c>
      <c r="T60" s="13" t="str">
        <f>IF(COUNT($AH60:$AU60)=0,"",LOOKUP(2,1/($AH60:$AU60&lt;&gt;""),{"①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0" s="22" t="str">
        <f t="shared" ca="1" si="14"/>
        <v/>
      </c>
      <c r="V60" s="22">
        <f>IF($G60="","",COUNTIF('Chase Log'!$B$4:$B$2000,$G60))</f>
        <v>1</v>
      </c>
      <c r="W60" s="27">
        <f>IF(N($V60)=0,"",_xlfn.MAXIFS('Chase Log'!$E$4:$E$2000,'Chase Log'!$B$4:$B$2000,$G60))</f>
        <v>46300</v>
      </c>
      <c r="X60" s="22">
        <f t="shared" ca="1" si="15"/>
        <v>25</v>
      </c>
      <c r="Y60" s="27">
        <f>IF($W60="","",IF(OR(AND($Q60&lt;&gt;"",N($Q60)&gt;N($W60)),COUNTIFS('Chase Log'!$B$4:$B$2000,$G60,'Chase Log'!$E$4:$E$2000,$W60,'Chase Log'!$I$4:$I$2000,"Y")&gt;0),"",IF(_xlfn.MAXIFS('Chase Log'!$J$4:$J$2000,'Chase Log'!$B$4:$B$2000,$G60,'Chase Log'!$E$4:$E$2000,$W60)=0,"",_xlfn.MAXIFS('Chase Log'!$J$4:$J$2000,'Chase Log'!$B$4:$B$2000,$G60,'Chase Log'!$E$4:$E$2000,$W60))))</f>
        <v>46307</v>
      </c>
      <c r="Z60" s="13" t="str">
        <f ca="1">IF(OR($G60="",N($P60)&gt;=1,$C60="Live",$D60&lt;&gt;""),"",IF(AND($Y60&lt;&gt;"",N($Y60)&gt;0),IF($Y60&lt;TODAY(),"Chase Overdue","Scheduled"),IF(AND($Q60&lt;&gt;"",N($R60)&gt;='안내 Guide'!$D$4,OR($X60="",N($X60)&gt;='안내 Guide'!$D$4)),"Chase Needed","")))</f>
        <v>Chase Overdue</v>
      </c>
      <c r="AA60" s="28"/>
      <c r="AB60" s="25"/>
      <c r="AC60" s="25" t="s">
        <v>268</v>
      </c>
      <c r="AD60" s="29" t="s">
        <v>269</v>
      </c>
      <c r="AE60" s="25"/>
      <c r="AF60" s="13"/>
      <c r="AG60" s="16" t="s">
        <v>182</v>
      </c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</row>
    <row r="61" spans="1:47" ht="25.5" customHeight="1">
      <c r="A61" s="22">
        <f t="shared" si="8"/>
        <v>57</v>
      </c>
      <c r="B61" s="22" t="str">
        <f t="shared" si="9"/>
        <v>Contact</v>
      </c>
      <c r="C61" s="23"/>
      <c r="D61" s="23"/>
      <c r="E61" s="13" t="s">
        <v>31</v>
      </c>
      <c r="F61" s="13" t="s">
        <v>176</v>
      </c>
      <c r="G61" s="24" t="s">
        <v>425</v>
      </c>
      <c r="H61" s="13" t="s">
        <v>204</v>
      </c>
      <c r="I61" s="13" t="s">
        <v>361</v>
      </c>
      <c r="J61" s="13"/>
      <c r="K61" s="22"/>
      <c r="L61" s="13" t="s">
        <v>267</v>
      </c>
      <c r="M61" s="13" t="s">
        <v>40</v>
      </c>
      <c r="N61" s="13"/>
      <c r="O61" s="22" t="s">
        <v>208</v>
      </c>
      <c r="P61" s="26">
        <f t="shared" si="10"/>
        <v>0</v>
      </c>
      <c r="Q61" s="27" t="str">
        <f t="shared" si="11"/>
        <v/>
      </c>
      <c r="R61" s="22" t="str">
        <f t="shared" ca="1" si="12"/>
        <v/>
      </c>
      <c r="S61" s="13" t="str">
        <f t="shared" si="13"/>
        <v>No Record</v>
      </c>
      <c r="T61" s="13" t="str">
        <f>IF(COUNT($AH61:$AU61)=0,"",LOOKUP(2,1/($AH61:$AU61&lt;&gt;""),{"①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1" s="22" t="str">
        <f t="shared" ca="1" si="14"/>
        <v/>
      </c>
      <c r="V61" s="22">
        <f>IF($G61="","",COUNTIF('Chase Log'!$B$4:$B$2000,$G61))</f>
        <v>0</v>
      </c>
      <c r="W61" s="27" t="str">
        <f>IF(N($V61)=0,"",_xlfn.MAXIFS('Chase Log'!$E$4:$E$2000,'Chase Log'!$B$4:$B$2000,$G61))</f>
        <v/>
      </c>
      <c r="X61" s="22" t="str">
        <f t="shared" ca="1" si="15"/>
        <v/>
      </c>
      <c r="Y61" s="27" t="str">
        <f>IF($W61="","",IF(OR(AND($Q61&lt;&gt;"",N($Q61)&gt;N($W61)),COUNTIFS('Chase Log'!$B$4:$B$2000,$G61,'Chase Log'!$E$4:$E$2000,$W61,'Chase Log'!$I$4:$I$2000,"Y")&gt;0),"",IF(_xlfn.MAXIFS('Chase Log'!$J$4:$J$2000,'Chase Log'!$B$4:$B$2000,$G61,'Chase Log'!$E$4:$E$2000,$W61)=0,"",_xlfn.MAXIFS('Chase Log'!$J$4:$J$2000,'Chase Log'!$B$4:$B$2000,$G61,'Chase Log'!$E$4:$E$2000,$W61))))</f>
        <v/>
      </c>
      <c r="Z61" s="13" t="str">
        <f ca="1">IF(OR($G61="",N($P61)&gt;=1,$C61="Live",$D61&lt;&gt;""),"",IF(AND($Y61&lt;&gt;"",N($Y61)&gt;0),IF($Y61&lt;TODAY(),"Chase Overdue","Scheduled"),IF(AND($Q61&lt;&gt;"",N($R61)&gt;='안내 Guide'!$D$4,OR($X61="",N($X61)&gt;='안내 Guide'!$D$4)),"Chase Needed","")))</f>
        <v/>
      </c>
      <c r="AA61" s="28"/>
      <c r="AB61" s="25"/>
      <c r="AC61" s="25" t="s">
        <v>268</v>
      </c>
      <c r="AD61" s="29" t="s">
        <v>269</v>
      </c>
      <c r="AE61" s="25"/>
      <c r="AF61" s="13"/>
      <c r="AG61" s="16" t="s">
        <v>182</v>
      </c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</row>
    <row r="62" spans="1:47" ht="25.5" customHeight="1">
      <c r="A62" s="22">
        <f t="shared" si="8"/>
        <v>58</v>
      </c>
      <c r="B62" s="22" t="str">
        <f t="shared" si="9"/>
        <v>Contact</v>
      </c>
      <c r="C62" s="23"/>
      <c r="D62" s="23"/>
      <c r="E62" s="13" t="s">
        <v>31</v>
      </c>
      <c r="F62" s="13" t="s">
        <v>176</v>
      </c>
      <c r="G62" s="24" t="s">
        <v>426</v>
      </c>
      <c r="H62" s="13" t="s">
        <v>204</v>
      </c>
      <c r="I62" s="13" t="s">
        <v>361</v>
      </c>
      <c r="J62" s="13"/>
      <c r="K62" s="22"/>
      <c r="L62" s="13" t="s">
        <v>178</v>
      </c>
      <c r="M62" s="13" t="s">
        <v>40</v>
      </c>
      <c r="N62" s="13"/>
      <c r="O62" s="22" t="s">
        <v>208</v>
      </c>
      <c r="P62" s="26">
        <f t="shared" si="10"/>
        <v>0</v>
      </c>
      <c r="Q62" s="27" t="str">
        <f t="shared" si="11"/>
        <v/>
      </c>
      <c r="R62" s="22" t="str">
        <f t="shared" ca="1" si="12"/>
        <v/>
      </c>
      <c r="S62" s="13" t="str">
        <f t="shared" si="13"/>
        <v>No Record</v>
      </c>
      <c r="T62" s="13" t="str">
        <f>IF(COUNT($AH62:$AU62)=0,"",LOOKUP(2,1/($AH62:$AU62&lt;&gt;""),{"①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2" s="22" t="str">
        <f t="shared" ca="1" si="14"/>
        <v/>
      </c>
      <c r="V62" s="22">
        <f>IF($G62="","",COUNTIF('Chase Log'!$B$4:$B$2000,$G62))</f>
        <v>1</v>
      </c>
      <c r="W62" s="27">
        <f>IF(N($V62)=0,"",_xlfn.MAXIFS('Chase Log'!$E$4:$E$2000,'Chase Log'!$B$4:$B$2000,$G62))</f>
        <v>46300</v>
      </c>
      <c r="X62" s="22">
        <f t="shared" ca="1" si="15"/>
        <v>25</v>
      </c>
      <c r="Y62" s="27" t="str">
        <f>IF($W62="","",IF(OR(AND($Q62&lt;&gt;"",N($Q62)&gt;N($W62)),COUNTIFS('Chase Log'!$B$4:$B$2000,$G62,'Chase Log'!$E$4:$E$2000,$W62,'Chase Log'!$I$4:$I$2000,"Y")&gt;0),"",IF(_xlfn.MAXIFS('Chase Log'!$J$4:$J$2000,'Chase Log'!$B$4:$B$2000,$G62,'Chase Log'!$E$4:$E$2000,$W62)=0,"",_xlfn.MAXIFS('Chase Log'!$J$4:$J$2000,'Chase Log'!$B$4:$B$2000,$G62,'Chase Log'!$E$4:$E$2000,$W62))))</f>
        <v/>
      </c>
      <c r="Z62" s="13" t="str">
        <f ca="1">IF(OR($G62="",N($P62)&gt;=1,$C62="Live",$D62&lt;&gt;""),"",IF(AND($Y62&lt;&gt;"",N($Y62)&gt;0),IF($Y62&lt;TODAY(),"Chase Overdue","Scheduled"),IF(AND($Q62&lt;&gt;"",N($R62)&gt;='안내 Guide'!$D$4,OR($X62="",N($X62)&gt;='안내 Guide'!$D$4)),"Chase Needed","")))</f>
        <v/>
      </c>
      <c r="AA62" s="28"/>
      <c r="AB62" s="25"/>
      <c r="AC62" s="25" t="s">
        <v>427</v>
      </c>
      <c r="AD62" s="29" t="s">
        <v>428</v>
      </c>
      <c r="AE62" s="25"/>
      <c r="AF62" s="13" t="s">
        <v>181</v>
      </c>
      <c r="AG62" s="16" t="s">
        <v>182</v>
      </c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</row>
    <row r="63" spans="1:47" ht="25.5" customHeight="1">
      <c r="A63" s="22">
        <f t="shared" si="8"/>
        <v>59</v>
      </c>
      <c r="B63" s="22" t="str">
        <f t="shared" si="9"/>
        <v>Contact</v>
      </c>
      <c r="C63" s="23"/>
      <c r="D63" s="23"/>
      <c r="E63" s="13" t="s">
        <v>31</v>
      </c>
      <c r="F63" s="13" t="s">
        <v>176</v>
      </c>
      <c r="G63" s="24" t="s">
        <v>429</v>
      </c>
      <c r="H63" s="13" t="s">
        <v>204</v>
      </c>
      <c r="I63" s="13" t="s">
        <v>361</v>
      </c>
      <c r="J63" s="13"/>
      <c r="K63" s="22"/>
      <c r="L63" s="13" t="s">
        <v>267</v>
      </c>
      <c r="M63" s="13" t="s">
        <v>40</v>
      </c>
      <c r="N63" s="13"/>
      <c r="O63" s="22" t="s">
        <v>208</v>
      </c>
      <c r="P63" s="26">
        <f t="shared" si="10"/>
        <v>0</v>
      </c>
      <c r="Q63" s="27" t="str">
        <f t="shared" si="11"/>
        <v/>
      </c>
      <c r="R63" s="22" t="str">
        <f t="shared" ca="1" si="12"/>
        <v/>
      </c>
      <c r="S63" s="13" t="str">
        <f t="shared" si="13"/>
        <v>No Record</v>
      </c>
      <c r="T63" s="13" t="str">
        <f>IF(COUNT($AH63:$AU63)=0,"",LOOKUP(2,1/($AH63:$AU63&lt;&gt;""),{"①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3" s="22" t="str">
        <f t="shared" ca="1" si="14"/>
        <v/>
      </c>
      <c r="V63" s="22">
        <f>IF($G63="","",COUNTIF('Chase Log'!$B$4:$B$2000,$G63))</f>
        <v>0</v>
      </c>
      <c r="W63" s="27" t="str">
        <f>IF(N($V63)=0,"",_xlfn.MAXIFS('Chase Log'!$E$4:$E$2000,'Chase Log'!$B$4:$B$2000,$G63))</f>
        <v/>
      </c>
      <c r="X63" s="22" t="str">
        <f t="shared" ca="1" si="15"/>
        <v/>
      </c>
      <c r="Y63" s="27" t="str">
        <f>IF($W63="","",IF(OR(AND($Q63&lt;&gt;"",N($Q63)&gt;N($W63)),COUNTIFS('Chase Log'!$B$4:$B$2000,$G63,'Chase Log'!$E$4:$E$2000,$W63,'Chase Log'!$I$4:$I$2000,"Y")&gt;0),"",IF(_xlfn.MAXIFS('Chase Log'!$J$4:$J$2000,'Chase Log'!$B$4:$B$2000,$G63,'Chase Log'!$E$4:$E$2000,$W63)=0,"",_xlfn.MAXIFS('Chase Log'!$J$4:$J$2000,'Chase Log'!$B$4:$B$2000,$G63,'Chase Log'!$E$4:$E$2000,$W63))))</f>
        <v/>
      </c>
      <c r="Z63" s="13" t="str">
        <f ca="1">IF(OR($G63="",N($P63)&gt;=1,$C63="Live",$D63&lt;&gt;""),"",IF(AND($Y63&lt;&gt;"",N($Y63)&gt;0),IF($Y63&lt;TODAY(),"Chase Overdue","Scheduled"),IF(AND($Q63&lt;&gt;"",N($R63)&gt;='안내 Guide'!$D$4,OR($X63="",N($X63)&gt;='안내 Guide'!$D$4)),"Chase Needed","")))</f>
        <v/>
      </c>
      <c r="AA63" s="28"/>
      <c r="AB63" s="25"/>
      <c r="AC63" s="25" t="s">
        <v>268</v>
      </c>
      <c r="AD63" s="29" t="s">
        <v>269</v>
      </c>
      <c r="AE63" s="25"/>
      <c r="AF63" s="13"/>
      <c r="AG63" s="16" t="s">
        <v>182</v>
      </c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</row>
    <row r="64" spans="1:47" ht="25.5" customHeight="1">
      <c r="A64" s="22">
        <f t="shared" si="8"/>
        <v>60</v>
      </c>
      <c r="B64" s="22" t="str">
        <f t="shared" si="9"/>
        <v>Contact</v>
      </c>
      <c r="C64" s="23"/>
      <c r="D64" s="23"/>
      <c r="E64" s="13" t="s">
        <v>31</v>
      </c>
      <c r="F64" s="13" t="s">
        <v>176</v>
      </c>
      <c r="G64" s="24" t="s">
        <v>430</v>
      </c>
      <c r="H64" s="13" t="s">
        <v>204</v>
      </c>
      <c r="I64" s="13" t="s">
        <v>361</v>
      </c>
      <c r="J64" s="13"/>
      <c r="K64" s="22"/>
      <c r="L64" s="13" t="s">
        <v>323</v>
      </c>
      <c r="M64" s="13" t="s">
        <v>40</v>
      </c>
      <c r="N64" s="13"/>
      <c r="O64" s="22" t="s">
        <v>208</v>
      </c>
      <c r="P64" s="26">
        <f t="shared" si="10"/>
        <v>0</v>
      </c>
      <c r="Q64" s="27" t="str">
        <f t="shared" si="11"/>
        <v/>
      </c>
      <c r="R64" s="22" t="str">
        <f t="shared" ca="1" si="12"/>
        <v/>
      </c>
      <c r="S64" s="13" t="str">
        <f t="shared" si="13"/>
        <v>No Record</v>
      </c>
      <c r="T64" s="13" t="str">
        <f>IF(COUNT($AH64:$AU64)=0,"",LOOKUP(2,1/($AH64:$AU64&lt;&gt;""),{"①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4" s="22" t="str">
        <f t="shared" ca="1" si="14"/>
        <v/>
      </c>
      <c r="V64" s="22">
        <f>IF($G64="","",COUNTIF('Chase Log'!$B$4:$B$2000,$G64))</f>
        <v>1</v>
      </c>
      <c r="W64" s="27">
        <f>IF(N($V64)=0,"",_xlfn.MAXIFS('Chase Log'!$E$4:$E$2000,'Chase Log'!$B$4:$B$2000,$G64))</f>
        <v>46300</v>
      </c>
      <c r="X64" s="22">
        <f t="shared" ca="1" si="15"/>
        <v>25</v>
      </c>
      <c r="Y64" s="27">
        <f>IF($W64="","",IF(OR(AND($Q64&lt;&gt;"",N($Q64)&gt;N($W64)),COUNTIFS('Chase Log'!$B$4:$B$2000,$G64,'Chase Log'!$E$4:$E$2000,$W64,'Chase Log'!$I$4:$I$2000,"Y")&gt;0),"",IF(_xlfn.MAXIFS('Chase Log'!$J$4:$J$2000,'Chase Log'!$B$4:$B$2000,$G64,'Chase Log'!$E$4:$E$2000,$W64)=0,"",_xlfn.MAXIFS('Chase Log'!$J$4:$J$2000,'Chase Log'!$B$4:$B$2000,$G64,'Chase Log'!$E$4:$E$2000,$W64))))</f>
        <v>46307</v>
      </c>
      <c r="Z64" s="13" t="str">
        <f ca="1">IF(OR($G64="",N($P64)&gt;=1,$C64="Live",$D64&lt;&gt;""),"",IF(AND($Y64&lt;&gt;"",N($Y64)&gt;0),IF($Y64&lt;TODAY(),"Chase Overdue","Scheduled"),IF(AND($Q64&lt;&gt;"",N($R64)&gt;='안내 Guide'!$D$4,OR($X64="",N($X64)&gt;='안내 Guide'!$D$4)),"Chase Needed","")))</f>
        <v>Chase Overdue</v>
      </c>
      <c r="AA64" s="28"/>
      <c r="AB64" s="25"/>
      <c r="AC64" s="25" t="s">
        <v>431</v>
      </c>
      <c r="AD64" s="29" t="s">
        <v>432</v>
      </c>
      <c r="AE64" s="25"/>
      <c r="AF64" s="13" t="s">
        <v>181</v>
      </c>
      <c r="AG64" s="16" t="s">
        <v>182</v>
      </c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</row>
    <row r="65" spans="1:47" ht="25.5" customHeight="1">
      <c r="A65" s="22">
        <f t="shared" si="8"/>
        <v>61</v>
      </c>
      <c r="B65" s="22" t="str">
        <f t="shared" si="9"/>
        <v>Contact</v>
      </c>
      <c r="C65" s="23"/>
      <c r="D65" s="23"/>
      <c r="E65" s="13" t="s">
        <v>31</v>
      </c>
      <c r="F65" s="13" t="s">
        <v>176</v>
      </c>
      <c r="G65" s="24" t="s">
        <v>433</v>
      </c>
      <c r="H65" s="13" t="s">
        <v>204</v>
      </c>
      <c r="I65" s="13" t="s">
        <v>361</v>
      </c>
      <c r="J65" s="13"/>
      <c r="K65" s="22"/>
      <c r="L65" s="13" t="s">
        <v>267</v>
      </c>
      <c r="M65" s="13" t="s">
        <v>40</v>
      </c>
      <c r="N65" s="13"/>
      <c r="O65" s="22" t="s">
        <v>208</v>
      </c>
      <c r="P65" s="26">
        <f t="shared" si="10"/>
        <v>0</v>
      </c>
      <c r="Q65" s="27" t="str">
        <f t="shared" si="11"/>
        <v/>
      </c>
      <c r="R65" s="22" t="str">
        <f t="shared" ca="1" si="12"/>
        <v/>
      </c>
      <c r="S65" s="13" t="str">
        <f t="shared" si="13"/>
        <v>No Record</v>
      </c>
      <c r="T65" s="13" t="str">
        <f>IF(COUNT($AH65:$AU65)=0,"",LOOKUP(2,1/($AH65:$AU65&lt;&gt;""),{"①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5" s="22" t="str">
        <f t="shared" ca="1" si="14"/>
        <v/>
      </c>
      <c r="V65" s="22">
        <f>IF($G65="","",COUNTIF('Chase Log'!$B$4:$B$2000,$G65))</f>
        <v>1</v>
      </c>
      <c r="W65" s="27">
        <f>IF(N($V65)=0,"",_xlfn.MAXIFS('Chase Log'!$E$4:$E$2000,'Chase Log'!$B$4:$B$2000,$G65))</f>
        <v>46300</v>
      </c>
      <c r="X65" s="22">
        <f t="shared" ca="1" si="15"/>
        <v>25</v>
      </c>
      <c r="Y65" s="27">
        <f>IF($W65="","",IF(OR(AND($Q65&lt;&gt;"",N($Q65)&gt;N($W65)),COUNTIFS('Chase Log'!$B$4:$B$2000,$G65,'Chase Log'!$E$4:$E$2000,$W65,'Chase Log'!$I$4:$I$2000,"Y")&gt;0),"",IF(_xlfn.MAXIFS('Chase Log'!$J$4:$J$2000,'Chase Log'!$B$4:$B$2000,$G65,'Chase Log'!$E$4:$E$2000,$W65)=0,"",_xlfn.MAXIFS('Chase Log'!$J$4:$J$2000,'Chase Log'!$B$4:$B$2000,$G65,'Chase Log'!$E$4:$E$2000,$W65))))</f>
        <v>46307</v>
      </c>
      <c r="Z65" s="13" t="str">
        <f ca="1">IF(OR($G65="",N($P65)&gt;=1,$C65="Live",$D65&lt;&gt;""),"",IF(AND($Y65&lt;&gt;"",N($Y65)&gt;0),IF($Y65&lt;TODAY(),"Chase Overdue","Scheduled"),IF(AND($Q65&lt;&gt;"",N($R65)&gt;='안내 Guide'!$D$4,OR($X65="",N($X65)&gt;='안내 Guide'!$D$4)),"Chase Needed","")))</f>
        <v>Chase Overdue</v>
      </c>
      <c r="AA65" s="28"/>
      <c r="AB65" s="25"/>
      <c r="AC65" s="25" t="s">
        <v>268</v>
      </c>
      <c r="AD65" s="29" t="s">
        <v>269</v>
      </c>
      <c r="AE65" s="25"/>
      <c r="AF65" s="13"/>
      <c r="AG65" s="16" t="s">
        <v>182</v>
      </c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</row>
    <row r="66" spans="1:47" ht="25.5" customHeight="1">
      <c r="A66" s="22">
        <f t="shared" si="8"/>
        <v>62</v>
      </c>
      <c r="B66" s="22" t="str">
        <f t="shared" si="9"/>
        <v>Contact</v>
      </c>
      <c r="C66" s="23"/>
      <c r="D66" s="23"/>
      <c r="E66" s="13" t="s">
        <v>31</v>
      </c>
      <c r="F66" s="13" t="s">
        <v>176</v>
      </c>
      <c r="G66" s="24" t="s">
        <v>434</v>
      </c>
      <c r="H66" s="13" t="s">
        <v>204</v>
      </c>
      <c r="I66" s="13" t="s">
        <v>361</v>
      </c>
      <c r="J66" s="13"/>
      <c r="K66" s="22"/>
      <c r="L66" s="13" t="s">
        <v>267</v>
      </c>
      <c r="M66" s="13" t="s">
        <v>40</v>
      </c>
      <c r="N66" s="13"/>
      <c r="O66" s="22" t="s">
        <v>208</v>
      </c>
      <c r="P66" s="26">
        <f t="shared" si="10"/>
        <v>0</v>
      </c>
      <c r="Q66" s="27" t="str">
        <f t="shared" si="11"/>
        <v/>
      </c>
      <c r="R66" s="22" t="str">
        <f t="shared" ca="1" si="12"/>
        <v/>
      </c>
      <c r="S66" s="13" t="str">
        <f t="shared" si="13"/>
        <v>No Record</v>
      </c>
      <c r="T66" s="13" t="str">
        <f>IF(COUNT($AH66:$AU66)=0,"",LOOKUP(2,1/($AH66:$AU66&lt;&gt;""),{"①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6" s="22" t="str">
        <f t="shared" ca="1" si="14"/>
        <v/>
      </c>
      <c r="V66" s="22">
        <f>IF($G66="","",COUNTIF('Chase Log'!$B$4:$B$2000,$G66))</f>
        <v>1</v>
      </c>
      <c r="W66" s="27">
        <f>IF(N($V66)=0,"",_xlfn.MAXIFS('Chase Log'!$E$4:$E$2000,'Chase Log'!$B$4:$B$2000,$G66))</f>
        <v>46300</v>
      </c>
      <c r="X66" s="22">
        <f t="shared" ca="1" si="15"/>
        <v>25</v>
      </c>
      <c r="Y66" s="27">
        <f>IF($W66="","",IF(OR(AND($Q66&lt;&gt;"",N($Q66)&gt;N($W66)),COUNTIFS('Chase Log'!$B$4:$B$2000,$G66,'Chase Log'!$E$4:$E$2000,$W66,'Chase Log'!$I$4:$I$2000,"Y")&gt;0),"",IF(_xlfn.MAXIFS('Chase Log'!$J$4:$J$2000,'Chase Log'!$B$4:$B$2000,$G66,'Chase Log'!$E$4:$E$2000,$W66)=0,"",_xlfn.MAXIFS('Chase Log'!$J$4:$J$2000,'Chase Log'!$B$4:$B$2000,$G66,'Chase Log'!$E$4:$E$2000,$W66))))</f>
        <v>46307</v>
      </c>
      <c r="Z66" s="13" t="str">
        <f ca="1">IF(OR($G66="",N($P66)&gt;=1,$C66="Live",$D66&lt;&gt;""),"",IF(AND($Y66&lt;&gt;"",N($Y66)&gt;0),IF($Y66&lt;TODAY(),"Chase Overdue","Scheduled"),IF(AND($Q66&lt;&gt;"",N($R66)&gt;='안내 Guide'!$D$4,OR($X66="",N($X66)&gt;='안내 Guide'!$D$4)),"Chase Needed","")))</f>
        <v>Chase Overdue</v>
      </c>
      <c r="AA66" s="28"/>
      <c r="AB66" s="25"/>
      <c r="AC66" s="25" t="s">
        <v>268</v>
      </c>
      <c r="AD66" s="29" t="s">
        <v>269</v>
      </c>
      <c r="AE66" s="25"/>
      <c r="AF66" s="13"/>
      <c r="AG66" s="16" t="s">
        <v>182</v>
      </c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</row>
    <row r="67" spans="1:47" ht="25.5" customHeight="1">
      <c r="A67" s="22">
        <f t="shared" si="8"/>
        <v>63</v>
      </c>
      <c r="B67" s="22" t="str">
        <f t="shared" si="9"/>
        <v>Contact</v>
      </c>
      <c r="C67" s="23"/>
      <c r="D67" s="23"/>
      <c r="E67" s="13" t="s">
        <v>31</v>
      </c>
      <c r="F67" s="13" t="s">
        <v>176</v>
      </c>
      <c r="G67" s="24" t="s">
        <v>435</v>
      </c>
      <c r="H67" s="13" t="s">
        <v>204</v>
      </c>
      <c r="I67" s="13" t="s">
        <v>361</v>
      </c>
      <c r="J67" s="13"/>
      <c r="K67" s="22"/>
      <c r="L67" s="13" t="s">
        <v>267</v>
      </c>
      <c r="M67" s="13" t="s">
        <v>40</v>
      </c>
      <c r="N67" s="13"/>
      <c r="O67" s="22" t="s">
        <v>208</v>
      </c>
      <c r="P67" s="26">
        <f t="shared" si="10"/>
        <v>0</v>
      </c>
      <c r="Q67" s="27" t="str">
        <f t="shared" si="11"/>
        <v/>
      </c>
      <c r="R67" s="22" t="str">
        <f t="shared" ca="1" si="12"/>
        <v/>
      </c>
      <c r="S67" s="13" t="str">
        <f t="shared" si="13"/>
        <v>No Record</v>
      </c>
      <c r="T67" s="13" t="str">
        <f>IF(COUNT($AH67:$AU67)=0,"",LOOKUP(2,1/($AH67:$AU67&lt;&gt;""),{"①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7" s="22" t="str">
        <f t="shared" ca="1" si="14"/>
        <v/>
      </c>
      <c r="V67" s="22">
        <f>IF($G67="","",COUNTIF('Chase Log'!$B$4:$B$2000,$G67))</f>
        <v>1</v>
      </c>
      <c r="W67" s="27">
        <f>IF(N($V67)=0,"",_xlfn.MAXIFS('Chase Log'!$E$4:$E$2000,'Chase Log'!$B$4:$B$2000,$G67))</f>
        <v>46300</v>
      </c>
      <c r="X67" s="22">
        <f t="shared" ca="1" si="15"/>
        <v>25</v>
      </c>
      <c r="Y67" s="27">
        <f>IF($W67="","",IF(OR(AND($Q67&lt;&gt;"",N($Q67)&gt;N($W67)),COUNTIFS('Chase Log'!$B$4:$B$2000,$G67,'Chase Log'!$E$4:$E$2000,$W67,'Chase Log'!$I$4:$I$2000,"Y")&gt;0),"",IF(_xlfn.MAXIFS('Chase Log'!$J$4:$J$2000,'Chase Log'!$B$4:$B$2000,$G67,'Chase Log'!$E$4:$E$2000,$W67)=0,"",_xlfn.MAXIFS('Chase Log'!$J$4:$J$2000,'Chase Log'!$B$4:$B$2000,$G67,'Chase Log'!$E$4:$E$2000,$W67))))</f>
        <v>46307</v>
      </c>
      <c r="Z67" s="13" t="str">
        <f ca="1">IF(OR($G67="",N($P67)&gt;=1,$C67="Live",$D67&lt;&gt;""),"",IF(AND($Y67&lt;&gt;"",N($Y67)&gt;0),IF($Y67&lt;TODAY(),"Chase Overdue","Scheduled"),IF(AND($Q67&lt;&gt;"",N($R67)&gt;='안내 Guide'!$D$4,OR($X67="",N($X67)&gt;='안내 Guide'!$D$4)),"Chase Needed","")))</f>
        <v>Chase Overdue</v>
      </c>
      <c r="AA67" s="28"/>
      <c r="AB67" s="25"/>
      <c r="AC67" s="25" t="s">
        <v>268</v>
      </c>
      <c r="AD67" s="29" t="s">
        <v>269</v>
      </c>
      <c r="AE67" s="25"/>
      <c r="AF67" s="13"/>
      <c r="AG67" s="16" t="s">
        <v>182</v>
      </c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</row>
    <row r="68" spans="1:47" ht="25.5" customHeight="1">
      <c r="A68" s="22">
        <f t="shared" ref="A68:A98" si="16">IF($G68="","",ROW()-4)</f>
        <v>64</v>
      </c>
      <c r="B68" s="22" t="str">
        <f t="shared" ref="B68:B98" si="17">IF($G68="","",IF($C68&lt;&gt;"",$C68,IF($Q68="","Contact",IF($P68&gt;=1,"Live",IF($P68&gt;=0.8,"Pending Live",IF($P68&gt;=0.7,"Testing",IF($P68&gt;=0.45,"In Development",IF($P68&gt;=0.2,"NDA/Contract","Pipeline"))))))))</f>
        <v>Contact</v>
      </c>
      <c r="C68" s="23"/>
      <c r="D68" s="23"/>
      <c r="E68" s="13" t="s">
        <v>31</v>
      </c>
      <c r="F68" s="13" t="s">
        <v>176</v>
      </c>
      <c r="G68" s="24" t="s">
        <v>436</v>
      </c>
      <c r="H68" s="13" t="s">
        <v>204</v>
      </c>
      <c r="I68" s="13" t="s">
        <v>361</v>
      </c>
      <c r="J68" s="13"/>
      <c r="K68" s="22"/>
      <c r="L68" s="13" t="s">
        <v>178</v>
      </c>
      <c r="M68" s="13" t="s">
        <v>40</v>
      </c>
      <c r="N68" s="13"/>
      <c r="O68" s="22" t="s">
        <v>208</v>
      </c>
      <c r="P68" s="26">
        <f t="shared" ref="P68:P98" si="18">IF($G68="","",IFERROR(LOOKUP(2,1/($AH68:$AU68&lt;&gt;""),$AH$2:$AU$2),0))</f>
        <v>0</v>
      </c>
      <c r="Q68" s="27" t="str">
        <f t="shared" ref="Q68:Q98" si="19">IF(COUNT($AH68:$AU68)=0,"",MAX($AH68:$AU68))</f>
        <v/>
      </c>
      <c r="R68" s="22" t="str">
        <f t="shared" ref="R68:R98" ca="1" si="20">IF($Q68="","",TODAY()-$Q68)</f>
        <v/>
      </c>
      <c r="S68" s="13" t="str">
        <f t="shared" ref="S68:S98" si="21">IF($G68="","",IF($Q68="","No Record",IF(OR($P68&gt;=1,$C68="Live"),"Live",IF($R68&gt;=90,"Stalled 90d+",IF($R68&gt;=60,"Stalled 60d+",IF($R68&gt;=30,"Stalled 30d+","In Progress"))))))</f>
        <v>No Record</v>
      </c>
      <c r="T68" s="13" t="str">
        <f>IF(COUNT($AH68:$AU68)=0,"",LOOKUP(2,1/($AH68:$AU68&lt;&gt;""),{"①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8" s="22" t="str">
        <f t="shared" ref="U68:U98" ca="1" si="22">IF(COUNT($AH68:$AU68)=0,"",IF(N($P68)&gt;=1,MAX($AH68:$AU68),TODAY())-MIN($AH68:$AU68))</f>
        <v/>
      </c>
      <c r="V68" s="22">
        <f>IF($G68="","",COUNTIF('Chase Log'!$B$4:$B$2000,$G68))</f>
        <v>0</v>
      </c>
      <c r="W68" s="27" t="str">
        <f>IF(N($V68)=0,"",_xlfn.MAXIFS('Chase Log'!$E$4:$E$2000,'Chase Log'!$B$4:$B$2000,$G68))</f>
        <v/>
      </c>
      <c r="X68" s="22" t="str">
        <f t="shared" ref="X68:X98" ca="1" si="23">IF($W68="","",TODAY()-$W68)</f>
        <v/>
      </c>
      <c r="Y68" s="27" t="str">
        <f>IF($W68="","",IF(OR(AND($Q68&lt;&gt;"",N($Q68)&gt;N($W68)),COUNTIFS('Chase Log'!$B$4:$B$2000,$G68,'Chase Log'!$E$4:$E$2000,$W68,'Chase Log'!$I$4:$I$2000,"Y")&gt;0),"",IF(_xlfn.MAXIFS('Chase Log'!$J$4:$J$2000,'Chase Log'!$B$4:$B$2000,$G68,'Chase Log'!$E$4:$E$2000,$W68)=0,"",_xlfn.MAXIFS('Chase Log'!$J$4:$J$2000,'Chase Log'!$B$4:$B$2000,$G68,'Chase Log'!$E$4:$E$2000,$W68))))</f>
        <v/>
      </c>
      <c r="Z68" s="13" t="str">
        <f ca="1">IF(OR($G68="",N($P68)&gt;=1,$C68="Live",$D68&lt;&gt;""),"",IF(AND($Y68&lt;&gt;"",N($Y68)&gt;0),IF($Y68&lt;TODAY(),"Chase Overdue","Scheduled"),IF(AND($Q68&lt;&gt;"",N($R68)&gt;='안내 Guide'!$D$4,OR($X68="",N($X68)&gt;='안내 Guide'!$D$4)),"Chase Needed","")))</f>
        <v/>
      </c>
      <c r="AA68" s="28"/>
      <c r="AB68" s="25"/>
      <c r="AC68" s="25" t="s">
        <v>437</v>
      </c>
      <c r="AD68" s="29" t="s">
        <v>438</v>
      </c>
      <c r="AE68" s="25"/>
      <c r="AF68" s="13" t="s">
        <v>167</v>
      </c>
      <c r="AG68" s="16" t="s">
        <v>182</v>
      </c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</row>
    <row r="69" spans="1:47" ht="25.5" customHeight="1">
      <c r="A69" s="22">
        <f t="shared" si="16"/>
        <v>65</v>
      </c>
      <c r="B69" s="22" t="str">
        <f t="shared" si="17"/>
        <v>Contact</v>
      </c>
      <c r="C69" s="23"/>
      <c r="D69" s="23"/>
      <c r="E69" s="13" t="s">
        <v>35</v>
      </c>
      <c r="F69" s="13" t="s">
        <v>439</v>
      </c>
      <c r="G69" s="24" t="s">
        <v>440</v>
      </c>
      <c r="H69" s="13" t="s">
        <v>204</v>
      </c>
      <c r="I69" s="13" t="s">
        <v>361</v>
      </c>
      <c r="J69" s="13"/>
      <c r="K69" s="22"/>
      <c r="L69" s="13" t="s">
        <v>207</v>
      </c>
      <c r="M69" s="13" t="s">
        <v>40</v>
      </c>
      <c r="N69" s="13"/>
      <c r="O69" s="22" t="s">
        <v>208</v>
      </c>
      <c r="P69" s="26">
        <f t="shared" si="18"/>
        <v>0</v>
      </c>
      <c r="Q69" s="27" t="str">
        <f t="shared" si="19"/>
        <v/>
      </c>
      <c r="R69" s="22" t="str">
        <f t="shared" ca="1" si="20"/>
        <v/>
      </c>
      <c r="S69" s="13" t="str">
        <f t="shared" si="21"/>
        <v>No Record</v>
      </c>
      <c r="T69" s="13" t="str">
        <f>IF(COUNT($AH69:$AU69)=0,"",LOOKUP(2,1/($AH69:$AU69&lt;&gt;""),{"①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U69" s="22" t="str">
        <f t="shared" ca="1" si="22"/>
        <v/>
      </c>
      <c r="V69" s="22">
        <f>IF($G69="","",COUNTIF('Chase Log'!$B$4:$B$2000,$G69))</f>
        <v>4</v>
      </c>
      <c r="W69" s="27">
        <f>IF(N($V69)=0,"",_xlfn.MAXIFS('Chase Log'!$E$4:$E$2000,'Chase Log'!$B$4:$B$2000,$G69))</f>
        <v>46325</v>
      </c>
      <c r="X69" s="22">
        <f t="shared" ca="1" si="23"/>
        <v>0</v>
      </c>
      <c r="Y69" s="27">
        <f>IF($W69="","",IF(OR(AND($Q69&lt;&gt;"",N($Q69)&gt;N($W69)),COUNTIFS('Chase Log'!$B$4:$B$2000,$G69,'Chase Log'!$E$4:$E$2000,$W69,'Chase Log'!$I$4:$I$2000,"Y")&gt;0),"",IF(_xlfn.MAXIFS('Chase Log'!$J$4:$J$2000,'Chase Log'!$B$4:$B$2000,$G69,'Chase Log'!$E$4:$E$2000,$W69)=0,"",_xlfn.MAXIFS('Chase Log'!$J$4:$J$2000,'Chase Log'!$B$4:$B$2000,$G69,'Chase Log'!$E$4:$E$2000,$W69))))</f>
        <v>46332</v>
      </c>
      <c r="Z69" s="13" t="str">
        <f ca="1">IF(OR($G69="",N($P69)&gt;=1,$C69="Live",$D69&lt;&gt;""),"",IF(AND($Y69&lt;&gt;"",N($Y69)&gt;0),IF($Y69&lt;TODAY(),"Chase Overdue","Scheduled"),IF(AND($Q69&lt;&gt;"",N($R69)&gt;='안내 Guide'!$D$4,OR($X69="",N($X69)&gt;='안내 Guide'!$D$4)),"Chase Needed","")))</f>
        <v>Scheduled</v>
      </c>
      <c r="AA69" s="28"/>
      <c r="AB69" s="25"/>
      <c r="AC69" s="25" t="s">
        <v>441</v>
      </c>
      <c r="AD69" s="29" t="s">
        <v>442</v>
      </c>
      <c r="AE69" s="25"/>
      <c r="AF69" s="13" t="s">
        <v>443</v>
      </c>
      <c r="AG69" s="16" t="s">
        <v>182</v>
      </c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</row>
    <row r="70" spans="1:47" ht="25.5" customHeight="1">
      <c r="A70" s="22">
        <f t="shared" si="16"/>
        <v>66</v>
      </c>
      <c r="B70" s="22" t="str">
        <f t="shared" si="17"/>
        <v>Live</v>
      </c>
      <c r="C70" s="23"/>
      <c r="D70" s="23"/>
      <c r="E70" s="13" t="s">
        <v>27</v>
      </c>
      <c r="F70" s="13" t="s">
        <v>184</v>
      </c>
      <c r="G70" s="24" t="s">
        <v>444</v>
      </c>
      <c r="H70" s="13" t="s">
        <v>204</v>
      </c>
      <c r="I70" s="13" t="s">
        <v>285</v>
      </c>
      <c r="J70" s="13" t="s">
        <v>206</v>
      </c>
      <c r="K70" s="22" t="s">
        <v>160</v>
      </c>
      <c r="L70" s="13" t="s">
        <v>161</v>
      </c>
      <c r="M70" s="13" t="s">
        <v>42</v>
      </c>
      <c r="N70" s="13" t="s">
        <v>196</v>
      </c>
      <c r="O70" s="22" t="s">
        <v>208</v>
      </c>
      <c r="P70" s="26">
        <f t="shared" si="18"/>
        <v>1</v>
      </c>
      <c r="Q70" s="27">
        <f t="shared" si="19"/>
        <v>46288</v>
      </c>
      <c r="R70" s="22">
        <f t="shared" ca="1" si="20"/>
        <v>37</v>
      </c>
      <c r="S70" s="13" t="str">
        <f t="shared" si="21"/>
        <v>Live</v>
      </c>
      <c r="T70" s="13" t="str">
        <f>IF(COUNT($AH70:$AU70)=0,"",LOOKUP(2,1/($AH70:$AU70&lt;&gt;""),{"①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0" s="22">
        <f t="shared" ca="1" si="22"/>
        <v>35</v>
      </c>
      <c r="V70" s="22">
        <f>IF($G70="","",COUNTIF('Chase Log'!$B$4:$B$2000,$G70))</f>
        <v>0</v>
      </c>
      <c r="W70" s="27" t="str">
        <f>IF(N($V70)=0,"",_xlfn.MAXIFS('Chase Log'!$E$4:$E$2000,'Chase Log'!$B$4:$B$2000,$G70))</f>
        <v/>
      </c>
      <c r="X70" s="22" t="str">
        <f t="shared" ca="1" si="23"/>
        <v/>
      </c>
      <c r="Y70" s="27" t="str">
        <f>IF($W70="","",IF(OR(AND($Q70&lt;&gt;"",N($Q70)&gt;N($W70)),COUNTIFS('Chase Log'!$B$4:$B$2000,$G70,'Chase Log'!$E$4:$E$2000,$W70,'Chase Log'!$I$4:$I$2000,"Y")&gt;0),"",IF(_xlfn.MAXIFS('Chase Log'!$J$4:$J$2000,'Chase Log'!$B$4:$B$2000,$G70,'Chase Log'!$E$4:$E$2000,$W70)=0,"",_xlfn.MAXIFS('Chase Log'!$J$4:$J$2000,'Chase Log'!$B$4:$B$2000,$G70,'Chase Log'!$E$4:$E$2000,$W70))))</f>
        <v/>
      </c>
      <c r="Z70" s="13" t="str">
        <f ca="1">IF(OR($G70="",N($P70)&gt;=1,$C70="Live",$D70&lt;&gt;""),"",IF(AND($Y70&lt;&gt;"",N($Y70)&gt;0),IF($Y70&lt;TODAY(),"Chase Overdue","Scheduled"),IF(AND($Q70&lt;&gt;"",N($R70)&gt;='안내 Guide'!$D$4,OR($X70="",N($X70)&gt;='안내 Guide'!$D$4)),"Chase Needed","")))</f>
        <v/>
      </c>
      <c r="AA70" s="28"/>
      <c r="AB70" s="25"/>
      <c r="AC70" s="25" t="s">
        <v>445</v>
      </c>
      <c r="AD70" s="29" t="s">
        <v>446</v>
      </c>
      <c r="AE70" s="25"/>
      <c r="AF70" s="13" t="s">
        <v>238</v>
      </c>
      <c r="AG70" s="16" t="s">
        <v>168</v>
      </c>
      <c r="AH70" s="30">
        <v>46253</v>
      </c>
      <c r="AI70" s="30">
        <v>46253</v>
      </c>
      <c r="AJ70" s="30">
        <v>46253</v>
      </c>
      <c r="AK70" s="30">
        <v>46253</v>
      </c>
      <c r="AL70" s="30">
        <v>46253</v>
      </c>
      <c r="AM70" s="30">
        <v>46253</v>
      </c>
      <c r="AN70" s="30">
        <v>46253</v>
      </c>
      <c r="AO70" s="30">
        <v>46253</v>
      </c>
      <c r="AP70" s="30">
        <v>46253</v>
      </c>
      <c r="AQ70" s="30">
        <v>46253</v>
      </c>
      <c r="AR70" s="30">
        <v>46253</v>
      </c>
      <c r="AS70" s="30">
        <v>46253</v>
      </c>
      <c r="AT70" s="30">
        <v>46287</v>
      </c>
      <c r="AU70" s="30">
        <v>46288</v>
      </c>
    </row>
    <row r="71" spans="1:47" ht="25.5" customHeight="1">
      <c r="A71" s="22">
        <f t="shared" si="16"/>
        <v>67</v>
      </c>
      <c r="B71" s="22" t="str">
        <f t="shared" si="17"/>
        <v>Live</v>
      </c>
      <c r="C71" s="23"/>
      <c r="D71" s="23"/>
      <c r="E71" s="13" t="s">
        <v>27</v>
      </c>
      <c r="F71" s="13" t="s">
        <v>184</v>
      </c>
      <c r="G71" s="24" t="s">
        <v>447</v>
      </c>
      <c r="H71" s="13" t="s">
        <v>204</v>
      </c>
      <c r="I71" s="13" t="s">
        <v>285</v>
      </c>
      <c r="J71" s="13" t="s">
        <v>206</v>
      </c>
      <c r="K71" s="22"/>
      <c r="L71" s="13" t="s">
        <v>187</v>
      </c>
      <c r="M71" s="13" t="s">
        <v>42</v>
      </c>
      <c r="N71" s="13" t="s">
        <v>196</v>
      </c>
      <c r="O71" s="22" t="s">
        <v>208</v>
      </c>
      <c r="P71" s="26">
        <f t="shared" si="18"/>
        <v>1</v>
      </c>
      <c r="Q71" s="27">
        <f t="shared" si="19"/>
        <v>46029</v>
      </c>
      <c r="R71" s="22">
        <f t="shared" ca="1" si="20"/>
        <v>296</v>
      </c>
      <c r="S71" s="13" t="str">
        <f t="shared" si="21"/>
        <v>Live</v>
      </c>
      <c r="T71" s="13" t="str">
        <f>IF(COUNT($AH71:$AU71)=0,"",LOOKUP(2,1/($AH71:$AU71&lt;&gt;""),{"①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1" s="22">
        <f t="shared" ca="1" si="22"/>
        <v>38</v>
      </c>
      <c r="V71" s="22">
        <f>IF($G71="","",COUNTIF('Chase Log'!$B$4:$B$2000,$G71))</f>
        <v>0</v>
      </c>
      <c r="W71" s="27" t="str">
        <f>IF(N($V71)=0,"",_xlfn.MAXIFS('Chase Log'!$E$4:$E$2000,'Chase Log'!$B$4:$B$2000,$G71))</f>
        <v/>
      </c>
      <c r="X71" s="22" t="str">
        <f t="shared" ca="1" si="23"/>
        <v/>
      </c>
      <c r="Y71" s="27" t="str">
        <f>IF($W71="","",IF(OR(AND($Q71&lt;&gt;"",N($Q71)&gt;N($W71)),COUNTIFS('Chase Log'!$B$4:$B$2000,$G71,'Chase Log'!$E$4:$E$2000,$W71,'Chase Log'!$I$4:$I$2000,"Y")&gt;0),"",IF(_xlfn.MAXIFS('Chase Log'!$J$4:$J$2000,'Chase Log'!$B$4:$B$2000,$G71,'Chase Log'!$E$4:$E$2000,$W71)=0,"",_xlfn.MAXIFS('Chase Log'!$J$4:$J$2000,'Chase Log'!$B$4:$B$2000,$G71,'Chase Log'!$E$4:$E$2000,$W71))))</f>
        <v/>
      </c>
      <c r="Z71" s="13" t="str">
        <f ca="1">IF(OR($G71="",N($P71)&gt;=1,$C71="Live",$D71&lt;&gt;""),"",IF(AND($Y71&lt;&gt;"",N($Y71)&gt;0),IF($Y71&lt;TODAY(),"Chase Overdue","Scheduled"),IF(AND($Q71&lt;&gt;"",N($R71)&gt;='안내 Guide'!$D$4,OR($X71="",N($X71)&gt;='안내 Guide'!$D$4)),"Chase Needed","")))</f>
        <v/>
      </c>
      <c r="AA71" s="28"/>
      <c r="AB71" s="25"/>
      <c r="AC71" s="25"/>
      <c r="AD71" s="29"/>
      <c r="AE71" s="25"/>
      <c r="AF71" s="13"/>
      <c r="AG71" s="16" t="s">
        <v>168</v>
      </c>
      <c r="AH71" s="30">
        <v>45991</v>
      </c>
      <c r="AI71" s="30">
        <v>45991</v>
      </c>
      <c r="AJ71" s="30">
        <v>45991</v>
      </c>
      <c r="AK71" s="30">
        <v>45991</v>
      </c>
      <c r="AL71" s="30">
        <v>45991</v>
      </c>
      <c r="AM71" s="30">
        <v>45992</v>
      </c>
      <c r="AN71" s="30">
        <v>45992</v>
      </c>
      <c r="AO71" s="30">
        <v>45992</v>
      </c>
      <c r="AP71" s="30">
        <v>46024</v>
      </c>
      <c r="AQ71" s="30">
        <v>46025</v>
      </c>
      <c r="AR71" s="30">
        <v>46026</v>
      </c>
      <c r="AS71" s="30">
        <v>46027</v>
      </c>
      <c r="AT71" s="30">
        <v>46028</v>
      </c>
      <c r="AU71" s="30">
        <v>46029</v>
      </c>
    </row>
    <row r="72" spans="1:47" ht="25.5" customHeight="1">
      <c r="A72" s="22">
        <f t="shared" si="16"/>
        <v>68</v>
      </c>
      <c r="B72" s="22" t="str">
        <f t="shared" si="17"/>
        <v>Live</v>
      </c>
      <c r="C72" s="23"/>
      <c r="D72" s="23"/>
      <c r="E72" s="13" t="s">
        <v>27</v>
      </c>
      <c r="F72" s="13" t="s">
        <v>184</v>
      </c>
      <c r="G72" s="24" t="s">
        <v>448</v>
      </c>
      <c r="H72" s="13" t="s">
        <v>204</v>
      </c>
      <c r="I72" s="13" t="s">
        <v>285</v>
      </c>
      <c r="J72" s="13" t="s">
        <v>206</v>
      </c>
      <c r="K72" s="22"/>
      <c r="L72" s="13" t="s">
        <v>449</v>
      </c>
      <c r="M72" s="13" t="s">
        <v>42</v>
      </c>
      <c r="N72" s="13" t="s">
        <v>196</v>
      </c>
      <c r="O72" s="22" t="s">
        <v>208</v>
      </c>
      <c r="P72" s="26">
        <f t="shared" si="18"/>
        <v>1</v>
      </c>
      <c r="Q72" s="27">
        <f t="shared" si="19"/>
        <v>45959</v>
      </c>
      <c r="R72" s="22">
        <f t="shared" ca="1" si="20"/>
        <v>366</v>
      </c>
      <c r="S72" s="13" t="str">
        <f t="shared" si="21"/>
        <v>Live</v>
      </c>
      <c r="T72" s="13" t="str">
        <f>IF(COUNT($AH72:$AU72)=0,"",LOOKUP(2,1/($AH72:$AU72&lt;&gt;""),{"①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2" s="22">
        <f t="shared" ca="1" si="22"/>
        <v>13</v>
      </c>
      <c r="V72" s="22">
        <f>IF($G72="","",COUNTIF('Chase Log'!$B$4:$B$2000,$G72))</f>
        <v>0</v>
      </c>
      <c r="W72" s="27" t="str">
        <f>IF(N($V72)=0,"",_xlfn.MAXIFS('Chase Log'!$E$4:$E$2000,'Chase Log'!$B$4:$B$2000,$G72))</f>
        <v/>
      </c>
      <c r="X72" s="22" t="str">
        <f t="shared" ca="1" si="23"/>
        <v/>
      </c>
      <c r="Y72" s="27" t="str">
        <f>IF($W72="","",IF(OR(AND($Q72&lt;&gt;"",N($Q72)&gt;N($W72)),COUNTIFS('Chase Log'!$B$4:$B$2000,$G72,'Chase Log'!$E$4:$E$2000,$W72,'Chase Log'!$I$4:$I$2000,"Y")&gt;0),"",IF(_xlfn.MAXIFS('Chase Log'!$J$4:$J$2000,'Chase Log'!$B$4:$B$2000,$G72,'Chase Log'!$E$4:$E$2000,$W72)=0,"",_xlfn.MAXIFS('Chase Log'!$J$4:$J$2000,'Chase Log'!$B$4:$B$2000,$G72,'Chase Log'!$E$4:$E$2000,$W72))))</f>
        <v/>
      </c>
      <c r="Z72" s="13" t="str">
        <f ca="1">IF(OR($G72="",N($P72)&gt;=1,$C72="Live",$D72&lt;&gt;""),"",IF(AND($Y72&lt;&gt;"",N($Y72)&gt;0),IF($Y72&lt;TODAY(),"Chase Overdue","Scheduled"),IF(AND($Q72&lt;&gt;"",N($R72)&gt;='안내 Guide'!$D$4,OR($X72="",N($X72)&gt;='안내 Guide'!$D$4)),"Chase Needed","")))</f>
        <v/>
      </c>
      <c r="AA72" s="28"/>
      <c r="AB72" s="25"/>
      <c r="AC72" s="25" t="s">
        <v>450</v>
      </c>
      <c r="AD72" s="29" t="s">
        <v>451</v>
      </c>
      <c r="AE72" s="25"/>
      <c r="AF72" s="13" t="s">
        <v>452</v>
      </c>
      <c r="AG72" s="16" t="s">
        <v>168</v>
      </c>
      <c r="AH72" s="30">
        <v>45946</v>
      </c>
      <c r="AI72" s="30">
        <v>45947</v>
      </c>
      <c r="AJ72" s="30">
        <v>45948</v>
      </c>
      <c r="AK72" s="30">
        <v>45949</v>
      </c>
      <c r="AL72" s="30">
        <v>45950</v>
      </c>
      <c r="AM72" s="30">
        <v>45951</v>
      </c>
      <c r="AN72" s="30">
        <v>45952</v>
      </c>
      <c r="AO72" s="30">
        <v>45953</v>
      </c>
      <c r="AP72" s="30">
        <v>45954</v>
      </c>
      <c r="AQ72" s="30">
        <v>45955</v>
      </c>
      <c r="AR72" s="30">
        <v>45956</v>
      </c>
      <c r="AS72" s="30">
        <v>45957</v>
      </c>
      <c r="AT72" s="30">
        <v>45958</v>
      </c>
      <c r="AU72" s="30">
        <v>45959</v>
      </c>
    </row>
    <row r="73" spans="1:47" ht="25.5" customHeight="1">
      <c r="A73" s="22">
        <f t="shared" si="16"/>
        <v>69</v>
      </c>
      <c r="B73" s="22" t="str">
        <f t="shared" si="17"/>
        <v>Live</v>
      </c>
      <c r="C73" s="23"/>
      <c r="D73" s="23"/>
      <c r="E73" s="13" t="s">
        <v>27</v>
      </c>
      <c r="F73" s="13" t="s">
        <v>184</v>
      </c>
      <c r="G73" s="24" t="s">
        <v>453</v>
      </c>
      <c r="H73" s="13" t="s">
        <v>204</v>
      </c>
      <c r="I73" s="13" t="s">
        <v>285</v>
      </c>
      <c r="J73" s="13" t="s">
        <v>206</v>
      </c>
      <c r="K73" s="22"/>
      <c r="L73" s="13" t="s">
        <v>449</v>
      </c>
      <c r="M73" s="13" t="s">
        <v>42</v>
      </c>
      <c r="N73" s="13" t="s">
        <v>196</v>
      </c>
      <c r="O73" s="22" t="s">
        <v>208</v>
      </c>
      <c r="P73" s="26">
        <f t="shared" si="18"/>
        <v>1</v>
      </c>
      <c r="Q73" s="27">
        <f t="shared" si="19"/>
        <v>46149</v>
      </c>
      <c r="R73" s="22">
        <f t="shared" ca="1" si="20"/>
        <v>176</v>
      </c>
      <c r="S73" s="13" t="str">
        <f t="shared" si="21"/>
        <v>Live</v>
      </c>
      <c r="T73" s="13" t="str">
        <f>IF(COUNT($AH73:$AU73)=0,"",LOOKUP(2,1/($AH73:$AU73&lt;&gt;""),{"①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3" s="22">
        <f t="shared" ca="1" si="22"/>
        <v>223</v>
      </c>
      <c r="V73" s="22">
        <f>IF($G73="","",COUNTIF('Chase Log'!$B$4:$B$2000,$G73))</f>
        <v>0</v>
      </c>
      <c r="W73" s="27" t="str">
        <f>IF(N($V73)=0,"",_xlfn.MAXIFS('Chase Log'!$E$4:$E$2000,'Chase Log'!$B$4:$B$2000,$G73))</f>
        <v/>
      </c>
      <c r="X73" s="22" t="str">
        <f t="shared" ca="1" si="23"/>
        <v/>
      </c>
      <c r="Y73" s="27" t="str">
        <f>IF($W73="","",IF(OR(AND($Q73&lt;&gt;"",N($Q73)&gt;N($W73)),COUNTIFS('Chase Log'!$B$4:$B$2000,$G73,'Chase Log'!$E$4:$E$2000,$W73,'Chase Log'!$I$4:$I$2000,"Y")&gt;0),"",IF(_xlfn.MAXIFS('Chase Log'!$J$4:$J$2000,'Chase Log'!$B$4:$B$2000,$G73,'Chase Log'!$E$4:$E$2000,$W73)=0,"",_xlfn.MAXIFS('Chase Log'!$J$4:$J$2000,'Chase Log'!$B$4:$B$2000,$G73,'Chase Log'!$E$4:$E$2000,$W73))))</f>
        <v/>
      </c>
      <c r="Z73" s="13" t="str">
        <f ca="1">IF(OR($G73="",N($P73)&gt;=1,$C73="Live",$D73&lt;&gt;""),"",IF(AND($Y73&lt;&gt;"",N($Y73)&gt;0),IF($Y73&lt;TODAY(),"Chase Overdue","Scheduled"),IF(AND($Q73&lt;&gt;"",N($R73)&gt;='안내 Guide'!$D$4,OR($X73="",N($X73)&gt;='안내 Guide'!$D$4)),"Chase Needed","")))</f>
        <v/>
      </c>
      <c r="AA73" s="28"/>
      <c r="AB73" s="25"/>
      <c r="AC73" s="25" t="s">
        <v>454</v>
      </c>
      <c r="AD73" s="29" t="s">
        <v>455</v>
      </c>
      <c r="AE73" s="25"/>
      <c r="AF73" s="13" t="s">
        <v>401</v>
      </c>
      <c r="AG73" s="16" t="s">
        <v>168</v>
      </c>
      <c r="AH73" s="30">
        <v>45926</v>
      </c>
      <c r="AI73" s="30">
        <v>45926</v>
      </c>
      <c r="AJ73" s="30">
        <v>45926</v>
      </c>
      <c r="AK73" s="30">
        <v>45926</v>
      </c>
      <c r="AL73" s="30">
        <v>46031</v>
      </c>
      <c r="AM73" s="30">
        <v>46031</v>
      </c>
      <c r="AN73" s="30">
        <v>46029</v>
      </c>
      <c r="AO73" s="30">
        <v>46029</v>
      </c>
      <c r="AP73" s="30">
        <v>46141</v>
      </c>
      <c r="AQ73" s="30">
        <v>46149</v>
      </c>
      <c r="AR73" s="30">
        <v>46029</v>
      </c>
      <c r="AS73" s="30">
        <v>46029</v>
      </c>
      <c r="AT73" s="30">
        <v>46029</v>
      </c>
      <c r="AU73" s="30">
        <v>46029</v>
      </c>
    </row>
    <row r="74" spans="1:47" ht="25.5" customHeight="1">
      <c r="A74" s="22">
        <f t="shared" si="16"/>
        <v>70</v>
      </c>
      <c r="B74" s="22" t="str">
        <f t="shared" si="17"/>
        <v>Live</v>
      </c>
      <c r="C74" s="23"/>
      <c r="D74" s="23"/>
      <c r="E74" s="13" t="s">
        <v>27</v>
      </c>
      <c r="F74" s="13" t="s">
        <v>184</v>
      </c>
      <c r="G74" s="24" t="s">
        <v>456</v>
      </c>
      <c r="H74" s="13" t="s">
        <v>204</v>
      </c>
      <c r="I74" s="13" t="s">
        <v>285</v>
      </c>
      <c r="J74" s="13" t="s">
        <v>206</v>
      </c>
      <c r="K74" s="22"/>
      <c r="L74" s="13" t="s">
        <v>449</v>
      </c>
      <c r="M74" s="13" t="s">
        <v>42</v>
      </c>
      <c r="N74" s="13" t="s">
        <v>196</v>
      </c>
      <c r="O74" s="22" t="s">
        <v>208</v>
      </c>
      <c r="P74" s="26">
        <f t="shared" si="18"/>
        <v>1</v>
      </c>
      <c r="Q74" s="27">
        <f t="shared" si="19"/>
        <v>45959</v>
      </c>
      <c r="R74" s="22">
        <f t="shared" ca="1" si="20"/>
        <v>366</v>
      </c>
      <c r="S74" s="13" t="str">
        <f t="shared" si="21"/>
        <v>Live</v>
      </c>
      <c r="T74" s="13" t="str">
        <f>IF(COUNT($AH74:$AU74)=0,"",LOOKUP(2,1/($AH74:$AU74&lt;&gt;""),{"①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4" s="22">
        <f t="shared" ca="1" si="22"/>
        <v>13</v>
      </c>
      <c r="V74" s="22">
        <f>IF($G74="","",COUNTIF('Chase Log'!$B$4:$B$2000,$G74))</f>
        <v>1</v>
      </c>
      <c r="W74" s="27">
        <f>IF(N($V74)=0,"",_xlfn.MAXIFS('Chase Log'!$E$4:$E$2000,'Chase Log'!$B$4:$B$2000,$G74))</f>
        <v>46322</v>
      </c>
      <c r="X74" s="22">
        <f t="shared" ca="1" si="23"/>
        <v>3</v>
      </c>
      <c r="Y74" s="27">
        <f>IF($W74="","",IF(OR(AND($Q74&lt;&gt;"",N($Q74)&gt;N($W74)),COUNTIFS('Chase Log'!$B$4:$B$2000,$G74,'Chase Log'!$E$4:$E$2000,$W74,'Chase Log'!$I$4:$I$2000,"Y")&gt;0),"",IF(_xlfn.MAXIFS('Chase Log'!$J$4:$J$2000,'Chase Log'!$B$4:$B$2000,$G74,'Chase Log'!$E$4:$E$2000,$W74)=0,"",_xlfn.MAXIFS('Chase Log'!$J$4:$J$2000,'Chase Log'!$B$4:$B$2000,$G74,'Chase Log'!$E$4:$E$2000,$W74))))</f>
        <v>46329</v>
      </c>
      <c r="Z74" s="13" t="str">
        <f ca="1">IF(OR($G74="",N($P74)&gt;=1,$C74="Live",$D74&lt;&gt;""),"",IF(AND($Y74&lt;&gt;"",N($Y74)&gt;0),IF($Y74&lt;TODAY(),"Chase Overdue","Scheduled"),IF(AND($Q74&lt;&gt;"",N($R74)&gt;='안내 Guide'!$D$4,OR($X74="",N($X74)&gt;='안내 Guide'!$D$4)),"Chase Needed","")))</f>
        <v/>
      </c>
      <c r="AA74" s="28"/>
      <c r="AB74" s="25"/>
      <c r="AC74" s="25" t="s">
        <v>457</v>
      </c>
      <c r="AD74" s="29" t="s">
        <v>458</v>
      </c>
      <c r="AE74" s="25"/>
      <c r="AF74" s="13" t="s">
        <v>255</v>
      </c>
      <c r="AG74" s="16" t="s">
        <v>168</v>
      </c>
      <c r="AH74" s="30">
        <v>45946</v>
      </c>
      <c r="AI74" s="30">
        <v>45947</v>
      </c>
      <c r="AJ74" s="30">
        <v>45948</v>
      </c>
      <c r="AK74" s="30">
        <v>45949</v>
      </c>
      <c r="AL74" s="30">
        <v>45950</v>
      </c>
      <c r="AM74" s="30">
        <v>45951</v>
      </c>
      <c r="AN74" s="30">
        <v>45952</v>
      </c>
      <c r="AO74" s="30">
        <v>45953</v>
      </c>
      <c r="AP74" s="30">
        <v>45954</v>
      </c>
      <c r="AQ74" s="30">
        <v>45955</v>
      </c>
      <c r="AR74" s="30">
        <v>45956</v>
      </c>
      <c r="AS74" s="30">
        <v>45957</v>
      </c>
      <c r="AT74" s="30">
        <v>45958</v>
      </c>
      <c r="AU74" s="30">
        <v>45959</v>
      </c>
    </row>
    <row r="75" spans="1:47" ht="25.5" customHeight="1">
      <c r="A75" s="22">
        <f t="shared" si="16"/>
        <v>71</v>
      </c>
      <c r="B75" s="22" t="str">
        <f t="shared" si="17"/>
        <v>Live</v>
      </c>
      <c r="C75" s="23"/>
      <c r="D75" s="23"/>
      <c r="E75" s="13" t="s">
        <v>27</v>
      </c>
      <c r="F75" s="13" t="s">
        <v>184</v>
      </c>
      <c r="G75" s="24" t="s">
        <v>459</v>
      </c>
      <c r="H75" s="13" t="s">
        <v>204</v>
      </c>
      <c r="I75" s="13" t="s">
        <v>285</v>
      </c>
      <c r="J75" s="13" t="s">
        <v>206</v>
      </c>
      <c r="K75" s="22"/>
      <c r="L75" s="13" t="s">
        <v>449</v>
      </c>
      <c r="M75" s="13" t="s">
        <v>42</v>
      </c>
      <c r="N75" s="13" t="s">
        <v>196</v>
      </c>
      <c r="O75" s="22" t="s">
        <v>208</v>
      </c>
      <c r="P75" s="26">
        <f t="shared" si="18"/>
        <v>1</v>
      </c>
      <c r="Q75" s="27">
        <f t="shared" si="19"/>
        <v>45959</v>
      </c>
      <c r="R75" s="22">
        <f t="shared" ca="1" si="20"/>
        <v>366</v>
      </c>
      <c r="S75" s="13" t="str">
        <f t="shared" si="21"/>
        <v>Live</v>
      </c>
      <c r="T75" s="13" t="str">
        <f>IF(COUNT($AH75:$AU75)=0,"",LOOKUP(2,1/($AH75:$AU75&lt;&gt;""),{"①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5" s="22">
        <f t="shared" ca="1" si="22"/>
        <v>13</v>
      </c>
      <c r="V75" s="22">
        <f>IF($G75="","",COUNTIF('Chase Log'!$B$4:$B$2000,$G75))</f>
        <v>0</v>
      </c>
      <c r="W75" s="27" t="str">
        <f>IF(N($V75)=0,"",_xlfn.MAXIFS('Chase Log'!$E$4:$E$2000,'Chase Log'!$B$4:$B$2000,$G75))</f>
        <v/>
      </c>
      <c r="X75" s="22" t="str">
        <f t="shared" ca="1" si="23"/>
        <v/>
      </c>
      <c r="Y75" s="27" t="str">
        <f>IF($W75="","",IF(OR(AND($Q75&lt;&gt;"",N($Q75)&gt;N($W75)),COUNTIFS('Chase Log'!$B$4:$B$2000,$G75,'Chase Log'!$E$4:$E$2000,$W75,'Chase Log'!$I$4:$I$2000,"Y")&gt;0),"",IF(_xlfn.MAXIFS('Chase Log'!$J$4:$J$2000,'Chase Log'!$B$4:$B$2000,$G75,'Chase Log'!$E$4:$E$2000,$W75)=0,"",_xlfn.MAXIFS('Chase Log'!$J$4:$J$2000,'Chase Log'!$B$4:$B$2000,$G75,'Chase Log'!$E$4:$E$2000,$W75))))</f>
        <v/>
      </c>
      <c r="Z75" s="13" t="str">
        <f ca="1">IF(OR($G75="",N($P75)&gt;=1,$C75="Live",$D75&lt;&gt;""),"",IF(AND($Y75&lt;&gt;"",N($Y75)&gt;0),IF($Y75&lt;TODAY(),"Chase Overdue","Scheduled"),IF(AND($Q75&lt;&gt;"",N($R75)&gt;='안내 Guide'!$D$4,OR($X75="",N($X75)&gt;='안내 Guide'!$D$4)),"Chase Needed","")))</f>
        <v/>
      </c>
      <c r="AA75" s="28"/>
      <c r="AB75" s="25"/>
      <c r="AC75" s="25" t="s">
        <v>460</v>
      </c>
      <c r="AD75" s="29" t="s">
        <v>461</v>
      </c>
      <c r="AE75" s="25"/>
      <c r="AF75" s="13" t="s">
        <v>462</v>
      </c>
      <c r="AG75" s="16" t="s">
        <v>168</v>
      </c>
      <c r="AH75" s="30">
        <v>45946</v>
      </c>
      <c r="AI75" s="30">
        <v>45947</v>
      </c>
      <c r="AJ75" s="30">
        <v>45948</v>
      </c>
      <c r="AK75" s="30">
        <v>45949</v>
      </c>
      <c r="AL75" s="30">
        <v>45950</v>
      </c>
      <c r="AM75" s="30">
        <v>45951</v>
      </c>
      <c r="AN75" s="30">
        <v>45952</v>
      </c>
      <c r="AO75" s="30">
        <v>45953</v>
      </c>
      <c r="AP75" s="30">
        <v>45954</v>
      </c>
      <c r="AQ75" s="30">
        <v>45955</v>
      </c>
      <c r="AR75" s="30">
        <v>45956</v>
      </c>
      <c r="AS75" s="30">
        <v>45957</v>
      </c>
      <c r="AT75" s="30">
        <v>45958</v>
      </c>
      <c r="AU75" s="30">
        <v>45959</v>
      </c>
    </row>
    <row r="76" spans="1:47" ht="25.5" customHeight="1">
      <c r="A76" s="22">
        <f t="shared" si="16"/>
        <v>72</v>
      </c>
      <c r="B76" s="22" t="str">
        <f t="shared" si="17"/>
        <v>Live</v>
      </c>
      <c r="C76" s="23"/>
      <c r="D76" s="23"/>
      <c r="E76" s="13" t="s">
        <v>27</v>
      </c>
      <c r="F76" s="13" t="s">
        <v>184</v>
      </c>
      <c r="G76" s="24" t="s">
        <v>463</v>
      </c>
      <c r="H76" s="13" t="s">
        <v>204</v>
      </c>
      <c r="I76" s="13" t="s">
        <v>285</v>
      </c>
      <c r="J76" s="13" t="s">
        <v>206</v>
      </c>
      <c r="K76" s="22"/>
      <c r="L76" s="13" t="s">
        <v>449</v>
      </c>
      <c r="M76" s="13" t="s">
        <v>42</v>
      </c>
      <c r="N76" s="13" t="s">
        <v>196</v>
      </c>
      <c r="O76" s="22" t="s">
        <v>208</v>
      </c>
      <c r="P76" s="26">
        <f t="shared" si="18"/>
        <v>1</v>
      </c>
      <c r="Q76" s="27">
        <f t="shared" si="19"/>
        <v>45959</v>
      </c>
      <c r="R76" s="22">
        <f t="shared" ca="1" si="20"/>
        <v>366</v>
      </c>
      <c r="S76" s="13" t="str">
        <f t="shared" si="21"/>
        <v>Live</v>
      </c>
      <c r="T76" s="13" t="str">
        <f>IF(COUNT($AH76:$AU76)=0,"",LOOKUP(2,1/($AH76:$AU76&lt;&gt;""),{"①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6" s="22">
        <f t="shared" ca="1" si="22"/>
        <v>13</v>
      </c>
      <c r="V76" s="22">
        <f>IF($G76="","",COUNTIF('Chase Log'!$B$4:$B$2000,$G76))</f>
        <v>1</v>
      </c>
      <c r="W76" s="27">
        <f>IF(N($V76)=0,"",_xlfn.MAXIFS('Chase Log'!$E$4:$E$2000,'Chase Log'!$B$4:$B$2000,$G76))</f>
        <v>46324</v>
      </c>
      <c r="X76" s="22">
        <f t="shared" ca="1" si="23"/>
        <v>1</v>
      </c>
      <c r="Y76" s="27">
        <f>IF($W76="","",IF(OR(AND($Q76&lt;&gt;"",N($Q76)&gt;N($W76)),COUNTIFS('Chase Log'!$B$4:$B$2000,$G76,'Chase Log'!$E$4:$E$2000,$W76,'Chase Log'!$I$4:$I$2000,"Y")&gt;0),"",IF(_xlfn.MAXIFS('Chase Log'!$J$4:$J$2000,'Chase Log'!$B$4:$B$2000,$G76,'Chase Log'!$E$4:$E$2000,$W76)=0,"",_xlfn.MAXIFS('Chase Log'!$J$4:$J$2000,'Chase Log'!$B$4:$B$2000,$G76,'Chase Log'!$E$4:$E$2000,$W76))))</f>
        <v>46331</v>
      </c>
      <c r="Z76" s="13" t="str">
        <f ca="1">IF(OR($G76="",N($P76)&gt;=1,$C76="Live",$D76&lt;&gt;""),"",IF(AND($Y76&lt;&gt;"",N($Y76)&gt;0),IF($Y76&lt;TODAY(),"Chase Overdue","Scheduled"),IF(AND($Q76&lt;&gt;"",N($R76)&gt;='안내 Guide'!$D$4,OR($X76="",N($X76)&gt;='안내 Guide'!$D$4)),"Chase Needed","")))</f>
        <v/>
      </c>
      <c r="AA76" s="28"/>
      <c r="AB76" s="25"/>
      <c r="AC76" s="25" t="s">
        <v>464</v>
      </c>
      <c r="AD76" s="29" t="s">
        <v>465</v>
      </c>
      <c r="AE76" s="25"/>
      <c r="AF76" s="13" t="s">
        <v>167</v>
      </c>
      <c r="AG76" s="16" t="s">
        <v>168</v>
      </c>
      <c r="AH76" s="30">
        <v>45946</v>
      </c>
      <c r="AI76" s="30">
        <v>45947</v>
      </c>
      <c r="AJ76" s="30">
        <v>45948</v>
      </c>
      <c r="AK76" s="30">
        <v>45949</v>
      </c>
      <c r="AL76" s="30">
        <v>45950</v>
      </c>
      <c r="AM76" s="30">
        <v>45951</v>
      </c>
      <c r="AN76" s="30">
        <v>45952</v>
      </c>
      <c r="AO76" s="30">
        <v>45953</v>
      </c>
      <c r="AP76" s="30">
        <v>45954</v>
      </c>
      <c r="AQ76" s="30">
        <v>45955</v>
      </c>
      <c r="AR76" s="30">
        <v>45956</v>
      </c>
      <c r="AS76" s="30">
        <v>45957</v>
      </c>
      <c r="AT76" s="30">
        <v>45958</v>
      </c>
      <c r="AU76" s="30">
        <v>45959</v>
      </c>
    </row>
    <row r="77" spans="1:47" ht="25.5" customHeight="1">
      <c r="A77" s="22">
        <f t="shared" si="16"/>
        <v>73</v>
      </c>
      <c r="B77" s="22" t="str">
        <f t="shared" si="17"/>
        <v>Live</v>
      </c>
      <c r="C77" s="23"/>
      <c r="D77" s="23"/>
      <c r="E77" s="13" t="s">
        <v>28</v>
      </c>
      <c r="F77" s="13" t="s">
        <v>225</v>
      </c>
      <c r="G77" s="24" t="s">
        <v>466</v>
      </c>
      <c r="H77" s="13" t="s">
        <v>204</v>
      </c>
      <c r="I77" s="13" t="s">
        <v>285</v>
      </c>
      <c r="J77" s="13" t="s">
        <v>206</v>
      </c>
      <c r="K77" s="22"/>
      <c r="L77" s="13" t="s">
        <v>449</v>
      </c>
      <c r="M77" s="13" t="s">
        <v>43</v>
      </c>
      <c r="N77" s="13" t="s">
        <v>196</v>
      </c>
      <c r="O77" s="22" t="s">
        <v>208</v>
      </c>
      <c r="P77" s="26">
        <f t="shared" si="18"/>
        <v>1</v>
      </c>
      <c r="Q77" s="27">
        <f t="shared" si="19"/>
        <v>45959</v>
      </c>
      <c r="R77" s="22">
        <f t="shared" ca="1" si="20"/>
        <v>366</v>
      </c>
      <c r="S77" s="13" t="str">
        <f t="shared" si="21"/>
        <v>Live</v>
      </c>
      <c r="T77" s="13" t="str">
        <f>IF(COUNT($AH77:$AU77)=0,"",LOOKUP(2,1/($AH77:$AU77&lt;&gt;""),{"①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7" s="22">
        <f t="shared" ca="1" si="22"/>
        <v>13</v>
      </c>
      <c r="V77" s="22">
        <f>IF($G77="","",COUNTIF('Chase Log'!$B$4:$B$2000,$G77))</f>
        <v>0</v>
      </c>
      <c r="W77" s="27" t="str">
        <f>IF(N($V77)=0,"",_xlfn.MAXIFS('Chase Log'!$E$4:$E$2000,'Chase Log'!$B$4:$B$2000,$G77))</f>
        <v/>
      </c>
      <c r="X77" s="22" t="str">
        <f t="shared" ca="1" si="23"/>
        <v/>
      </c>
      <c r="Y77" s="27" t="str">
        <f>IF($W77="","",IF(OR(AND($Q77&lt;&gt;"",N($Q77)&gt;N($W77)),COUNTIFS('Chase Log'!$B$4:$B$2000,$G77,'Chase Log'!$E$4:$E$2000,$W77,'Chase Log'!$I$4:$I$2000,"Y")&gt;0),"",IF(_xlfn.MAXIFS('Chase Log'!$J$4:$J$2000,'Chase Log'!$B$4:$B$2000,$G77,'Chase Log'!$E$4:$E$2000,$W77)=0,"",_xlfn.MAXIFS('Chase Log'!$J$4:$J$2000,'Chase Log'!$B$4:$B$2000,$G77,'Chase Log'!$E$4:$E$2000,$W77))))</f>
        <v/>
      </c>
      <c r="Z77" s="13" t="str">
        <f ca="1">IF(OR($G77="",N($P77)&gt;=1,$C77="Live",$D77&lt;&gt;""),"",IF(AND($Y77&lt;&gt;"",N($Y77)&gt;0),IF($Y77&lt;TODAY(),"Chase Overdue","Scheduled"),IF(AND($Q77&lt;&gt;"",N($R77)&gt;='안내 Guide'!$D$4,OR($X77="",N($X77)&gt;='안내 Guide'!$D$4)),"Chase Needed","")))</f>
        <v/>
      </c>
      <c r="AA77" s="28"/>
      <c r="AB77" s="25"/>
      <c r="AC77" s="25" t="s">
        <v>467</v>
      </c>
      <c r="AD77" s="29" t="s">
        <v>468</v>
      </c>
      <c r="AE77" s="25"/>
      <c r="AF77" s="13" t="s">
        <v>255</v>
      </c>
      <c r="AG77" s="16" t="s">
        <v>168</v>
      </c>
      <c r="AH77" s="30">
        <v>45946</v>
      </c>
      <c r="AI77" s="30">
        <v>45947</v>
      </c>
      <c r="AJ77" s="30">
        <v>45948</v>
      </c>
      <c r="AK77" s="30">
        <v>45949</v>
      </c>
      <c r="AL77" s="30">
        <v>45950</v>
      </c>
      <c r="AM77" s="30">
        <v>45951</v>
      </c>
      <c r="AN77" s="30">
        <v>45952</v>
      </c>
      <c r="AO77" s="30">
        <v>45953</v>
      </c>
      <c r="AP77" s="30">
        <v>45954</v>
      </c>
      <c r="AQ77" s="30">
        <v>45955</v>
      </c>
      <c r="AR77" s="30">
        <v>45956</v>
      </c>
      <c r="AS77" s="30">
        <v>45957</v>
      </c>
      <c r="AT77" s="30">
        <v>45958</v>
      </c>
      <c r="AU77" s="30">
        <v>45959</v>
      </c>
    </row>
    <row r="78" spans="1:47" ht="25.5" customHeight="1">
      <c r="A78" s="22">
        <f t="shared" si="16"/>
        <v>74</v>
      </c>
      <c r="B78" s="22" t="str">
        <f t="shared" si="17"/>
        <v>Live</v>
      </c>
      <c r="C78" s="23"/>
      <c r="D78" s="23"/>
      <c r="E78" s="13" t="s">
        <v>29</v>
      </c>
      <c r="F78" s="13" t="s">
        <v>153</v>
      </c>
      <c r="G78" s="24" t="s">
        <v>469</v>
      </c>
      <c r="H78" s="13" t="s">
        <v>204</v>
      </c>
      <c r="I78" s="13" t="s">
        <v>285</v>
      </c>
      <c r="J78" s="13" t="s">
        <v>206</v>
      </c>
      <c r="K78" s="22"/>
      <c r="L78" s="13" t="s">
        <v>449</v>
      </c>
      <c r="M78" s="13" t="s">
        <v>39</v>
      </c>
      <c r="N78" s="13" t="s">
        <v>188</v>
      </c>
      <c r="O78" s="22" t="s">
        <v>208</v>
      </c>
      <c r="P78" s="26">
        <f t="shared" si="18"/>
        <v>1</v>
      </c>
      <c r="Q78" s="27">
        <f t="shared" si="19"/>
        <v>45959</v>
      </c>
      <c r="R78" s="22">
        <f t="shared" ca="1" si="20"/>
        <v>366</v>
      </c>
      <c r="S78" s="13" t="str">
        <f t="shared" si="21"/>
        <v>Live</v>
      </c>
      <c r="T78" s="13" t="str">
        <f>IF(COUNT($AH78:$AU78)=0,"",LOOKUP(2,1/($AH78:$AU78&lt;&gt;""),{"①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8" s="22">
        <f t="shared" ca="1" si="22"/>
        <v>2067</v>
      </c>
      <c r="V78" s="22">
        <f>IF($G78="","",COUNTIF('Chase Log'!$B$4:$B$2000,$G78))</f>
        <v>0</v>
      </c>
      <c r="W78" s="27" t="str">
        <f>IF(N($V78)=0,"",_xlfn.MAXIFS('Chase Log'!$E$4:$E$2000,'Chase Log'!$B$4:$B$2000,$G78))</f>
        <v/>
      </c>
      <c r="X78" s="22" t="str">
        <f t="shared" ca="1" si="23"/>
        <v/>
      </c>
      <c r="Y78" s="27" t="str">
        <f>IF($W78="","",IF(OR(AND($Q78&lt;&gt;"",N($Q78)&gt;N($W78)),COUNTIFS('Chase Log'!$B$4:$B$2000,$G78,'Chase Log'!$E$4:$E$2000,$W78,'Chase Log'!$I$4:$I$2000,"Y")&gt;0),"",IF(_xlfn.MAXIFS('Chase Log'!$J$4:$J$2000,'Chase Log'!$B$4:$B$2000,$G78,'Chase Log'!$E$4:$E$2000,$W78)=0,"",_xlfn.MAXIFS('Chase Log'!$J$4:$J$2000,'Chase Log'!$B$4:$B$2000,$G78,'Chase Log'!$E$4:$E$2000,$W78))))</f>
        <v/>
      </c>
      <c r="Z78" s="13" t="str">
        <f ca="1">IF(OR($G78="",N($P78)&gt;=1,$C78="Live",$D78&lt;&gt;""),"",IF(AND($Y78&lt;&gt;"",N($Y78)&gt;0),IF($Y78&lt;TODAY(),"Chase Overdue","Scheduled"),IF(AND($Q78&lt;&gt;"",N($R78)&gt;='안내 Guide'!$D$4,OR($X78="",N($X78)&gt;='안내 Guide'!$D$4)),"Chase Needed","")))</f>
        <v/>
      </c>
      <c r="AA78" s="28"/>
      <c r="AB78" s="25"/>
      <c r="AC78" s="25" t="s">
        <v>470</v>
      </c>
      <c r="AD78" s="29" t="s">
        <v>471</v>
      </c>
      <c r="AE78" s="25"/>
      <c r="AF78" s="13" t="s">
        <v>181</v>
      </c>
      <c r="AG78" s="16" t="s">
        <v>168</v>
      </c>
      <c r="AH78" s="30">
        <v>43892</v>
      </c>
      <c r="AI78" s="30">
        <v>43892</v>
      </c>
      <c r="AJ78" s="30">
        <v>43892</v>
      </c>
      <c r="AK78" s="30">
        <v>43892</v>
      </c>
      <c r="AL78" s="30">
        <v>43892</v>
      </c>
      <c r="AM78" s="30">
        <v>45951</v>
      </c>
      <c r="AN78" s="30">
        <v>45952</v>
      </c>
      <c r="AO78" s="30">
        <v>45953</v>
      </c>
      <c r="AP78" s="30">
        <v>45954</v>
      </c>
      <c r="AQ78" s="30">
        <v>45955</v>
      </c>
      <c r="AR78" s="30">
        <v>45956</v>
      </c>
      <c r="AS78" s="30">
        <v>45957</v>
      </c>
      <c r="AT78" s="30">
        <v>45958</v>
      </c>
      <c r="AU78" s="30">
        <v>45959</v>
      </c>
    </row>
    <row r="79" spans="1:47" ht="25.5" customHeight="1">
      <c r="A79" s="22">
        <f t="shared" si="16"/>
        <v>75</v>
      </c>
      <c r="B79" s="22" t="str">
        <f t="shared" si="17"/>
        <v>Live</v>
      </c>
      <c r="C79" s="23"/>
      <c r="D79" s="23"/>
      <c r="E79" s="13" t="s">
        <v>29</v>
      </c>
      <c r="F79" s="13" t="s">
        <v>153</v>
      </c>
      <c r="G79" s="24" t="s">
        <v>472</v>
      </c>
      <c r="H79" s="13" t="s">
        <v>204</v>
      </c>
      <c r="I79" s="13" t="s">
        <v>285</v>
      </c>
      <c r="J79" s="13" t="s">
        <v>206</v>
      </c>
      <c r="K79" s="22"/>
      <c r="L79" s="13" t="s">
        <v>449</v>
      </c>
      <c r="M79" s="13" t="s">
        <v>39</v>
      </c>
      <c r="N79" s="13" t="s">
        <v>196</v>
      </c>
      <c r="O79" s="22" t="s">
        <v>208</v>
      </c>
      <c r="P79" s="26">
        <f t="shared" si="18"/>
        <v>1</v>
      </c>
      <c r="Q79" s="27">
        <f t="shared" si="19"/>
        <v>46054</v>
      </c>
      <c r="R79" s="22">
        <f t="shared" ca="1" si="20"/>
        <v>271</v>
      </c>
      <c r="S79" s="13" t="str">
        <f t="shared" si="21"/>
        <v>Live</v>
      </c>
      <c r="T79" s="13" t="str">
        <f>IF(COUNT($AH79:$AU79)=0,"",LOOKUP(2,1/($AH79:$AU79&lt;&gt;""),{"①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79" s="22">
        <f t="shared" ca="1" si="22"/>
        <v>48</v>
      </c>
      <c r="V79" s="22">
        <f>IF($G79="","",COUNTIF('Chase Log'!$B$4:$B$2000,$G79))</f>
        <v>0</v>
      </c>
      <c r="W79" s="27" t="str">
        <f>IF(N($V79)=0,"",_xlfn.MAXIFS('Chase Log'!$E$4:$E$2000,'Chase Log'!$B$4:$B$2000,$G79))</f>
        <v/>
      </c>
      <c r="X79" s="22" t="str">
        <f t="shared" ca="1" si="23"/>
        <v/>
      </c>
      <c r="Y79" s="27" t="str">
        <f>IF($W79="","",IF(OR(AND($Q79&lt;&gt;"",N($Q79)&gt;N($W79)),COUNTIFS('Chase Log'!$B$4:$B$2000,$G79,'Chase Log'!$E$4:$E$2000,$W79,'Chase Log'!$I$4:$I$2000,"Y")&gt;0),"",IF(_xlfn.MAXIFS('Chase Log'!$J$4:$J$2000,'Chase Log'!$B$4:$B$2000,$G79,'Chase Log'!$E$4:$E$2000,$W79)=0,"",_xlfn.MAXIFS('Chase Log'!$J$4:$J$2000,'Chase Log'!$B$4:$B$2000,$G79,'Chase Log'!$E$4:$E$2000,$W79))))</f>
        <v/>
      </c>
      <c r="Z79" s="13" t="str">
        <f ca="1">IF(OR($G79="",N($P79)&gt;=1,$C79="Live",$D79&lt;&gt;""),"",IF(AND($Y79&lt;&gt;"",N($Y79)&gt;0),IF($Y79&lt;TODAY(),"Chase Overdue","Scheduled"),IF(AND($Q79&lt;&gt;"",N($R79)&gt;='안내 Guide'!$D$4,OR($X79="",N($X79)&gt;='안내 Guide'!$D$4)),"Chase Needed","")))</f>
        <v/>
      </c>
      <c r="AA79" s="28"/>
      <c r="AB79" s="25"/>
      <c r="AC79" s="25" t="s">
        <v>473</v>
      </c>
      <c r="AD79" s="29" t="s">
        <v>474</v>
      </c>
      <c r="AE79" s="25"/>
      <c r="AF79" s="13" t="s">
        <v>475</v>
      </c>
      <c r="AG79" s="16" t="s">
        <v>168</v>
      </c>
      <c r="AH79" s="30">
        <v>46006</v>
      </c>
      <c r="AI79" s="30">
        <v>46006</v>
      </c>
      <c r="AJ79" s="30">
        <v>46006</v>
      </c>
      <c r="AK79" s="30">
        <v>46006</v>
      </c>
      <c r="AL79" s="30">
        <v>46020</v>
      </c>
      <c r="AM79" s="30">
        <v>46021</v>
      </c>
      <c r="AN79" s="30">
        <v>46054</v>
      </c>
      <c r="AO79" s="30">
        <v>46029</v>
      </c>
      <c r="AP79" s="30">
        <v>46029</v>
      </c>
      <c r="AQ79" s="30">
        <v>46029</v>
      </c>
      <c r="AR79" s="30">
        <v>46029</v>
      </c>
      <c r="AS79" s="30">
        <v>46029</v>
      </c>
      <c r="AT79" s="30">
        <v>46029</v>
      </c>
      <c r="AU79" s="30">
        <v>46029</v>
      </c>
    </row>
    <row r="80" spans="1:47" ht="25.5" customHeight="1">
      <c r="A80" s="22">
        <f t="shared" si="16"/>
        <v>76</v>
      </c>
      <c r="B80" s="22" t="str">
        <f t="shared" si="17"/>
        <v>Live</v>
      </c>
      <c r="C80" s="23"/>
      <c r="D80" s="23"/>
      <c r="E80" s="13" t="s">
        <v>29</v>
      </c>
      <c r="F80" s="13" t="s">
        <v>153</v>
      </c>
      <c r="G80" s="24" t="s">
        <v>476</v>
      </c>
      <c r="H80" s="13" t="s">
        <v>204</v>
      </c>
      <c r="I80" s="13" t="s">
        <v>285</v>
      </c>
      <c r="J80" s="13" t="s">
        <v>206</v>
      </c>
      <c r="K80" s="22"/>
      <c r="L80" s="13" t="s">
        <v>477</v>
      </c>
      <c r="M80" s="13" t="s">
        <v>39</v>
      </c>
      <c r="N80" s="13" t="s">
        <v>196</v>
      </c>
      <c r="O80" s="22" t="s">
        <v>208</v>
      </c>
      <c r="P80" s="26">
        <f t="shared" si="18"/>
        <v>1</v>
      </c>
      <c r="Q80" s="27">
        <f t="shared" si="19"/>
        <v>45959</v>
      </c>
      <c r="R80" s="22">
        <f t="shared" ca="1" si="20"/>
        <v>366</v>
      </c>
      <c r="S80" s="13" t="str">
        <f t="shared" si="21"/>
        <v>Live</v>
      </c>
      <c r="T80" s="13" t="str">
        <f>IF(COUNT($AH80:$AU80)=0,"",LOOKUP(2,1/($AH80:$AU80&lt;&gt;""),{"①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0" s="22">
        <f t="shared" ca="1" si="22"/>
        <v>715</v>
      </c>
      <c r="V80" s="22">
        <f>IF($G80="","",COUNTIF('Chase Log'!$B$4:$B$2000,$G80))</f>
        <v>0</v>
      </c>
      <c r="W80" s="27" t="str">
        <f>IF(N($V80)=0,"",_xlfn.MAXIFS('Chase Log'!$E$4:$E$2000,'Chase Log'!$B$4:$B$2000,$G80))</f>
        <v/>
      </c>
      <c r="X80" s="22" t="str">
        <f t="shared" ca="1" si="23"/>
        <v/>
      </c>
      <c r="Y80" s="27" t="str">
        <f>IF($W80="","",IF(OR(AND($Q80&lt;&gt;"",N($Q80)&gt;N($W80)),COUNTIFS('Chase Log'!$B$4:$B$2000,$G80,'Chase Log'!$E$4:$E$2000,$W80,'Chase Log'!$I$4:$I$2000,"Y")&gt;0),"",IF(_xlfn.MAXIFS('Chase Log'!$J$4:$J$2000,'Chase Log'!$B$4:$B$2000,$G80,'Chase Log'!$E$4:$E$2000,$W80)=0,"",_xlfn.MAXIFS('Chase Log'!$J$4:$J$2000,'Chase Log'!$B$4:$B$2000,$G80,'Chase Log'!$E$4:$E$2000,$W80))))</f>
        <v/>
      </c>
      <c r="Z80" s="13" t="str">
        <f ca="1">IF(OR($G80="",N($P80)&gt;=1,$C80="Live",$D80&lt;&gt;""),"",IF(AND($Y80&lt;&gt;"",N($Y80)&gt;0),IF($Y80&lt;TODAY(),"Chase Overdue","Scheduled"),IF(AND($Q80&lt;&gt;"",N($R80)&gt;='안내 Guide'!$D$4,OR($X80="",N($X80)&gt;='안내 Guide'!$D$4)),"Chase Needed","")))</f>
        <v/>
      </c>
      <c r="AA80" s="28"/>
      <c r="AB80" s="25"/>
      <c r="AC80" s="25" t="s">
        <v>478</v>
      </c>
      <c r="AD80" s="29" t="s">
        <v>479</v>
      </c>
      <c r="AE80" s="25"/>
      <c r="AF80" s="13" t="s">
        <v>167</v>
      </c>
      <c r="AG80" s="16" t="s">
        <v>168</v>
      </c>
      <c r="AH80" s="30">
        <v>45244</v>
      </c>
      <c r="AI80" s="30">
        <v>45244</v>
      </c>
      <c r="AJ80" s="30">
        <v>45244</v>
      </c>
      <c r="AK80" s="30">
        <v>45244</v>
      </c>
      <c r="AL80" s="30">
        <v>45253</v>
      </c>
      <c r="AM80" s="30">
        <v>45244</v>
      </c>
      <c r="AN80" s="30">
        <v>45952</v>
      </c>
      <c r="AO80" s="30">
        <v>45953</v>
      </c>
      <c r="AP80" s="30">
        <v>45954</v>
      </c>
      <c r="AQ80" s="30">
        <v>45955</v>
      </c>
      <c r="AR80" s="30">
        <v>45956</v>
      </c>
      <c r="AS80" s="30">
        <v>45957</v>
      </c>
      <c r="AT80" s="30">
        <v>45958</v>
      </c>
      <c r="AU80" s="30">
        <v>45959</v>
      </c>
    </row>
    <row r="81" spans="1:47" ht="25.5" customHeight="1">
      <c r="A81" s="22">
        <f t="shared" si="16"/>
        <v>77</v>
      </c>
      <c r="B81" s="22" t="str">
        <f t="shared" si="17"/>
        <v>Live</v>
      </c>
      <c r="C81" s="23"/>
      <c r="D81" s="23"/>
      <c r="E81" s="13" t="s">
        <v>29</v>
      </c>
      <c r="F81" s="13" t="s">
        <v>203</v>
      </c>
      <c r="G81" s="24" t="s">
        <v>480</v>
      </c>
      <c r="H81" s="13" t="s">
        <v>204</v>
      </c>
      <c r="I81" s="13" t="s">
        <v>285</v>
      </c>
      <c r="J81" s="13" t="s">
        <v>206</v>
      </c>
      <c r="K81" s="22"/>
      <c r="L81" s="13" t="s">
        <v>187</v>
      </c>
      <c r="M81" s="13" t="s">
        <v>39</v>
      </c>
      <c r="N81" s="13" t="s">
        <v>196</v>
      </c>
      <c r="O81" s="22" t="s">
        <v>208</v>
      </c>
      <c r="P81" s="26">
        <f t="shared" si="18"/>
        <v>1</v>
      </c>
      <c r="Q81" s="27">
        <f t="shared" si="19"/>
        <v>45990</v>
      </c>
      <c r="R81" s="22">
        <f t="shared" ca="1" si="20"/>
        <v>335</v>
      </c>
      <c r="S81" s="13" t="str">
        <f t="shared" si="21"/>
        <v>Live</v>
      </c>
      <c r="T81" s="13" t="str">
        <f>IF(COUNT($AH81:$AU81)=0,"",LOOKUP(2,1/($AH81:$AU81&lt;&gt;""),{"①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1" s="22">
        <f t="shared" ca="1" si="22"/>
        <v>75</v>
      </c>
      <c r="V81" s="22">
        <f>IF($G81="","",COUNTIF('Chase Log'!$B$4:$B$2000,$G81))</f>
        <v>0</v>
      </c>
      <c r="W81" s="27" t="str">
        <f>IF(N($V81)=0,"",_xlfn.MAXIFS('Chase Log'!$E$4:$E$2000,'Chase Log'!$B$4:$B$2000,$G81))</f>
        <v/>
      </c>
      <c r="X81" s="22" t="str">
        <f t="shared" ca="1" si="23"/>
        <v/>
      </c>
      <c r="Y81" s="27" t="str">
        <f>IF($W81="","",IF(OR(AND($Q81&lt;&gt;"",N($Q81)&gt;N($W81)),COUNTIFS('Chase Log'!$B$4:$B$2000,$G81,'Chase Log'!$E$4:$E$2000,$W81,'Chase Log'!$I$4:$I$2000,"Y")&gt;0),"",IF(_xlfn.MAXIFS('Chase Log'!$J$4:$J$2000,'Chase Log'!$B$4:$B$2000,$G81,'Chase Log'!$E$4:$E$2000,$W81)=0,"",_xlfn.MAXIFS('Chase Log'!$J$4:$J$2000,'Chase Log'!$B$4:$B$2000,$G81,'Chase Log'!$E$4:$E$2000,$W81))))</f>
        <v/>
      </c>
      <c r="Z81" s="13" t="str">
        <f ca="1">IF(OR($G81="",N($P81)&gt;=1,$C81="Live",$D81&lt;&gt;""),"",IF(AND($Y81&lt;&gt;"",N($Y81)&gt;0),IF($Y81&lt;TODAY(),"Chase Overdue","Scheduled"),IF(AND($Q81&lt;&gt;"",N($R81)&gt;='안내 Guide'!$D$4,OR($X81="",N($X81)&gt;='안내 Guide'!$D$4)),"Chase Needed","")))</f>
        <v/>
      </c>
      <c r="AA81" s="28"/>
      <c r="AB81" s="25"/>
      <c r="AC81" s="25"/>
      <c r="AD81" s="29"/>
      <c r="AE81" s="25"/>
      <c r="AF81" s="13"/>
      <c r="AG81" s="16" t="s">
        <v>168</v>
      </c>
      <c r="AH81" s="30">
        <v>45915</v>
      </c>
      <c r="AI81" s="30">
        <v>45915</v>
      </c>
      <c r="AJ81" s="30">
        <v>45915</v>
      </c>
      <c r="AK81" s="30">
        <v>45918</v>
      </c>
      <c r="AL81" s="30">
        <v>45915</v>
      </c>
      <c r="AM81" s="30">
        <v>45915</v>
      </c>
      <c r="AN81" s="30">
        <v>45915</v>
      </c>
      <c r="AO81" s="30">
        <v>45915</v>
      </c>
      <c r="AP81" s="30">
        <v>45915</v>
      </c>
      <c r="AQ81" s="30">
        <v>45968</v>
      </c>
      <c r="AR81" s="30">
        <v>45968</v>
      </c>
      <c r="AS81" s="30">
        <v>45968</v>
      </c>
      <c r="AT81" s="30">
        <v>45989</v>
      </c>
      <c r="AU81" s="30">
        <v>45990</v>
      </c>
    </row>
    <row r="82" spans="1:47" ht="25.5" customHeight="1">
      <c r="A82" s="22">
        <f t="shared" si="16"/>
        <v>78</v>
      </c>
      <c r="B82" s="22" t="str">
        <f t="shared" si="17"/>
        <v>Live</v>
      </c>
      <c r="C82" s="23"/>
      <c r="D82" s="23"/>
      <c r="E82" s="13" t="s">
        <v>29</v>
      </c>
      <c r="F82" s="13" t="s">
        <v>153</v>
      </c>
      <c r="G82" s="24" t="s">
        <v>481</v>
      </c>
      <c r="H82" s="13" t="s">
        <v>204</v>
      </c>
      <c r="I82" s="13" t="s">
        <v>285</v>
      </c>
      <c r="J82" s="13" t="s">
        <v>206</v>
      </c>
      <c r="K82" s="22"/>
      <c r="L82" s="13" t="s">
        <v>477</v>
      </c>
      <c r="M82" s="13" t="s">
        <v>39</v>
      </c>
      <c r="N82" s="13" t="s">
        <v>188</v>
      </c>
      <c r="O82" s="22" t="s">
        <v>208</v>
      </c>
      <c r="P82" s="26">
        <f t="shared" si="18"/>
        <v>1</v>
      </c>
      <c r="Q82" s="27">
        <f t="shared" si="19"/>
        <v>46016</v>
      </c>
      <c r="R82" s="22">
        <f t="shared" ca="1" si="20"/>
        <v>309</v>
      </c>
      <c r="S82" s="13" t="str">
        <f t="shared" si="21"/>
        <v>Live</v>
      </c>
      <c r="T82" s="13" t="str">
        <f>IF(COUNT($AH82:$AU82)=0,"",LOOKUP(2,1/($AH82:$AU82&lt;&gt;""),{"①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2" s="22">
        <f t="shared" ca="1" si="22"/>
        <v>324</v>
      </c>
      <c r="V82" s="22">
        <f>IF($G82="","",COUNTIF('Chase Log'!$B$4:$B$2000,$G82))</f>
        <v>0</v>
      </c>
      <c r="W82" s="27" t="str">
        <f>IF(N($V82)=0,"",_xlfn.MAXIFS('Chase Log'!$E$4:$E$2000,'Chase Log'!$B$4:$B$2000,$G82))</f>
        <v/>
      </c>
      <c r="X82" s="22" t="str">
        <f t="shared" ca="1" si="23"/>
        <v/>
      </c>
      <c r="Y82" s="27" t="str">
        <f>IF($W82="","",IF(OR(AND($Q82&lt;&gt;"",N($Q82)&gt;N($W82)),COUNTIFS('Chase Log'!$B$4:$B$2000,$G82,'Chase Log'!$E$4:$E$2000,$W82,'Chase Log'!$I$4:$I$2000,"Y")&gt;0),"",IF(_xlfn.MAXIFS('Chase Log'!$J$4:$J$2000,'Chase Log'!$B$4:$B$2000,$G82,'Chase Log'!$E$4:$E$2000,$W82)=0,"",_xlfn.MAXIFS('Chase Log'!$J$4:$J$2000,'Chase Log'!$B$4:$B$2000,$G82,'Chase Log'!$E$4:$E$2000,$W82))))</f>
        <v/>
      </c>
      <c r="Z82" s="13" t="str">
        <f ca="1">IF(OR($G82="",N($P82)&gt;=1,$C82="Live",$D82&lt;&gt;""),"",IF(AND($Y82&lt;&gt;"",N($Y82)&gt;0),IF($Y82&lt;TODAY(),"Chase Overdue","Scheduled"),IF(AND($Q82&lt;&gt;"",N($R82)&gt;='안내 Guide'!$D$4,OR($X82="",N($X82)&gt;='안내 Guide'!$D$4)),"Chase Needed","")))</f>
        <v/>
      </c>
      <c r="AA82" s="28"/>
      <c r="AB82" s="25"/>
      <c r="AC82" s="25" t="s">
        <v>482</v>
      </c>
      <c r="AD82" s="29" t="s">
        <v>483</v>
      </c>
      <c r="AE82" s="25"/>
      <c r="AF82" s="13" t="s">
        <v>167</v>
      </c>
      <c r="AG82" s="16" t="s">
        <v>168</v>
      </c>
      <c r="AH82" s="30">
        <v>45692</v>
      </c>
      <c r="AI82" s="30">
        <v>45692</v>
      </c>
      <c r="AJ82" s="30">
        <v>45692</v>
      </c>
      <c r="AK82" s="30">
        <v>45692</v>
      </c>
      <c r="AL82" s="30">
        <v>45721</v>
      </c>
      <c r="AM82" s="30">
        <v>45811</v>
      </c>
      <c r="AN82" s="30">
        <v>45925</v>
      </c>
      <c r="AO82" s="30">
        <v>45930</v>
      </c>
      <c r="AP82" s="30">
        <v>45932</v>
      </c>
      <c r="AQ82" s="30">
        <v>45955</v>
      </c>
      <c r="AR82" s="30">
        <v>45960</v>
      </c>
      <c r="AS82" s="30">
        <v>45972</v>
      </c>
      <c r="AT82" s="30">
        <v>45973</v>
      </c>
      <c r="AU82" s="30">
        <v>46016</v>
      </c>
    </row>
    <row r="83" spans="1:47" ht="25.5" customHeight="1">
      <c r="A83" s="22">
        <f t="shared" si="16"/>
        <v>79</v>
      </c>
      <c r="B83" s="22" t="str">
        <f t="shared" si="17"/>
        <v>Live</v>
      </c>
      <c r="C83" s="23"/>
      <c r="D83" s="23"/>
      <c r="E83" s="13" t="s">
        <v>29</v>
      </c>
      <c r="F83" s="13" t="s">
        <v>153</v>
      </c>
      <c r="G83" s="24" t="s">
        <v>484</v>
      </c>
      <c r="H83" s="13" t="s">
        <v>204</v>
      </c>
      <c r="I83" s="13" t="s">
        <v>285</v>
      </c>
      <c r="J83" s="13" t="s">
        <v>206</v>
      </c>
      <c r="K83" s="22"/>
      <c r="L83" s="13" t="s">
        <v>477</v>
      </c>
      <c r="M83" s="13" t="s">
        <v>39</v>
      </c>
      <c r="N83" s="13" t="s">
        <v>196</v>
      </c>
      <c r="O83" s="22" t="s">
        <v>208</v>
      </c>
      <c r="P83" s="26">
        <f t="shared" si="18"/>
        <v>1</v>
      </c>
      <c r="Q83" s="27">
        <f t="shared" si="19"/>
        <v>45959</v>
      </c>
      <c r="R83" s="22">
        <f t="shared" ca="1" si="20"/>
        <v>366</v>
      </c>
      <c r="S83" s="13" t="str">
        <f t="shared" si="21"/>
        <v>Live</v>
      </c>
      <c r="T83" s="13" t="str">
        <f>IF(COUNT($AH83:$AU83)=0,"",LOOKUP(2,1/($AH83:$AU83&lt;&gt;""),{"①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3" s="22">
        <f t="shared" ca="1" si="22"/>
        <v>1137</v>
      </c>
      <c r="V83" s="22">
        <f>IF($G83="","",COUNTIF('Chase Log'!$B$4:$B$2000,$G83))</f>
        <v>0</v>
      </c>
      <c r="W83" s="27" t="str">
        <f>IF(N($V83)=0,"",_xlfn.MAXIFS('Chase Log'!$E$4:$E$2000,'Chase Log'!$B$4:$B$2000,$G83))</f>
        <v/>
      </c>
      <c r="X83" s="22" t="str">
        <f t="shared" ca="1" si="23"/>
        <v/>
      </c>
      <c r="Y83" s="27" t="str">
        <f>IF($W83="","",IF(OR(AND($Q83&lt;&gt;"",N($Q83)&gt;N($W83)),COUNTIFS('Chase Log'!$B$4:$B$2000,$G83,'Chase Log'!$E$4:$E$2000,$W83,'Chase Log'!$I$4:$I$2000,"Y")&gt;0),"",IF(_xlfn.MAXIFS('Chase Log'!$J$4:$J$2000,'Chase Log'!$B$4:$B$2000,$G83,'Chase Log'!$E$4:$E$2000,$W83)=0,"",_xlfn.MAXIFS('Chase Log'!$J$4:$J$2000,'Chase Log'!$B$4:$B$2000,$G83,'Chase Log'!$E$4:$E$2000,$W83))))</f>
        <v/>
      </c>
      <c r="Z83" s="13" t="str">
        <f ca="1">IF(OR($G83="",N($P83)&gt;=1,$C83="Live",$D83&lt;&gt;""),"",IF(AND($Y83&lt;&gt;"",N($Y83)&gt;0),IF($Y83&lt;TODAY(),"Chase Overdue","Scheduled"),IF(AND($Q83&lt;&gt;"",N($R83)&gt;='안내 Guide'!$D$4,OR($X83="",N($X83)&gt;='안내 Guide'!$D$4)),"Chase Needed","")))</f>
        <v/>
      </c>
      <c r="AA83" s="28"/>
      <c r="AB83" s="25"/>
      <c r="AC83" s="25" t="s">
        <v>485</v>
      </c>
      <c r="AD83" s="29" t="s">
        <v>486</v>
      </c>
      <c r="AE83" s="25"/>
      <c r="AF83" s="13" t="s">
        <v>167</v>
      </c>
      <c r="AG83" s="16" t="s">
        <v>168</v>
      </c>
      <c r="AH83" s="30">
        <v>44822</v>
      </c>
      <c r="AI83" s="30">
        <v>44822</v>
      </c>
      <c r="AJ83" s="30">
        <v>44822</v>
      </c>
      <c r="AK83" s="30">
        <v>44822</v>
      </c>
      <c r="AL83" s="30">
        <v>44822</v>
      </c>
      <c r="AM83" s="30">
        <v>44876</v>
      </c>
      <c r="AN83" s="30">
        <v>44876</v>
      </c>
      <c r="AO83" s="30">
        <v>44876</v>
      </c>
      <c r="AP83" s="30">
        <v>44876</v>
      </c>
      <c r="AQ83" s="30">
        <v>44876</v>
      </c>
      <c r="AR83" s="30">
        <v>44876</v>
      </c>
      <c r="AS83" s="30">
        <v>44876</v>
      </c>
      <c r="AT83" s="30">
        <v>45958</v>
      </c>
      <c r="AU83" s="30">
        <v>45959</v>
      </c>
    </row>
    <row r="84" spans="1:47" ht="25.5" customHeight="1">
      <c r="A84" s="22">
        <f t="shared" si="16"/>
        <v>80</v>
      </c>
      <c r="B84" s="22" t="str">
        <f t="shared" si="17"/>
        <v>Live</v>
      </c>
      <c r="C84" s="23"/>
      <c r="D84" s="23"/>
      <c r="E84" s="13" t="s">
        <v>29</v>
      </c>
      <c r="F84" s="13" t="s">
        <v>153</v>
      </c>
      <c r="G84" s="24" t="s">
        <v>487</v>
      </c>
      <c r="H84" s="13" t="s">
        <v>204</v>
      </c>
      <c r="I84" s="13" t="s">
        <v>285</v>
      </c>
      <c r="J84" s="13" t="s">
        <v>206</v>
      </c>
      <c r="K84" s="22"/>
      <c r="L84" s="13" t="s">
        <v>449</v>
      </c>
      <c r="M84" s="13" t="s">
        <v>39</v>
      </c>
      <c r="N84" s="13" t="s">
        <v>188</v>
      </c>
      <c r="O84" s="22" t="s">
        <v>208</v>
      </c>
      <c r="P84" s="26">
        <f t="shared" si="18"/>
        <v>1</v>
      </c>
      <c r="Q84" s="27">
        <f t="shared" si="19"/>
        <v>45959</v>
      </c>
      <c r="R84" s="22">
        <f t="shared" ca="1" si="20"/>
        <v>366</v>
      </c>
      <c r="S84" s="13" t="str">
        <f t="shared" si="21"/>
        <v>Live</v>
      </c>
      <c r="T84" s="13" t="str">
        <f>IF(COUNT($AH84:$AU84)=0,"",LOOKUP(2,1/($AH84:$AU84&lt;&gt;""),{"①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4" s="22">
        <f t="shared" ca="1" si="22"/>
        <v>1999</v>
      </c>
      <c r="V84" s="22">
        <f>IF($G84="","",COUNTIF('Chase Log'!$B$4:$B$2000,$G84))</f>
        <v>0</v>
      </c>
      <c r="W84" s="27" t="str">
        <f>IF(N($V84)=0,"",_xlfn.MAXIFS('Chase Log'!$E$4:$E$2000,'Chase Log'!$B$4:$B$2000,$G84))</f>
        <v/>
      </c>
      <c r="X84" s="22" t="str">
        <f t="shared" ca="1" si="23"/>
        <v/>
      </c>
      <c r="Y84" s="27" t="str">
        <f>IF($W84="","",IF(OR(AND($Q84&lt;&gt;"",N($Q84)&gt;N($W84)),COUNTIFS('Chase Log'!$B$4:$B$2000,$G84,'Chase Log'!$E$4:$E$2000,$W84,'Chase Log'!$I$4:$I$2000,"Y")&gt;0),"",IF(_xlfn.MAXIFS('Chase Log'!$J$4:$J$2000,'Chase Log'!$B$4:$B$2000,$G84,'Chase Log'!$E$4:$E$2000,$W84)=0,"",_xlfn.MAXIFS('Chase Log'!$J$4:$J$2000,'Chase Log'!$B$4:$B$2000,$G84,'Chase Log'!$E$4:$E$2000,$W84))))</f>
        <v/>
      </c>
      <c r="Z84" s="13" t="str">
        <f ca="1">IF(OR($G84="",N($P84)&gt;=1,$C84="Live",$D84&lt;&gt;""),"",IF(AND($Y84&lt;&gt;"",N($Y84)&gt;0),IF($Y84&lt;TODAY(),"Chase Overdue","Scheduled"),IF(AND($Q84&lt;&gt;"",N($R84)&gt;='안내 Guide'!$D$4,OR($X84="",N($X84)&gt;='안내 Guide'!$D$4)),"Chase Needed","")))</f>
        <v/>
      </c>
      <c r="AA84" s="28"/>
      <c r="AB84" s="25"/>
      <c r="AC84" s="25" t="s">
        <v>488</v>
      </c>
      <c r="AD84" s="29" t="s">
        <v>489</v>
      </c>
      <c r="AE84" s="25"/>
      <c r="AF84" s="13" t="s">
        <v>250</v>
      </c>
      <c r="AG84" s="16" t="s">
        <v>168</v>
      </c>
      <c r="AH84" s="30">
        <v>43960</v>
      </c>
      <c r="AI84" s="30">
        <v>43960</v>
      </c>
      <c r="AJ84" s="30">
        <v>43960</v>
      </c>
      <c r="AK84" s="30">
        <v>43960</v>
      </c>
      <c r="AL84" s="30">
        <v>43960</v>
      </c>
      <c r="AM84" s="30">
        <v>45951</v>
      </c>
      <c r="AN84" s="30">
        <v>45952</v>
      </c>
      <c r="AO84" s="30">
        <v>45953</v>
      </c>
      <c r="AP84" s="30">
        <v>45954</v>
      </c>
      <c r="AQ84" s="30">
        <v>45955</v>
      </c>
      <c r="AR84" s="30">
        <v>45956</v>
      </c>
      <c r="AS84" s="30">
        <v>45957</v>
      </c>
      <c r="AT84" s="30">
        <v>45958</v>
      </c>
      <c r="AU84" s="30">
        <v>45959</v>
      </c>
    </row>
    <row r="85" spans="1:47" ht="25.5" customHeight="1">
      <c r="A85" s="22">
        <f t="shared" si="16"/>
        <v>81</v>
      </c>
      <c r="B85" s="22" t="str">
        <f t="shared" si="17"/>
        <v>Live</v>
      </c>
      <c r="C85" s="23"/>
      <c r="D85" s="23"/>
      <c r="E85" s="13" t="s">
        <v>29</v>
      </c>
      <c r="F85" s="13" t="s">
        <v>153</v>
      </c>
      <c r="G85" s="24" t="s">
        <v>490</v>
      </c>
      <c r="H85" s="13" t="s">
        <v>204</v>
      </c>
      <c r="I85" s="13" t="s">
        <v>285</v>
      </c>
      <c r="J85" s="13" t="s">
        <v>206</v>
      </c>
      <c r="K85" s="22"/>
      <c r="L85" s="13" t="s">
        <v>449</v>
      </c>
      <c r="M85" s="13" t="s">
        <v>39</v>
      </c>
      <c r="N85" s="13" t="s">
        <v>196</v>
      </c>
      <c r="O85" s="22" t="s">
        <v>208</v>
      </c>
      <c r="P85" s="26">
        <f t="shared" si="18"/>
        <v>1</v>
      </c>
      <c r="Q85" s="27">
        <f t="shared" si="19"/>
        <v>45965</v>
      </c>
      <c r="R85" s="22">
        <f t="shared" ca="1" si="20"/>
        <v>360</v>
      </c>
      <c r="S85" s="13" t="str">
        <f t="shared" si="21"/>
        <v>Live</v>
      </c>
      <c r="T85" s="13" t="str">
        <f>IF(COUNT($AH85:$AU85)=0,"",LOOKUP(2,1/($AH85:$AU85&lt;&gt;""),{"①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5" s="22">
        <f t="shared" ca="1" si="22"/>
        <v>88</v>
      </c>
      <c r="V85" s="22">
        <f>IF($G85="","",COUNTIF('Chase Log'!$B$4:$B$2000,$G85))</f>
        <v>1</v>
      </c>
      <c r="W85" s="27">
        <f>IF(N($V85)=0,"",_xlfn.MAXIFS('Chase Log'!$E$4:$E$2000,'Chase Log'!$B$4:$B$2000,$G85))</f>
        <v>46324</v>
      </c>
      <c r="X85" s="22">
        <f t="shared" ca="1" si="23"/>
        <v>1</v>
      </c>
      <c r="Y85" s="27">
        <f>IF($W85="","",IF(OR(AND($Q85&lt;&gt;"",N($Q85)&gt;N($W85)),COUNTIFS('Chase Log'!$B$4:$B$2000,$G85,'Chase Log'!$E$4:$E$2000,$W85,'Chase Log'!$I$4:$I$2000,"Y")&gt;0),"",IF(_xlfn.MAXIFS('Chase Log'!$J$4:$J$2000,'Chase Log'!$B$4:$B$2000,$G85,'Chase Log'!$E$4:$E$2000,$W85)=0,"",_xlfn.MAXIFS('Chase Log'!$J$4:$J$2000,'Chase Log'!$B$4:$B$2000,$G85,'Chase Log'!$E$4:$E$2000,$W85))))</f>
        <v>46331</v>
      </c>
      <c r="Z85" s="13" t="str">
        <f ca="1">IF(OR($G85="",N($P85)&gt;=1,$C85="Live",$D85&lt;&gt;""),"",IF(AND($Y85&lt;&gt;"",N($Y85)&gt;0),IF($Y85&lt;TODAY(),"Chase Overdue","Scheduled"),IF(AND($Q85&lt;&gt;"",N($R85)&gt;='안내 Guide'!$D$4,OR($X85="",N($X85)&gt;='안내 Guide'!$D$4)),"Chase Needed","")))</f>
        <v/>
      </c>
      <c r="AA85" s="28"/>
      <c r="AB85" s="25"/>
      <c r="AC85" s="25" t="s">
        <v>491</v>
      </c>
      <c r="AD85" s="29" t="s">
        <v>492</v>
      </c>
      <c r="AE85" s="25"/>
      <c r="AF85" s="13" t="s">
        <v>245</v>
      </c>
      <c r="AG85" s="16" t="s">
        <v>168</v>
      </c>
      <c r="AH85" s="30">
        <v>45877</v>
      </c>
      <c r="AI85" s="30">
        <v>45877</v>
      </c>
      <c r="AJ85" s="30">
        <v>45877</v>
      </c>
      <c r="AK85" s="30">
        <v>45877</v>
      </c>
      <c r="AL85" s="30">
        <v>45926</v>
      </c>
      <c r="AM85" s="30">
        <v>45915</v>
      </c>
      <c r="AN85" s="30">
        <v>45960</v>
      </c>
      <c r="AO85" s="30">
        <v>45915</v>
      </c>
      <c r="AP85" s="30">
        <v>45943</v>
      </c>
      <c r="AQ85" s="30">
        <v>45947</v>
      </c>
      <c r="AR85" s="30">
        <v>45951</v>
      </c>
      <c r="AS85" s="30">
        <v>45951</v>
      </c>
      <c r="AT85" s="30">
        <v>45951</v>
      </c>
      <c r="AU85" s="30">
        <v>45965</v>
      </c>
    </row>
    <row r="86" spans="1:47" ht="25.5" customHeight="1">
      <c r="A86" s="22">
        <f t="shared" si="16"/>
        <v>82</v>
      </c>
      <c r="B86" s="22" t="str">
        <f t="shared" si="17"/>
        <v>Live</v>
      </c>
      <c r="C86" s="23"/>
      <c r="D86" s="23"/>
      <c r="E86" s="13" t="s">
        <v>29</v>
      </c>
      <c r="F86" s="13" t="s">
        <v>153</v>
      </c>
      <c r="G86" s="24" t="s">
        <v>493</v>
      </c>
      <c r="H86" s="13" t="s">
        <v>204</v>
      </c>
      <c r="I86" s="13" t="s">
        <v>285</v>
      </c>
      <c r="J86" s="13" t="s">
        <v>206</v>
      </c>
      <c r="K86" s="22"/>
      <c r="L86" s="13" t="s">
        <v>449</v>
      </c>
      <c r="M86" s="13" t="s">
        <v>39</v>
      </c>
      <c r="N86" s="13" t="s">
        <v>196</v>
      </c>
      <c r="O86" s="22" t="s">
        <v>208</v>
      </c>
      <c r="P86" s="26">
        <f t="shared" si="18"/>
        <v>1</v>
      </c>
      <c r="Q86" s="27">
        <f t="shared" si="19"/>
        <v>46029</v>
      </c>
      <c r="R86" s="22">
        <f t="shared" ca="1" si="20"/>
        <v>296</v>
      </c>
      <c r="S86" s="13" t="str">
        <f t="shared" si="21"/>
        <v>Live</v>
      </c>
      <c r="T86" s="13" t="str">
        <f>IF(COUNT($AH86:$AU86)=0,"",LOOKUP(2,1/($AH86:$AU86&lt;&gt;""),{"①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6" s="22">
        <f t="shared" ca="1" si="22"/>
        <v>107</v>
      </c>
      <c r="V86" s="22">
        <f>IF($G86="","",COUNTIF('Chase Log'!$B$4:$B$2000,$G86))</f>
        <v>0</v>
      </c>
      <c r="W86" s="27" t="str">
        <f>IF(N($V86)=0,"",_xlfn.MAXIFS('Chase Log'!$E$4:$E$2000,'Chase Log'!$B$4:$B$2000,$G86))</f>
        <v/>
      </c>
      <c r="X86" s="22" t="str">
        <f t="shared" ca="1" si="23"/>
        <v/>
      </c>
      <c r="Y86" s="27" t="str">
        <f>IF($W86="","",IF(OR(AND($Q86&lt;&gt;"",N($Q86)&gt;N($W86)),COUNTIFS('Chase Log'!$B$4:$B$2000,$G86,'Chase Log'!$E$4:$E$2000,$W86,'Chase Log'!$I$4:$I$2000,"Y")&gt;0),"",IF(_xlfn.MAXIFS('Chase Log'!$J$4:$J$2000,'Chase Log'!$B$4:$B$2000,$G86,'Chase Log'!$E$4:$E$2000,$W86)=0,"",_xlfn.MAXIFS('Chase Log'!$J$4:$J$2000,'Chase Log'!$B$4:$B$2000,$G86,'Chase Log'!$E$4:$E$2000,$W86))))</f>
        <v/>
      </c>
      <c r="Z86" s="13" t="str">
        <f ca="1">IF(OR($G86="",N($P86)&gt;=1,$C86="Live",$D86&lt;&gt;""),"",IF(AND($Y86&lt;&gt;"",N($Y86)&gt;0),IF($Y86&lt;TODAY(),"Chase Overdue","Scheduled"),IF(AND($Q86&lt;&gt;"",N($R86)&gt;='안내 Guide'!$D$4,OR($X86="",N($X86)&gt;='안내 Guide'!$D$4)),"Chase Needed","")))</f>
        <v/>
      </c>
      <c r="AA86" s="28"/>
      <c r="AB86" s="25"/>
      <c r="AC86" s="25" t="s">
        <v>494</v>
      </c>
      <c r="AD86" s="29" t="s">
        <v>495</v>
      </c>
      <c r="AE86" s="25"/>
      <c r="AF86" s="13" t="s">
        <v>302</v>
      </c>
      <c r="AG86" s="16" t="s">
        <v>168</v>
      </c>
      <c r="AH86" s="30">
        <v>45922</v>
      </c>
      <c r="AI86" s="30">
        <v>45922</v>
      </c>
      <c r="AJ86" s="30">
        <v>45922</v>
      </c>
      <c r="AK86" s="30">
        <v>45922</v>
      </c>
      <c r="AL86" s="30">
        <v>45955</v>
      </c>
      <c r="AM86" s="30">
        <v>45955</v>
      </c>
      <c r="AN86" s="30">
        <v>45955</v>
      </c>
      <c r="AO86" s="30">
        <v>46013</v>
      </c>
      <c r="AP86" s="30">
        <v>46024</v>
      </c>
      <c r="AQ86" s="30">
        <v>46025</v>
      </c>
      <c r="AR86" s="30">
        <v>46026</v>
      </c>
      <c r="AS86" s="30">
        <v>46027</v>
      </c>
      <c r="AT86" s="30">
        <v>46028</v>
      </c>
      <c r="AU86" s="30">
        <v>46029</v>
      </c>
    </row>
    <row r="87" spans="1:47" ht="25.5" customHeight="1">
      <c r="A87" s="22">
        <f t="shared" si="16"/>
        <v>83</v>
      </c>
      <c r="B87" s="22" t="str">
        <f t="shared" si="17"/>
        <v>Live</v>
      </c>
      <c r="C87" s="23"/>
      <c r="D87" s="23"/>
      <c r="E87" s="13" t="s">
        <v>29</v>
      </c>
      <c r="F87" s="13" t="s">
        <v>153</v>
      </c>
      <c r="G87" s="24" t="s">
        <v>496</v>
      </c>
      <c r="H87" s="13" t="s">
        <v>204</v>
      </c>
      <c r="I87" s="13" t="s">
        <v>285</v>
      </c>
      <c r="J87" s="13" t="s">
        <v>206</v>
      </c>
      <c r="K87" s="22"/>
      <c r="L87" s="13" t="s">
        <v>449</v>
      </c>
      <c r="M87" s="13" t="s">
        <v>39</v>
      </c>
      <c r="N87" s="13" t="s">
        <v>196</v>
      </c>
      <c r="O87" s="22" t="s">
        <v>208</v>
      </c>
      <c r="P87" s="26">
        <f t="shared" si="18"/>
        <v>1</v>
      </c>
      <c r="Q87" s="27">
        <f t="shared" si="19"/>
        <v>45990</v>
      </c>
      <c r="R87" s="22">
        <f t="shared" ca="1" si="20"/>
        <v>335</v>
      </c>
      <c r="S87" s="13" t="str">
        <f t="shared" si="21"/>
        <v>Live</v>
      </c>
      <c r="T87" s="13" t="str">
        <f>IF(COUNT($AH87:$AU87)=0,"",LOOKUP(2,1/($AH87:$AU87&lt;&gt;""),{"①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7" s="22">
        <f t="shared" ca="1" si="22"/>
        <v>121</v>
      </c>
      <c r="V87" s="22">
        <f>IF($G87="","",COUNTIF('Chase Log'!$B$4:$B$2000,$G87))</f>
        <v>0</v>
      </c>
      <c r="W87" s="27" t="str">
        <f>IF(N($V87)=0,"",_xlfn.MAXIFS('Chase Log'!$E$4:$E$2000,'Chase Log'!$B$4:$B$2000,$G87))</f>
        <v/>
      </c>
      <c r="X87" s="22" t="str">
        <f t="shared" ca="1" si="23"/>
        <v/>
      </c>
      <c r="Y87" s="27" t="str">
        <f>IF($W87="","",IF(OR(AND($Q87&lt;&gt;"",N($Q87)&gt;N($W87)),COUNTIFS('Chase Log'!$B$4:$B$2000,$G87,'Chase Log'!$E$4:$E$2000,$W87,'Chase Log'!$I$4:$I$2000,"Y")&gt;0),"",IF(_xlfn.MAXIFS('Chase Log'!$J$4:$J$2000,'Chase Log'!$B$4:$B$2000,$G87,'Chase Log'!$E$4:$E$2000,$W87)=0,"",_xlfn.MAXIFS('Chase Log'!$J$4:$J$2000,'Chase Log'!$B$4:$B$2000,$G87,'Chase Log'!$E$4:$E$2000,$W87))))</f>
        <v/>
      </c>
      <c r="Z87" s="13" t="str">
        <f ca="1">IF(OR($G87="",N($P87)&gt;=1,$C87="Live",$D87&lt;&gt;""),"",IF(AND($Y87&lt;&gt;"",N($Y87)&gt;0),IF($Y87&lt;TODAY(),"Chase Overdue","Scheduled"),IF(AND($Q87&lt;&gt;"",N($R87)&gt;='안내 Guide'!$D$4,OR($X87="",N($X87)&gt;='안내 Guide'!$D$4)),"Chase Needed","")))</f>
        <v/>
      </c>
      <c r="AA87" s="28"/>
      <c r="AB87" s="25"/>
      <c r="AC87" s="25" t="s">
        <v>497</v>
      </c>
      <c r="AD87" s="29" t="s">
        <v>498</v>
      </c>
      <c r="AE87" s="25"/>
      <c r="AF87" s="13" t="s">
        <v>499</v>
      </c>
      <c r="AG87" s="16" t="s">
        <v>168</v>
      </c>
      <c r="AH87" s="30">
        <v>45869</v>
      </c>
      <c r="AI87" s="30">
        <v>45869</v>
      </c>
      <c r="AJ87" s="30">
        <v>45869</v>
      </c>
      <c r="AK87" s="30">
        <v>45869</v>
      </c>
      <c r="AL87" s="30">
        <v>45875</v>
      </c>
      <c r="AM87" s="30">
        <v>45874</v>
      </c>
      <c r="AN87" s="30">
        <v>45931</v>
      </c>
      <c r="AO87" s="30">
        <v>45908</v>
      </c>
      <c r="AP87" s="30">
        <v>45930</v>
      </c>
      <c r="AQ87" s="30">
        <v>45952</v>
      </c>
      <c r="AR87" s="30">
        <v>45960</v>
      </c>
      <c r="AS87" s="30">
        <v>45960</v>
      </c>
      <c r="AT87" s="30">
        <v>45961</v>
      </c>
      <c r="AU87" s="30">
        <v>45990</v>
      </c>
    </row>
    <row r="88" spans="1:47" ht="25.5" customHeight="1">
      <c r="A88" s="22">
        <f t="shared" si="16"/>
        <v>84</v>
      </c>
      <c r="B88" s="22" t="str">
        <f t="shared" si="17"/>
        <v>Live</v>
      </c>
      <c r="C88" s="23"/>
      <c r="D88" s="23"/>
      <c r="E88" s="13" t="s">
        <v>29</v>
      </c>
      <c r="F88" s="13" t="s">
        <v>153</v>
      </c>
      <c r="G88" s="24" t="s">
        <v>500</v>
      </c>
      <c r="H88" s="13" t="s">
        <v>204</v>
      </c>
      <c r="I88" s="13" t="s">
        <v>285</v>
      </c>
      <c r="J88" s="13" t="s">
        <v>206</v>
      </c>
      <c r="K88" s="22"/>
      <c r="L88" s="13" t="s">
        <v>477</v>
      </c>
      <c r="M88" s="13" t="s">
        <v>39</v>
      </c>
      <c r="N88" s="13" t="s">
        <v>188</v>
      </c>
      <c r="O88" s="22" t="s">
        <v>208</v>
      </c>
      <c r="P88" s="26">
        <f t="shared" si="18"/>
        <v>1</v>
      </c>
      <c r="Q88" s="27">
        <f t="shared" si="19"/>
        <v>45959</v>
      </c>
      <c r="R88" s="22">
        <f t="shared" ca="1" si="20"/>
        <v>366</v>
      </c>
      <c r="S88" s="13" t="str">
        <f t="shared" si="21"/>
        <v>Live</v>
      </c>
      <c r="T88" s="13" t="str">
        <f>IF(COUNT($AH88:$AU88)=0,"",LOOKUP(2,1/($AH88:$AU88&lt;&gt;""),{"①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8" s="22">
        <f t="shared" ca="1" si="22"/>
        <v>2071</v>
      </c>
      <c r="V88" s="22">
        <f>IF($G88="","",COUNTIF('Chase Log'!$B$4:$B$2000,$G88))</f>
        <v>0</v>
      </c>
      <c r="W88" s="27" t="str">
        <f>IF(N($V88)=0,"",_xlfn.MAXIFS('Chase Log'!$E$4:$E$2000,'Chase Log'!$B$4:$B$2000,$G88))</f>
        <v/>
      </c>
      <c r="X88" s="22" t="str">
        <f t="shared" ca="1" si="23"/>
        <v/>
      </c>
      <c r="Y88" s="27" t="str">
        <f>IF($W88="","",IF(OR(AND($Q88&lt;&gt;"",N($Q88)&gt;N($W88)),COUNTIFS('Chase Log'!$B$4:$B$2000,$G88,'Chase Log'!$E$4:$E$2000,$W88,'Chase Log'!$I$4:$I$2000,"Y")&gt;0),"",IF(_xlfn.MAXIFS('Chase Log'!$J$4:$J$2000,'Chase Log'!$B$4:$B$2000,$G88,'Chase Log'!$E$4:$E$2000,$W88)=0,"",_xlfn.MAXIFS('Chase Log'!$J$4:$J$2000,'Chase Log'!$B$4:$B$2000,$G88,'Chase Log'!$E$4:$E$2000,$W88))))</f>
        <v/>
      </c>
      <c r="Z88" s="13" t="str">
        <f ca="1">IF(OR($G88="",N($P88)&gt;=1,$C88="Live",$D88&lt;&gt;""),"",IF(AND($Y88&lt;&gt;"",N($Y88)&gt;0),IF($Y88&lt;TODAY(),"Chase Overdue","Scheduled"),IF(AND($Q88&lt;&gt;"",N($R88)&gt;='안내 Guide'!$D$4,OR($X88="",N($X88)&gt;='안내 Guide'!$D$4)),"Chase Needed","")))</f>
        <v/>
      </c>
      <c r="AA88" s="28"/>
      <c r="AB88" s="25"/>
      <c r="AC88" s="25" t="s">
        <v>501</v>
      </c>
      <c r="AD88" s="29" t="s">
        <v>502</v>
      </c>
      <c r="AE88" s="25"/>
      <c r="AF88" s="13" t="s">
        <v>250</v>
      </c>
      <c r="AG88" s="16" t="s">
        <v>168</v>
      </c>
      <c r="AH88" s="30">
        <v>43888</v>
      </c>
      <c r="AI88" s="30">
        <v>43888</v>
      </c>
      <c r="AJ88" s="30">
        <v>43888</v>
      </c>
      <c r="AK88" s="30">
        <v>43888</v>
      </c>
      <c r="AL88" s="30">
        <v>45950</v>
      </c>
      <c r="AM88" s="30">
        <v>45951</v>
      </c>
      <c r="AN88" s="30">
        <v>45952</v>
      </c>
      <c r="AO88" s="30">
        <v>45953</v>
      </c>
      <c r="AP88" s="30">
        <v>45954</v>
      </c>
      <c r="AQ88" s="30">
        <v>45955</v>
      </c>
      <c r="AR88" s="30">
        <v>45956</v>
      </c>
      <c r="AS88" s="30">
        <v>45957</v>
      </c>
      <c r="AT88" s="30">
        <v>45958</v>
      </c>
      <c r="AU88" s="30">
        <v>45959</v>
      </c>
    </row>
    <row r="89" spans="1:47" ht="25.5" customHeight="1">
      <c r="A89" s="22">
        <f t="shared" si="16"/>
        <v>85</v>
      </c>
      <c r="B89" s="22" t="str">
        <f t="shared" si="17"/>
        <v>Live</v>
      </c>
      <c r="C89" s="23"/>
      <c r="D89" s="23"/>
      <c r="E89" s="13" t="s">
        <v>29</v>
      </c>
      <c r="F89" s="13" t="s">
        <v>153</v>
      </c>
      <c r="G89" s="24" t="s">
        <v>503</v>
      </c>
      <c r="H89" s="13" t="s">
        <v>204</v>
      </c>
      <c r="I89" s="13" t="s">
        <v>285</v>
      </c>
      <c r="J89" s="13" t="s">
        <v>206</v>
      </c>
      <c r="K89" s="22"/>
      <c r="L89" s="13" t="s">
        <v>449</v>
      </c>
      <c r="M89" s="13" t="s">
        <v>39</v>
      </c>
      <c r="N89" s="13" t="s">
        <v>196</v>
      </c>
      <c r="O89" s="22" t="s">
        <v>208</v>
      </c>
      <c r="P89" s="26">
        <f t="shared" si="18"/>
        <v>1</v>
      </c>
      <c r="Q89" s="27">
        <f t="shared" si="19"/>
        <v>45959</v>
      </c>
      <c r="R89" s="22">
        <f t="shared" ca="1" si="20"/>
        <v>366</v>
      </c>
      <c r="S89" s="13" t="str">
        <f t="shared" si="21"/>
        <v>Live</v>
      </c>
      <c r="T89" s="13" t="str">
        <f>IF(COUNT($AH89:$AU89)=0,"",LOOKUP(2,1/($AH89:$AU89&lt;&gt;""),{"①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89" s="22">
        <f t="shared" ca="1" si="22"/>
        <v>731</v>
      </c>
      <c r="V89" s="22">
        <f>IF($G89="","",COUNTIF('Chase Log'!$B$4:$B$2000,$G89))</f>
        <v>0</v>
      </c>
      <c r="W89" s="27" t="str">
        <f>IF(N($V89)=0,"",_xlfn.MAXIFS('Chase Log'!$E$4:$E$2000,'Chase Log'!$B$4:$B$2000,$G89))</f>
        <v/>
      </c>
      <c r="X89" s="22" t="str">
        <f t="shared" ca="1" si="23"/>
        <v/>
      </c>
      <c r="Y89" s="27" t="str">
        <f>IF($W89="","",IF(OR(AND($Q89&lt;&gt;"",N($Q89)&gt;N($W89)),COUNTIFS('Chase Log'!$B$4:$B$2000,$G89,'Chase Log'!$E$4:$E$2000,$W89,'Chase Log'!$I$4:$I$2000,"Y")&gt;0),"",IF(_xlfn.MAXIFS('Chase Log'!$J$4:$J$2000,'Chase Log'!$B$4:$B$2000,$G89,'Chase Log'!$E$4:$E$2000,$W89)=0,"",_xlfn.MAXIFS('Chase Log'!$J$4:$J$2000,'Chase Log'!$B$4:$B$2000,$G89,'Chase Log'!$E$4:$E$2000,$W89))))</f>
        <v/>
      </c>
      <c r="Z89" s="13" t="str">
        <f ca="1">IF(OR($G89="",N($P89)&gt;=1,$C89="Live",$D89&lt;&gt;""),"",IF(AND($Y89&lt;&gt;"",N($Y89)&gt;0),IF($Y89&lt;TODAY(),"Chase Overdue","Scheduled"),IF(AND($Q89&lt;&gt;"",N($R89)&gt;='안내 Guide'!$D$4,OR($X89="",N($X89)&gt;='안내 Guide'!$D$4)),"Chase Needed","")))</f>
        <v/>
      </c>
      <c r="AA89" s="28"/>
      <c r="AB89" s="25"/>
      <c r="AC89" s="25" t="s">
        <v>504</v>
      </c>
      <c r="AD89" s="29" t="s">
        <v>505</v>
      </c>
      <c r="AE89" s="25"/>
      <c r="AF89" s="13" t="s">
        <v>199</v>
      </c>
      <c r="AG89" s="16" t="s">
        <v>168</v>
      </c>
      <c r="AH89" s="30">
        <v>45228</v>
      </c>
      <c r="AI89" s="30">
        <v>45228</v>
      </c>
      <c r="AJ89" s="30">
        <v>45228</v>
      </c>
      <c r="AK89" s="30">
        <v>45228</v>
      </c>
      <c r="AL89" s="30">
        <v>45251</v>
      </c>
      <c r="AM89" s="30">
        <v>45236</v>
      </c>
      <c r="AN89" s="30">
        <v>45952</v>
      </c>
      <c r="AO89" s="30">
        <v>45953</v>
      </c>
      <c r="AP89" s="30">
        <v>45954</v>
      </c>
      <c r="AQ89" s="30">
        <v>45955</v>
      </c>
      <c r="AR89" s="30">
        <v>45956</v>
      </c>
      <c r="AS89" s="30">
        <v>45957</v>
      </c>
      <c r="AT89" s="30">
        <v>45958</v>
      </c>
      <c r="AU89" s="30">
        <v>45959</v>
      </c>
    </row>
    <row r="90" spans="1:47" ht="25.5" customHeight="1">
      <c r="A90" s="22">
        <f t="shared" si="16"/>
        <v>86</v>
      </c>
      <c r="B90" s="22" t="str">
        <f t="shared" si="17"/>
        <v>Live</v>
      </c>
      <c r="C90" s="23"/>
      <c r="D90" s="23"/>
      <c r="E90" s="13" t="s">
        <v>29</v>
      </c>
      <c r="F90" s="13" t="s">
        <v>153</v>
      </c>
      <c r="G90" s="24" t="s">
        <v>506</v>
      </c>
      <c r="H90" s="13" t="s">
        <v>204</v>
      </c>
      <c r="I90" s="13" t="s">
        <v>285</v>
      </c>
      <c r="J90" s="13" t="s">
        <v>206</v>
      </c>
      <c r="K90" s="22"/>
      <c r="L90" s="13" t="s">
        <v>449</v>
      </c>
      <c r="M90" s="13" t="s">
        <v>39</v>
      </c>
      <c r="N90" s="13" t="s">
        <v>196</v>
      </c>
      <c r="O90" s="22" t="s">
        <v>208</v>
      </c>
      <c r="P90" s="26">
        <f t="shared" si="18"/>
        <v>1</v>
      </c>
      <c r="Q90" s="27">
        <f t="shared" si="19"/>
        <v>45959</v>
      </c>
      <c r="R90" s="22">
        <f t="shared" ca="1" si="20"/>
        <v>366</v>
      </c>
      <c r="S90" s="13" t="str">
        <f t="shared" si="21"/>
        <v>Live</v>
      </c>
      <c r="T90" s="13" t="str">
        <f>IF(COUNT($AH90:$AU90)=0,"",LOOKUP(2,1/($AH90:$AU90&lt;&gt;""),{"①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0" s="22">
        <f t="shared" ca="1" si="22"/>
        <v>632</v>
      </c>
      <c r="V90" s="22">
        <f>IF($G90="","",COUNTIF('Chase Log'!$B$4:$B$2000,$G90))</f>
        <v>0</v>
      </c>
      <c r="W90" s="27" t="str">
        <f>IF(N($V90)=0,"",_xlfn.MAXIFS('Chase Log'!$E$4:$E$2000,'Chase Log'!$B$4:$B$2000,$G90))</f>
        <v/>
      </c>
      <c r="X90" s="22" t="str">
        <f t="shared" ca="1" si="23"/>
        <v/>
      </c>
      <c r="Y90" s="27" t="str">
        <f>IF($W90="","",IF(OR(AND($Q90&lt;&gt;"",N($Q90)&gt;N($W90)),COUNTIFS('Chase Log'!$B$4:$B$2000,$G90,'Chase Log'!$E$4:$E$2000,$W90,'Chase Log'!$I$4:$I$2000,"Y")&gt;0),"",IF(_xlfn.MAXIFS('Chase Log'!$J$4:$J$2000,'Chase Log'!$B$4:$B$2000,$G90,'Chase Log'!$E$4:$E$2000,$W90)=0,"",_xlfn.MAXIFS('Chase Log'!$J$4:$J$2000,'Chase Log'!$B$4:$B$2000,$G90,'Chase Log'!$E$4:$E$2000,$W90))))</f>
        <v/>
      </c>
      <c r="Z90" s="13" t="str">
        <f ca="1">IF(OR($G90="",N($P90)&gt;=1,$C90="Live",$D90&lt;&gt;""),"",IF(AND($Y90&lt;&gt;"",N($Y90)&gt;0),IF($Y90&lt;TODAY(),"Chase Overdue","Scheduled"),IF(AND($Q90&lt;&gt;"",N($R90)&gt;='안내 Guide'!$D$4,OR($X90="",N($X90)&gt;='안내 Guide'!$D$4)),"Chase Needed","")))</f>
        <v/>
      </c>
      <c r="AA90" s="28"/>
      <c r="AB90" s="25"/>
      <c r="AC90" s="25" t="s">
        <v>507</v>
      </c>
      <c r="AD90" s="29" t="s">
        <v>508</v>
      </c>
      <c r="AE90" s="25"/>
      <c r="AF90" s="13" t="s">
        <v>509</v>
      </c>
      <c r="AG90" s="16" t="s">
        <v>168</v>
      </c>
      <c r="AH90" s="30">
        <v>45327</v>
      </c>
      <c r="AI90" s="30">
        <v>45327</v>
      </c>
      <c r="AJ90" s="30">
        <v>45327</v>
      </c>
      <c r="AK90" s="30">
        <v>45327</v>
      </c>
      <c r="AL90" s="30">
        <v>45327</v>
      </c>
      <c r="AM90" s="30">
        <v>45327</v>
      </c>
      <c r="AN90" s="30">
        <v>45952</v>
      </c>
      <c r="AO90" s="30">
        <v>45953</v>
      </c>
      <c r="AP90" s="30">
        <v>45954</v>
      </c>
      <c r="AQ90" s="30">
        <v>45955</v>
      </c>
      <c r="AR90" s="30">
        <v>45956</v>
      </c>
      <c r="AS90" s="30">
        <v>45957</v>
      </c>
      <c r="AT90" s="30">
        <v>45958</v>
      </c>
      <c r="AU90" s="30">
        <v>45959</v>
      </c>
    </row>
    <row r="91" spans="1:47" ht="25.5" customHeight="1">
      <c r="A91" s="22">
        <f t="shared" si="16"/>
        <v>87</v>
      </c>
      <c r="B91" s="22" t="str">
        <f t="shared" si="17"/>
        <v>Live</v>
      </c>
      <c r="C91" s="23"/>
      <c r="D91" s="23"/>
      <c r="E91" s="13" t="s">
        <v>29</v>
      </c>
      <c r="F91" s="13" t="s">
        <v>153</v>
      </c>
      <c r="G91" s="24" t="s">
        <v>510</v>
      </c>
      <c r="H91" s="13" t="s">
        <v>204</v>
      </c>
      <c r="I91" s="13" t="s">
        <v>285</v>
      </c>
      <c r="J91" s="13" t="s">
        <v>206</v>
      </c>
      <c r="K91" s="22"/>
      <c r="L91" s="13" t="s">
        <v>449</v>
      </c>
      <c r="M91" s="13" t="s">
        <v>39</v>
      </c>
      <c r="N91" s="13" t="s">
        <v>188</v>
      </c>
      <c r="O91" s="22" t="s">
        <v>208</v>
      </c>
      <c r="P91" s="26">
        <f t="shared" si="18"/>
        <v>1</v>
      </c>
      <c r="Q91" s="27">
        <f t="shared" si="19"/>
        <v>45959</v>
      </c>
      <c r="R91" s="22">
        <f t="shared" ca="1" si="20"/>
        <v>366</v>
      </c>
      <c r="S91" s="13" t="str">
        <f t="shared" si="21"/>
        <v>Live</v>
      </c>
      <c r="T91" s="13" t="str">
        <f>IF(COUNT($AH91:$AU91)=0,"",LOOKUP(2,1/($AH91:$AU91&lt;&gt;""),{"①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1" s="22">
        <f t="shared" ca="1" si="22"/>
        <v>13</v>
      </c>
      <c r="V91" s="22">
        <f>IF($G91="","",COUNTIF('Chase Log'!$B$4:$B$2000,$G91))</f>
        <v>0</v>
      </c>
      <c r="W91" s="27" t="str">
        <f>IF(N($V91)=0,"",_xlfn.MAXIFS('Chase Log'!$E$4:$E$2000,'Chase Log'!$B$4:$B$2000,$G91))</f>
        <v/>
      </c>
      <c r="X91" s="22" t="str">
        <f t="shared" ca="1" si="23"/>
        <v/>
      </c>
      <c r="Y91" s="27" t="str">
        <f>IF($W91="","",IF(OR(AND($Q91&lt;&gt;"",N($Q91)&gt;N($W91)),COUNTIFS('Chase Log'!$B$4:$B$2000,$G91,'Chase Log'!$E$4:$E$2000,$W91,'Chase Log'!$I$4:$I$2000,"Y")&gt;0),"",IF(_xlfn.MAXIFS('Chase Log'!$J$4:$J$2000,'Chase Log'!$B$4:$B$2000,$G91,'Chase Log'!$E$4:$E$2000,$W91)=0,"",_xlfn.MAXIFS('Chase Log'!$J$4:$J$2000,'Chase Log'!$B$4:$B$2000,$G91,'Chase Log'!$E$4:$E$2000,$W91))))</f>
        <v/>
      </c>
      <c r="Z91" s="13" t="str">
        <f ca="1">IF(OR($G91="",N($P91)&gt;=1,$C91="Live",$D91&lt;&gt;""),"",IF(AND($Y91&lt;&gt;"",N($Y91)&gt;0),IF($Y91&lt;TODAY(),"Chase Overdue","Scheduled"),IF(AND($Q91&lt;&gt;"",N($R91)&gt;='안내 Guide'!$D$4,OR($X91="",N($X91)&gt;='안내 Guide'!$D$4)),"Chase Needed","")))</f>
        <v/>
      </c>
      <c r="AA91" s="28"/>
      <c r="AB91" s="25"/>
      <c r="AC91" s="25" t="s">
        <v>511</v>
      </c>
      <c r="AD91" s="29" t="s">
        <v>512</v>
      </c>
      <c r="AE91" s="25"/>
      <c r="AF91" s="13" t="s">
        <v>260</v>
      </c>
      <c r="AG91" s="16" t="s">
        <v>168</v>
      </c>
      <c r="AH91" s="30">
        <v>45946</v>
      </c>
      <c r="AI91" s="30">
        <v>45947</v>
      </c>
      <c r="AJ91" s="30">
        <v>45948</v>
      </c>
      <c r="AK91" s="30">
        <v>45949</v>
      </c>
      <c r="AL91" s="30">
        <v>45950</v>
      </c>
      <c r="AM91" s="30">
        <v>45951</v>
      </c>
      <c r="AN91" s="30">
        <v>45952</v>
      </c>
      <c r="AO91" s="30">
        <v>45953</v>
      </c>
      <c r="AP91" s="30">
        <v>45954</v>
      </c>
      <c r="AQ91" s="30">
        <v>45955</v>
      </c>
      <c r="AR91" s="30">
        <v>45956</v>
      </c>
      <c r="AS91" s="30">
        <v>45957</v>
      </c>
      <c r="AT91" s="30">
        <v>45958</v>
      </c>
      <c r="AU91" s="30">
        <v>45959</v>
      </c>
    </row>
    <row r="92" spans="1:47" ht="25.5" customHeight="1">
      <c r="A92" s="22">
        <f t="shared" si="16"/>
        <v>88</v>
      </c>
      <c r="B92" s="22" t="str">
        <f t="shared" si="17"/>
        <v>Live</v>
      </c>
      <c r="C92" s="23"/>
      <c r="D92" s="23"/>
      <c r="E92" s="13" t="s">
        <v>29</v>
      </c>
      <c r="F92" s="13" t="s">
        <v>153</v>
      </c>
      <c r="G92" s="24" t="s">
        <v>513</v>
      </c>
      <c r="H92" s="13" t="s">
        <v>204</v>
      </c>
      <c r="I92" s="13" t="s">
        <v>285</v>
      </c>
      <c r="J92" s="13" t="s">
        <v>206</v>
      </c>
      <c r="K92" s="22"/>
      <c r="L92" s="13" t="s">
        <v>449</v>
      </c>
      <c r="M92" s="13" t="s">
        <v>39</v>
      </c>
      <c r="N92" s="13" t="s">
        <v>196</v>
      </c>
      <c r="O92" s="22" t="s">
        <v>208</v>
      </c>
      <c r="P92" s="26">
        <f t="shared" si="18"/>
        <v>1</v>
      </c>
      <c r="Q92" s="27">
        <f t="shared" si="19"/>
        <v>46029</v>
      </c>
      <c r="R92" s="22">
        <f t="shared" ca="1" si="20"/>
        <v>296</v>
      </c>
      <c r="S92" s="13" t="str">
        <f t="shared" si="21"/>
        <v>Live</v>
      </c>
      <c r="T92" s="13" t="str">
        <f>IF(COUNT($AH92:$AU92)=0,"",LOOKUP(2,1/($AH92:$AU92&lt;&gt;""),{"①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2" s="22">
        <f t="shared" ca="1" si="22"/>
        <v>89</v>
      </c>
      <c r="V92" s="22">
        <f>IF($G92="","",COUNTIF('Chase Log'!$B$4:$B$2000,$G92))</f>
        <v>0</v>
      </c>
      <c r="W92" s="27" t="str">
        <f>IF(N($V92)=0,"",_xlfn.MAXIFS('Chase Log'!$E$4:$E$2000,'Chase Log'!$B$4:$B$2000,$G92))</f>
        <v/>
      </c>
      <c r="X92" s="22" t="str">
        <f t="shared" ca="1" si="23"/>
        <v/>
      </c>
      <c r="Y92" s="27" t="str">
        <f>IF($W92="","",IF(OR(AND($Q92&lt;&gt;"",N($Q92)&gt;N($W92)),COUNTIFS('Chase Log'!$B$4:$B$2000,$G92,'Chase Log'!$E$4:$E$2000,$W92,'Chase Log'!$I$4:$I$2000,"Y")&gt;0),"",IF(_xlfn.MAXIFS('Chase Log'!$J$4:$J$2000,'Chase Log'!$B$4:$B$2000,$G92,'Chase Log'!$E$4:$E$2000,$W92)=0,"",_xlfn.MAXIFS('Chase Log'!$J$4:$J$2000,'Chase Log'!$B$4:$B$2000,$G92,'Chase Log'!$E$4:$E$2000,$W92))))</f>
        <v/>
      </c>
      <c r="Z92" s="13" t="str">
        <f ca="1">IF(OR($G92="",N($P92)&gt;=1,$C92="Live",$D92&lt;&gt;""),"",IF(AND($Y92&lt;&gt;"",N($Y92)&gt;0),IF($Y92&lt;TODAY(),"Chase Overdue","Scheduled"),IF(AND($Q92&lt;&gt;"",N($R92)&gt;='안내 Guide'!$D$4,OR($X92="",N($X92)&gt;='안내 Guide'!$D$4)),"Chase Needed","")))</f>
        <v/>
      </c>
      <c r="AA92" s="28"/>
      <c r="AB92" s="25"/>
      <c r="AC92" s="25" t="s">
        <v>514</v>
      </c>
      <c r="AD92" s="29" t="s">
        <v>515</v>
      </c>
      <c r="AE92" s="25"/>
      <c r="AF92" s="13" t="s">
        <v>516</v>
      </c>
      <c r="AG92" s="16" t="s">
        <v>168</v>
      </c>
      <c r="AH92" s="30">
        <v>45940</v>
      </c>
      <c r="AI92" s="30">
        <v>45940</v>
      </c>
      <c r="AJ92" s="30">
        <v>45940</v>
      </c>
      <c r="AK92" s="30">
        <v>45940</v>
      </c>
      <c r="AL92" s="30">
        <v>45974</v>
      </c>
      <c r="AM92" s="30">
        <v>45974</v>
      </c>
      <c r="AN92" s="30">
        <v>45974</v>
      </c>
      <c r="AO92" s="30">
        <v>45974</v>
      </c>
      <c r="AP92" s="30">
        <v>45985</v>
      </c>
      <c r="AQ92" s="30">
        <v>46025</v>
      </c>
      <c r="AR92" s="30">
        <v>46026</v>
      </c>
      <c r="AS92" s="30">
        <v>46027</v>
      </c>
      <c r="AT92" s="30">
        <v>46028</v>
      </c>
      <c r="AU92" s="30">
        <v>46029</v>
      </c>
    </row>
    <row r="93" spans="1:47" ht="25.5" customHeight="1">
      <c r="A93" s="22">
        <f t="shared" si="16"/>
        <v>89</v>
      </c>
      <c r="B93" s="22" t="str">
        <f t="shared" si="17"/>
        <v>Live</v>
      </c>
      <c r="C93" s="23"/>
      <c r="D93" s="23"/>
      <c r="E93" s="13" t="s">
        <v>29</v>
      </c>
      <c r="F93" s="13" t="s">
        <v>153</v>
      </c>
      <c r="G93" s="24" t="s">
        <v>517</v>
      </c>
      <c r="H93" s="13" t="s">
        <v>204</v>
      </c>
      <c r="I93" s="13" t="s">
        <v>285</v>
      </c>
      <c r="J93" s="13" t="s">
        <v>206</v>
      </c>
      <c r="K93" s="22" t="s">
        <v>194</v>
      </c>
      <c r="L93" s="13" t="s">
        <v>449</v>
      </c>
      <c r="M93" s="13" t="s">
        <v>39</v>
      </c>
      <c r="N93" s="13" t="s">
        <v>196</v>
      </c>
      <c r="O93" s="22" t="s">
        <v>208</v>
      </c>
      <c r="P93" s="26">
        <f t="shared" si="18"/>
        <v>1</v>
      </c>
      <c r="Q93" s="27">
        <f t="shared" si="19"/>
        <v>46276</v>
      </c>
      <c r="R93" s="22">
        <f t="shared" ca="1" si="20"/>
        <v>49</v>
      </c>
      <c r="S93" s="13" t="str">
        <f t="shared" si="21"/>
        <v>Live</v>
      </c>
      <c r="T93" s="13" t="str">
        <f>IF(COUNT($AH93:$AU93)=0,"",LOOKUP(2,1/($AH93:$AU93&lt;&gt;""),{"①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3" s="22">
        <f t="shared" ca="1" si="22"/>
        <v>32</v>
      </c>
      <c r="V93" s="22">
        <f>IF($G93="","",COUNTIF('Chase Log'!$B$4:$B$2000,$G93))</f>
        <v>0</v>
      </c>
      <c r="W93" s="27" t="str">
        <f>IF(N($V93)=0,"",_xlfn.MAXIFS('Chase Log'!$E$4:$E$2000,'Chase Log'!$B$4:$B$2000,$G93))</f>
        <v/>
      </c>
      <c r="X93" s="22" t="str">
        <f t="shared" ca="1" si="23"/>
        <v/>
      </c>
      <c r="Y93" s="27" t="str">
        <f>IF($W93="","",IF(OR(AND($Q93&lt;&gt;"",N($Q93)&gt;N($W93)),COUNTIFS('Chase Log'!$B$4:$B$2000,$G93,'Chase Log'!$E$4:$E$2000,$W93,'Chase Log'!$I$4:$I$2000,"Y")&gt;0),"",IF(_xlfn.MAXIFS('Chase Log'!$J$4:$J$2000,'Chase Log'!$B$4:$B$2000,$G93,'Chase Log'!$E$4:$E$2000,$W93)=0,"",_xlfn.MAXIFS('Chase Log'!$J$4:$J$2000,'Chase Log'!$B$4:$B$2000,$G93,'Chase Log'!$E$4:$E$2000,$W93))))</f>
        <v/>
      </c>
      <c r="Z93" s="13" t="str">
        <f ca="1">IF(OR($G93="",N($P93)&gt;=1,$C93="Live",$D93&lt;&gt;""),"",IF(AND($Y93&lt;&gt;"",N($Y93)&gt;0),IF($Y93&lt;TODAY(),"Chase Overdue","Scheduled"),IF(AND($Q93&lt;&gt;"",N($R93)&gt;='안내 Guide'!$D$4,OR($X93="",N($X93)&gt;='안내 Guide'!$D$4)),"Chase Needed","")))</f>
        <v/>
      </c>
      <c r="AA93" s="28"/>
      <c r="AB93" s="25"/>
      <c r="AC93" s="25" t="s">
        <v>518</v>
      </c>
      <c r="AD93" s="29" t="s">
        <v>519</v>
      </c>
      <c r="AE93" s="25"/>
      <c r="AF93" s="13" t="s">
        <v>520</v>
      </c>
      <c r="AG93" s="16" t="s">
        <v>168</v>
      </c>
      <c r="AH93" s="30">
        <v>46244</v>
      </c>
      <c r="AI93" s="30">
        <v>46244</v>
      </c>
      <c r="AJ93" s="30">
        <v>46244</v>
      </c>
      <c r="AK93" s="30">
        <v>46244</v>
      </c>
      <c r="AL93" s="30">
        <v>46245</v>
      </c>
      <c r="AM93" s="30">
        <v>46246</v>
      </c>
      <c r="AN93" s="30">
        <v>46247</v>
      </c>
      <c r="AO93" s="30">
        <v>46248</v>
      </c>
      <c r="AP93" s="30">
        <v>46271</v>
      </c>
      <c r="AQ93" s="30">
        <v>46272</v>
      </c>
      <c r="AR93" s="30">
        <v>46273</v>
      </c>
      <c r="AS93" s="30">
        <v>46274</v>
      </c>
      <c r="AT93" s="30">
        <v>46275</v>
      </c>
      <c r="AU93" s="30">
        <v>46276</v>
      </c>
    </row>
    <row r="94" spans="1:47" ht="25.5" customHeight="1">
      <c r="A94" s="22">
        <f t="shared" si="16"/>
        <v>90</v>
      </c>
      <c r="B94" s="22" t="str">
        <f t="shared" si="17"/>
        <v>Live</v>
      </c>
      <c r="C94" s="23"/>
      <c r="D94" s="23"/>
      <c r="E94" s="13" t="s">
        <v>29</v>
      </c>
      <c r="F94" s="13" t="s">
        <v>153</v>
      </c>
      <c r="G94" s="24" t="s">
        <v>521</v>
      </c>
      <c r="H94" s="13" t="s">
        <v>204</v>
      </c>
      <c r="I94" s="13" t="s">
        <v>285</v>
      </c>
      <c r="J94" s="13" t="s">
        <v>206</v>
      </c>
      <c r="K94" s="22"/>
      <c r="L94" s="13" t="s">
        <v>449</v>
      </c>
      <c r="M94" s="13" t="s">
        <v>39</v>
      </c>
      <c r="N94" s="13" t="s">
        <v>196</v>
      </c>
      <c r="O94" s="22" t="s">
        <v>208</v>
      </c>
      <c r="P94" s="26">
        <f t="shared" si="18"/>
        <v>1</v>
      </c>
      <c r="Q94" s="27">
        <f t="shared" si="19"/>
        <v>45959</v>
      </c>
      <c r="R94" s="22">
        <f t="shared" ca="1" si="20"/>
        <v>366</v>
      </c>
      <c r="S94" s="13" t="str">
        <f t="shared" si="21"/>
        <v>Live</v>
      </c>
      <c r="T94" s="13" t="str">
        <f>IF(COUNT($AH94:$AU94)=0,"",LOOKUP(2,1/($AH94:$AU94&lt;&gt;""),{"①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4" s="22">
        <f t="shared" ca="1" si="22"/>
        <v>764</v>
      </c>
      <c r="V94" s="22">
        <f>IF($G94="","",COUNTIF('Chase Log'!$B$4:$B$2000,$G94))</f>
        <v>1</v>
      </c>
      <c r="W94" s="27">
        <f>IF(N($V94)=0,"",_xlfn.MAXIFS('Chase Log'!$E$4:$E$2000,'Chase Log'!$B$4:$B$2000,$G94))</f>
        <v>46323</v>
      </c>
      <c r="X94" s="22">
        <f t="shared" ca="1" si="23"/>
        <v>2</v>
      </c>
      <c r="Y94" s="27">
        <f>IF($W94="","",IF(OR(AND($Q94&lt;&gt;"",N($Q94)&gt;N($W94)),COUNTIFS('Chase Log'!$B$4:$B$2000,$G94,'Chase Log'!$E$4:$E$2000,$W94,'Chase Log'!$I$4:$I$2000,"Y")&gt;0),"",IF(_xlfn.MAXIFS('Chase Log'!$J$4:$J$2000,'Chase Log'!$B$4:$B$2000,$G94,'Chase Log'!$E$4:$E$2000,$W94)=0,"",_xlfn.MAXIFS('Chase Log'!$J$4:$J$2000,'Chase Log'!$B$4:$B$2000,$G94,'Chase Log'!$E$4:$E$2000,$W94))))</f>
        <v>46330</v>
      </c>
      <c r="Z94" s="13" t="str">
        <f ca="1">IF(OR($G94="",N($P94)&gt;=1,$C94="Live",$D94&lt;&gt;""),"",IF(AND($Y94&lt;&gt;"",N($Y94)&gt;0),IF($Y94&lt;TODAY(),"Chase Overdue","Scheduled"),IF(AND($Q94&lt;&gt;"",N($R94)&gt;='안내 Guide'!$D$4,OR($X94="",N($X94)&gt;='안내 Guide'!$D$4)),"Chase Needed","")))</f>
        <v/>
      </c>
      <c r="AA94" s="28"/>
      <c r="AB94" s="25"/>
      <c r="AC94" s="25" t="s">
        <v>494</v>
      </c>
      <c r="AD94" s="29" t="s">
        <v>495</v>
      </c>
      <c r="AE94" s="25"/>
      <c r="AF94" s="13" t="s">
        <v>302</v>
      </c>
      <c r="AG94" s="16" t="s">
        <v>168</v>
      </c>
      <c r="AH94" s="30">
        <v>45195</v>
      </c>
      <c r="AI94" s="30">
        <v>45195</v>
      </c>
      <c r="AJ94" s="30">
        <v>45195</v>
      </c>
      <c r="AK94" s="30">
        <v>45195</v>
      </c>
      <c r="AL94" s="30">
        <v>45217</v>
      </c>
      <c r="AM94" s="30">
        <v>45217</v>
      </c>
      <c r="AN94" s="30">
        <v>45952</v>
      </c>
      <c r="AO94" s="30">
        <v>45953</v>
      </c>
      <c r="AP94" s="30">
        <v>45954</v>
      </c>
      <c r="AQ94" s="30">
        <v>45955</v>
      </c>
      <c r="AR94" s="30">
        <v>45956</v>
      </c>
      <c r="AS94" s="30">
        <v>45957</v>
      </c>
      <c r="AT94" s="30">
        <v>45958</v>
      </c>
      <c r="AU94" s="30">
        <v>45959</v>
      </c>
    </row>
    <row r="95" spans="1:47" ht="25.5" customHeight="1">
      <c r="A95" s="22">
        <f t="shared" si="16"/>
        <v>91</v>
      </c>
      <c r="B95" s="22" t="str">
        <f t="shared" si="17"/>
        <v>Live</v>
      </c>
      <c r="C95" s="23"/>
      <c r="D95" s="23"/>
      <c r="E95" s="13" t="s">
        <v>29</v>
      </c>
      <c r="F95" s="13" t="s">
        <v>153</v>
      </c>
      <c r="G95" s="24" t="s">
        <v>522</v>
      </c>
      <c r="H95" s="13" t="s">
        <v>204</v>
      </c>
      <c r="I95" s="13" t="s">
        <v>285</v>
      </c>
      <c r="J95" s="13" t="s">
        <v>206</v>
      </c>
      <c r="K95" s="22"/>
      <c r="L95" s="13" t="s">
        <v>449</v>
      </c>
      <c r="M95" s="13" t="s">
        <v>39</v>
      </c>
      <c r="N95" s="13" t="s">
        <v>196</v>
      </c>
      <c r="O95" s="22" t="s">
        <v>208</v>
      </c>
      <c r="P95" s="26">
        <f t="shared" si="18"/>
        <v>1</v>
      </c>
      <c r="Q95" s="27">
        <f t="shared" si="19"/>
        <v>45965</v>
      </c>
      <c r="R95" s="22">
        <f t="shared" ca="1" si="20"/>
        <v>360</v>
      </c>
      <c r="S95" s="13" t="str">
        <f t="shared" si="21"/>
        <v>Live</v>
      </c>
      <c r="T95" s="13" t="str">
        <f>IF(COUNT($AH95:$AU95)=0,"",LOOKUP(2,1/($AH95:$AU95&lt;&gt;""),{"①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5" s="22">
        <f t="shared" ca="1" si="22"/>
        <v>61</v>
      </c>
      <c r="V95" s="22">
        <f>IF($G95="","",COUNTIF('Chase Log'!$B$4:$B$2000,$G95))</f>
        <v>0</v>
      </c>
      <c r="W95" s="27" t="str">
        <f>IF(N($V95)=0,"",_xlfn.MAXIFS('Chase Log'!$E$4:$E$2000,'Chase Log'!$B$4:$B$2000,$G95))</f>
        <v/>
      </c>
      <c r="X95" s="22" t="str">
        <f t="shared" ca="1" si="23"/>
        <v/>
      </c>
      <c r="Y95" s="27" t="str">
        <f>IF($W95="","",IF(OR(AND($Q95&lt;&gt;"",N($Q95)&gt;N($W95)),COUNTIFS('Chase Log'!$B$4:$B$2000,$G95,'Chase Log'!$E$4:$E$2000,$W95,'Chase Log'!$I$4:$I$2000,"Y")&gt;0),"",IF(_xlfn.MAXIFS('Chase Log'!$J$4:$J$2000,'Chase Log'!$B$4:$B$2000,$G95,'Chase Log'!$E$4:$E$2000,$W95)=0,"",_xlfn.MAXIFS('Chase Log'!$J$4:$J$2000,'Chase Log'!$B$4:$B$2000,$G95,'Chase Log'!$E$4:$E$2000,$W95))))</f>
        <v/>
      </c>
      <c r="Z95" s="13" t="str">
        <f ca="1">IF(OR($G95="",N($P95)&gt;=1,$C95="Live",$D95&lt;&gt;""),"",IF(AND($Y95&lt;&gt;"",N($Y95)&gt;0),IF($Y95&lt;TODAY(),"Chase Overdue","Scheduled"),IF(AND($Q95&lt;&gt;"",N($R95)&gt;='안내 Guide'!$D$4,OR($X95="",N($X95)&gt;='안내 Guide'!$D$4)),"Chase Needed","")))</f>
        <v/>
      </c>
      <c r="AA95" s="28"/>
      <c r="AB95" s="25"/>
      <c r="AC95" s="25" t="s">
        <v>523</v>
      </c>
      <c r="AD95" s="29" t="s">
        <v>524</v>
      </c>
      <c r="AE95" s="25"/>
      <c r="AF95" s="13" t="s">
        <v>525</v>
      </c>
      <c r="AG95" s="16" t="s">
        <v>168</v>
      </c>
      <c r="AH95" s="30">
        <v>45904</v>
      </c>
      <c r="AI95" s="30">
        <v>45904</v>
      </c>
      <c r="AJ95" s="30">
        <v>45904</v>
      </c>
      <c r="AK95" s="30">
        <v>45904</v>
      </c>
      <c r="AL95" s="30">
        <v>45904</v>
      </c>
      <c r="AM95" s="30">
        <v>45905</v>
      </c>
      <c r="AN95" s="30">
        <v>45916</v>
      </c>
      <c r="AO95" s="30">
        <v>45916</v>
      </c>
      <c r="AP95" s="30">
        <v>45916</v>
      </c>
      <c r="AQ95" s="30">
        <v>45916</v>
      </c>
      <c r="AR95" s="30">
        <v>45940</v>
      </c>
      <c r="AS95" s="30">
        <v>45940</v>
      </c>
      <c r="AT95" s="30">
        <v>45940</v>
      </c>
      <c r="AU95" s="30">
        <v>45965</v>
      </c>
    </row>
    <row r="96" spans="1:47" ht="25.5" customHeight="1">
      <c r="A96" s="22">
        <f t="shared" si="16"/>
        <v>92</v>
      </c>
      <c r="B96" s="22" t="str">
        <f t="shared" si="17"/>
        <v>Live</v>
      </c>
      <c r="C96" s="23"/>
      <c r="D96" s="23"/>
      <c r="E96" s="13" t="s">
        <v>30</v>
      </c>
      <c r="F96" s="13" t="s">
        <v>191</v>
      </c>
      <c r="G96" s="24" t="s">
        <v>526</v>
      </c>
      <c r="H96" s="13" t="s">
        <v>204</v>
      </c>
      <c r="I96" s="13" t="s">
        <v>285</v>
      </c>
      <c r="J96" s="13" t="s">
        <v>206</v>
      </c>
      <c r="K96" s="22"/>
      <c r="L96" s="13" t="s">
        <v>477</v>
      </c>
      <c r="M96" s="13" t="s">
        <v>45</v>
      </c>
      <c r="N96" s="13" t="s">
        <v>188</v>
      </c>
      <c r="O96" s="22" t="s">
        <v>208</v>
      </c>
      <c r="P96" s="26">
        <f t="shared" si="18"/>
        <v>1</v>
      </c>
      <c r="Q96" s="27">
        <f t="shared" si="19"/>
        <v>43845</v>
      </c>
      <c r="R96" s="22">
        <f t="shared" ca="1" si="20"/>
        <v>2480</v>
      </c>
      <c r="S96" s="13" t="str">
        <f t="shared" si="21"/>
        <v>Live</v>
      </c>
      <c r="T96" s="13" t="str">
        <f>IF(COUNT($AH96:$AU96)=0,"",LOOKUP(2,1/($AH96:$AU96&lt;&gt;""),{"①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6" s="22">
        <f t="shared" ca="1" si="22"/>
        <v>13</v>
      </c>
      <c r="V96" s="22">
        <f>IF($G96="","",COUNTIF('Chase Log'!$B$4:$B$2000,$G96))</f>
        <v>7</v>
      </c>
      <c r="W96" s="27">
        <f>IF(N($V96)=0,"",_xlfn.MAXIFS('Chase Log'!$E$4:$E$2000,'Chase Log'!$B$4:$B$2000,$G96))</f>
        <v>46325</v>
      </c>
      <c r="X96" s="22">
        <f t="shared" ca="1" si="23"/>
        <v>0</v>
      </c>
      <c r="Y96" s="27">
        <f>IF($W96="","",IF(OR(AND($Q96&lt;&gt;"",N($Q96)&gt;N($W96)),COUNTIFS('Chase Log'!$B$4:$B$2000,$G96,'Chase Log'!$E$4:$E$2000,$W96,'Chase Log'!$I$4:$I$2000,"Y")&gt;0),"",IF(_xlfn.MAXIFS('Chase Log'!$J$4:$J$2000,'Chase Log'!$B$4:$B$2000,$G96,'Chase Log'!$E$4:$E$2000,$W96)=0,"",_xlfn.MAXIFS('Chase Log'!$J$4:$J$2000,'Chase Log'!$B$4:$B$2000,$G96,'Chase Log'!$E$4:$E$2000,$W96))))</f>
        <v>46332</v>
      </c>
      <c r="Z96" s="13" t="str">
        <f ca="1">IF(OR($G96="",N($P96)&gt;=1,$C96="Live",$D96&lt;&gt;""),"",IF(AND($Y96&lt;&gt;"",N($Y96)&gt;0),IF($Y96&lt;TODAY(),"Chase Overdue","Scheduled"),IF(AND($Q96&lt;&gt;"",N($R96)&gt;='안내 Guide'!$D$4,OR($X96="",N($X96)&gt;='안내 Guide'!$D$4)),"Chase Needed","")))</f>
        <v/>
      </c>
      <c r="AA96" s="28"/>
      <c r="AB96" s="25"/>
      <c r="AC96" s="25" t="s">
        <v>527</v>
      </c>
      <c r="AD96" s="29" t="s">
        <v>528</v>
      </c>
      <c r="AE96" s="25"/>
      <c r="AF96" s="13" t="s">
        <v>516</v>
      </c>
      <c r="AG96" s="16" t="s">
        <v>168</v>
      </c>
      <c r="AH96" s="30">
        <v>43832</v>
      </c>
      <c r="AI96" s="30">
        <v>43833</v>
      </c>
      <c r="AJ96" s="30">
        <v>43834</v>
      </c>
      <c r="AK96" s="30">
        <v>43835</v>
      </c>
      <c r="AL96" s="30">
        <v>43836</v>
      </c>
      <c r="AM96" s="30">
        <v>43837</v>
      </c>
      <c r="AN96" s="30">
        <v>43838</v>
      </c>
      <c r="AO96" s="30">
        <v>43839</v>
      </c>
      <c r="AP96" s="30">
        <v>43840</v>
      </c>
      <c r="AQ96" s="30">
        <v>43841</v>
      </c>
      <c r="AR96" s="30">
        <v>43842</v>
      </c>
      <c r="AS96" s="30">
        <v>43843</v>
      </c>
      <c r="AT96" s="30">
        <v>43844</v>
      </c>
      <c r="AU96" s="30">
        <v>43845</v>
      </c>
    </row>
    <row r="97" spans="1:47" ht="25.5" customHeight="1">
      <c r="A97" s="22">
        <f t="shared" si="16"/>
        <v>93</v>
      </c>
      <c r="B97" s="22" t="str">
        <f t="shared" si="17"/>
        <v>Live</v>
      </c>
      <c r="C97" s="23"/>
      <c r="D97" s="23"/>
      <c r="E97" s="13" t="s">
        <v>30</v>
      </c>
      <c r="F97" s="13" t="s">
        <v>298</v>
      </c>
      <c r="G97" s="24" t="s">
        <v>529</v>
      </c>
      <c r="H97" s="13" t="s">
        <v>204</v>
      </c>
      <c r="I97" s="13" t="s">
        <v>285</v>
      </c>
      <c r="J97" s="13" t="s">
        <v>206</v>
      </c>
      <c r="K97" s="22"/>
      <c r="L97" s="13" t="s">
        <v>477</v>
      </c>
      <c r="M97" s="13" t="s">
        <v>39</v>
      </c>
      <c r="N97" s="13" t="s">
        <v>188</v>
      </c>
      <c r="O97" s="22" t="s">
        <v>208</v>
      </c>
      <c r="P97" s="26">
        <f t="shared" si="18"/>
        <v>1</v>
      </c>
      <c r="Q97" s="27">
        <f t="shared" si="19"/>
        <v>45959</v>
      </c>
      <c r="R97" s="22">
        <f t="shared" ca="1" si="20"/>
        <v>366</v>
      </c>
      <c r="S97" s="13" t="str">
        <f t="shared" si="21"/>
        <v>Live</v>
      </c>
      <c r="T97" s="13" t="str">
        <f>IF(COUNT($AH97:$AU97)=0,"",LOOKUP(2,1/($AH97:$AU97&lt;&gt;""),{"①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7" s="22">
        <f t="shared" ca="1" si="22"/>
        <v>13</v>
      </c>
      <c r="V97" s="22">
        <f>IF($G97="","",COUNTIF('Chase Log'!$B$4:$B$2000,$G97))</f>
        <v>0</v>
      </c>
      <c r="W97" s="27" t="str">
        <f>IF(N($V97)=0,"",_xlfn.MAXIFS('Chase Log'!$E$4:$E$2000,'Chase Log'!$B$4:$B$2000,$G97))</f>
        <v/>
      </c>
      <c r="X97" s="22" t="str">
        <f t="shared" ca="1" si="23"/>
        <v/>
      </c>
      <c r="Y97" s="27" t="str">
        <f>IF($W97="","",IF(OR(AND($Q97&lt;&gt;"",N($Q97)&gt;N($W97)),COUNTIFS('Chase Log'!$B$4:$B$2000,$G97,'Chase Log'!$E$4:$E$2000,$W97,'Chase Log'!$I$4:$I$2000,"Y")&gt;0),"",IF(_xlfn.MAXIFS('Chase Log'!$J$4:$J$2000,'Chase Log'!$B$4:$B$2000,$G97,'Chase Log'!$E$4:$E$2000,$W97)=0,"",_xlfn.MAXIFS('Chase Log'!$J$4:$J$2000,'Chase Log'!$B$4:$B$2000,$G97,'Chase Log'!$E$4:$E$2000,$W97))))</f>
        <v/>
      </c>
      <c r="Z97" s="13" t="str">
        <f ca="1">IF(OR($G97="",N($P97)&gt;=1,$C97="Live",$D97&lt;&gt;""),"",IF(AND($Y97&lt;&gt;"",N($Y97)&gt;0),IF($Y97&lt;TODAY(),"Chase Overdue","Scheduled"),IF(AND($Q97&lt;&gt;"",N($R97)&gt;='안내 Guide'!$D$4,OR($X97="",N($X97)&gt;='안내 Guide'!$D$4)),"Chase Needed","")))</f>
        <v/>
      </c>
      <c r="AA97" s="28"/>
      <c r="AB97" s="25"/>
      <c r="AC97" s="25" t="s">
        <v>482</v>
      </c>
      <c r="AD97" s="29" t="s">
        <v>483</v>
      </c>
      <c r="AE97" s="25"/>
      <c r="AF97" s="13" t="s">
        <v>167</v>
      </c>
      <c r="AG97" s="16" t="s">
        <v>168</v>
      </c>
      <c r="AH97" s="30">
        <v>45946</v>
      </c>
      <c r="AI97" s="30">
        <v>45947</v>
      </c>
      <c r="AJ97" s="30">
        <v>45948</v>
      </c>
      <c r="AK97" s="30">
        <v>45949</v>
      </c>
      <c r="AL97" s="30">
        <v>45950</v>
      </c>
      <c r="AM97" s="30">
        <v>45951</v>
      </c>
      <c r="AN97" s="30">
        <v>45952</v>
      </c>
      <c r="AO97" s="30">
        <v>45953</v>
      </c>
      <c r="AP97" s="30">
        <v>45954</v>
      </c>
      <c r="AQ97" s="30">
        <v>45955</v>
      </c>
      <c r="AR97" s="30">
        <v>45956</v>
      </c>
      <c r="AS97" s="30">
        <v>45957</v>
      </c>
      <c r="AT97" s="30">
        <v>45958</v>
      </c>
      <c r="AU97" s="30">
        <v>45959</v>
      </c>
    </row>
    <row r="98" spans="1:47" ht="25.5" customHeight="1">
      <c r="A98" s="22">
        <f t="shared" si="16"/>
        <v>94</v>
      </c>
      <c r="B98" s="22" t="str">
        <f t="shared" si="17"/>
        <v>Live</v>
      </c>
      <c r="C98" s="23"/>
      <c r="D98" s="23"/>
      <c r="E98" s="13" t="s">
        <v>30</v>
      </c>
      <c r="F98" s="13" t="s">
        <v>408</v>
      </c>
      <c r="G98" s="24" t="s">
        <v>530</v>
      </c>
      <c r="H98" s="13" t="s">
        <v>204</v>
      </c>
      <c r="I98" s="13" t="s">
        <v>285</v>
      </c>
      <c r="J98" s="13" t="s">
        <v>206</v>
      </c>
      <c r="K98" s="22"/>
      <c r="L98" s="13" t="s">
        <v>449</v>
      </c>
      <c r="M98" s="13" t="s">
        <v>40</v>
      </c>
      <c r="N98" s="13" t="s">
        <v>188</v>
      </c>
      <c r="O98" s="22" t="s">
        <v>208</v>
      </c>
      <c r="P98" s="26">
        <f t="shared" si="18"/>
        <v>1</v>
      </c>
      <c r="Q98" s="27">
        <f t="shared" si="19"/>
        <v>45959</v>
      </c>
      <c r="R98" s="22">
        <f t="shared" ca="1" si="20"/>
        <v>366</v>
      </c>
      <c r="S98" s="13" t="str">
        <f t="shared" si="21"/>
        <v>Live</v>
      </c>
      <c r="T98" s="13" t="str">
        <f>IF(COUNT($AH98:$AU98)=0,"",LOOKUP(2,1/($AH98:$AU98&lt;&gt;""),{"①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U98" s="22">
        <f t="shared" ca="1" si="22"/>
        <v>13</v>
      </c>
      <c r="V98" s="22">
        <f>IF($G98="","",COUNTIF('Chase Log'!$B$4:$B$2000,$G98))</f>
        <v>7</v>
      </c>
      <c r="W98" s="27">
        <f>IF(N($V98)=0,"",_xlfn.MAXIFS('Chase Log'!$E$4:$E$2000,'Chase Log'!$B$4:$B$2000,$G98))</f>
        <v>46321</v>
      </c>
      <c r="X98" s="22">
        <f t="shared" ca="1" si="23"/>
        <v>4</v>
      </c>
      <c r="Y98" s="27">
        <f>IF($W98="","",IF(OR(AND($Q98&lt;&gt;"",N($Q98)&gt;N($W98)),COUNTIFS('Chase Log'!$B$4:$B$2000,$G98,'Chase Log'!$E$4:$E$2000,$W98,'Chase Log'!$I$4:$I$2000,"Y")&gt;0),"",IF(_xlfn.MAXIFS('Chase Log'!$J$4:$J$2000,'Chase Log'!$B$4:$B$2000,$G98,'Chase Log'!$E$4:$E$2000,$W98)=0,"",_xlfn.MAXIFS('Chase Log'!$J$4:$J$2000,'Chase Log'!$B$4:$B$2000,$G98,'Chase Log'!$E$4:$E$2000,$W98))))</f>
        <v>46328</v>
      </c>
      <c r="Z98" s="13" t="str">
        <f ca="1">IF(OR($G98="",N($P98)&gt;=1,$C98="Live",$D98&lt;&gt;""),"",IF(AND($Y98&lt;&gt;"",N($Y98)&gt;0),IF($Y98&lt;TODAY(),"Chase Overdue","Scheduled"),IF(AND($Q98&lt;&gt;"",N($R98)&gt;='안내 Guide'!$D$4,OR($X98="",N($X98)&gt;='안내 Guide'!$D$4)),"Chase Needed","")))</f>
        <v/>
      </c>
      <c r="AA98" s="28"/>
      <c r="AB98" s="25"/>
      <c r="AC98" s="25" t="s">
        <v>531</v>
      </c>
      <c r="AD98" s="29" t="s">
        <v>532</v>
      </c>
      <c r="AE98" s="25"/>
      <c r="AF98" s="13" t="s">
        <v>250</v>
      </c>
      <c r="AG98" s="16" t="s">
        <v>168</v>
      </c>
      <c r="AH98" s="30">
        <v>45946</v>
      </c>
      <c r="AI98" s="30">
        <v>45947</v>
      </c>
      <c r="AJ98" s="30">
        <v>45948</v>
      </c>
      <c r="AK98" s="30">
        <v>45949</v>
      </c>
      <c r="AL98" s="30">
        <v>45950</v>
      </c>
      <c r="AM98" s="30">
        <v>45951</v>
      </c>
      <c r="AN98" s="30">
        <v>45952</v>
      </c>
      <c r="AO98" s="30">
        <v>45953</v>
      </c>
      <c r="AP98" s="30">
        <v>45954</v>
      </c>
      <c r="AQ98" s="30">
        <v>45955</v>
      </c>
      <c r="AR98" s="30">
        <v>45956</v>
      </c>
      <c r="AS98" s="30">
        <v>45957</v>
      </c>
      <c r="AT98" s="30">
        <v>45958</v>
      </c>
      <c r="AU98" s="30">
        <v>45959</v>
      </c>
    </row>
  </sheetData>
  <autoFilter ref="A4:AU98" xr:uid="{00000000-0009-0000-0000-000004000000}"/>
  <mergeCells count="5">
    <mergeCell ref="P3:Z3"/>
    <mergeCell ref="AH3:AU3"/>
    <mergeCell ref="AA3:AG3"/>
    <mergeCell ref="A3:O3"/>
    <mergeCell ref="E1:N1"/>
  </mergeCells>
  <phoneticPr fontId="37" type="noConversion"/>
  <conditionalFormatting sqref="A5:AG399">
    <cfRule type="expression" dxfId="37" priority="17">
      <formula>AND($G5&lt;&gt;"",MOD(ROW(),2)=0)</formula>
    </cfRule>
  </conditionalFormatting>
  <conditionalFormatting sqref="A5:AU399">
    <cfRule type="expression" dxfId="36" priority="16">
      <formula>$D5&lt;&gt;""</formula>
    </cfRule>
  </conditionalFormatting>
  <conditionalFormatting sqref="B5:B399">
    <cfRule type="cellIs" dxfId="35" priority="1" operator="equal">
      <formula>"Live"</formula>
    </cfRule>
    <cfRule type="cellIs" dxfId="34" priority="2" operator="equal">
      <formula>"Partially Live"</formula>
    </cfRule>
    <cfRule type="cellIs" dxfId="33" priority="3" operator="equal">
      <formula>"Pending Live"</formula>
    </cfRule>
    <cfRule type="cellIs" dxfId="32" priority="4" operator="equal">
      <formula>"Testing"</formula>
    </cfRule>
    <cfRule type="cellIs" dxfId="31" priority="5" operator="equal">
      <formula>"In Development"</formula>
    </cfRule>
    <cfRule type="cellIs" dxfId="30" priority="6" operator="equal">
      <formula>"NDA/Contract"</formula>
    </cfRule>
    <cfRule type="cellIs" dxfId="29" priority="7" operator="equal">
      <formula>"Pipeline"</formula>
    </cfRule>
    <cfRule type="cellIs" dxfId="28" priority="8" operator="equal">
      <formula>"Contact"</formula>
    </cfRule>
  </conditionalFormatting>
  <conditionalFormatting sqref="P5:P399">
    <cfRule type="dataBar" priority="15">
      <dataBar>
        <cfvo type="num" val="0"/>
        <cfvo type="num" val="1"/>
        <color rgb="FF5B9BD5"/>
      </dataBar>
    </cfRule>
  </conditionalFormatting>
  <conditionalFormatting sqref="S5:S399">
    <cfRule type="cellIs" dxfId="27" priority="9" operator="equal">
      <formula>"Stalled 90d+"</formula>
    </cfRule>
    <cfRule type="cellIs" dxfId="26" priority="10" operator="equal">
      <formula>"Stalled 60d+"</formula>
    </cfRule>
    <cfRule type="cellIs" dxfId="25" priority="11" operator="equal">
      <formula>"Stalled 30d+"</formula>
    </cfRule>
  </conditionalFormatting>
  <conditionalFormatting sqref="Z5:Z399">
    <cfRule type="cellIs" dxfId="24" priority="12" operator="equal">
      <formula>"Chase Overdue"</formula>
    </cfRule>
    <cfRule type="cellIs" dxfId="23" priority="13" operator="equal">
      <formula>"Chase Needed"</formula>
    </cfRule>
    <cfRule type="cellIs" dxfId="22" priority="14" operator="equal">
      <formula>"Scheduled"</formula>
    </cfRule>
  </conditionalFormatting>
  <dataValidations count="2">
    <dataValidation type="list" allowBlank="1" sqref="D5:D399" xr:uid="{00000000-0002-0000-0400-000000000000}">
      <formula1>"Hold,Dropped"</formula1>
    </dataValidation>
    <dataValidation type="list" allowBlank="1" sqref="C5:C399" xr:uid="{00000000-0002-0000-0400-000001000000}">
      <formula1>"Live,Partially Live,Pending Live,Testing,In Development,NDA/Contract,Pipeline,Contact"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4"/>
  <sheetViews>
    <sheetView zoomScale="90" workbookViewId="0">
      <pane xSplit="7" ySplit="4" topLeftCell="H19" activePane="bottomRight" state="frozen"/>
      <selection pane="bottomRight" activeCell="AR6" sqref="AR6"/>
      <selection pane="bottomLeft"/>
      <selection pane="topRight"/>
    </sheetView>
  </sheetViews>
  <sheetFormatPr defaultRowHeight="14.45"/>
  <cols>
    <col min="1" max="1" width="5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26" customWidth="1"/>
    <col min="8" max="8" width="18" customWidth="1"/>
    <col min="9" max="10" width="16" customWidth="1"/>
    <col min="11" max="11" width="18" customWidth="1"/>
    <col min="12" max="12" width="20" customWidth="1"/>
    <col min="13" max="13" width="15" customWidth="1"/>
    <col min="14" max="14" width="9" customWidth="1"/>
    <col min="15" max="15" width="18" customWidth="1"/>
    <col min="16" max="16" width="20" customWidth="1"/>
    <col min="17" max="17" width="14" customWidth="1"/>
    <col min="18" max="18" width="9" customWidth="1"/>
    <col min="19" max="19" width="10" customWidth="1"/>
    <col min="20" max="20" width="12" customWidth="1"/>
    <col min="21" max="21" width="9" customWidth="1"/>
    <col min="22" max="22" width="13" customWidth="1"/>
    <col min="23" max="23" width="22" customWidth="1"/>
    <col min="24" max="24" width="10" customWidth="1"/>
    <col min="25" max="25" width="8" customWidth="1"/>
    <col min="26" max="26" width="12" customWidth="1"/>
    <col min="27" max="27" width="10" customWidth="1"/>
    <col min="28" max="28" width="12" customWidth="1"/>
    <col min="29" max="29" width="14" customWidth="1"/>
    <col min="30" max="30" width="12" customWidth="1"/>
    <col min="31" max="31" width="16" customWidth="1"/>
    <col min="32" max="33" width="50" customWidth="1"/>
    <col min="34" max="34" width="40" customWidth="1"/>
    <col min="35" max="35" width="12" customWidth="1"/>
    <col min="36" max="36" width="30" customWidth="1"/>
    <col min="37" max="43" width="14" customWidth="1"/>
    <col min="44" max="44" width="19" customWidth="1"/>
    <col min="45" max="49" width="14" customWidth="1"/>
    <col min="50" max="50" width="19" customWidth="1"/>
  </cols>
  <sheetData>
    <row r="1" spans="1:50" ht="33.950000000000003" customHeight="1">
      <c r="A1" s="17" t="s">
        <v>26</v>
      </c>
      <c r="E1" s="87" t="s">
        <v>533</v>
      </c>
      <c r="F1" s="91"/>
      <c r="G1" s="91"/>
      <c r="H1" s="91"/>
      <c r="I1" s="91"/>
      <c r="J1" s="91"/>
      <c r="K1" s="91"/>
      <c r="L1" s="91"/>
      <c r="M1" s="91"/>
      <c r="N1" s="91"/>
    </row>
    <row r="2" spans="1:50">
      <c r="A2" s="18" t="str">
        <f ca="1">"전체 Total "&amp;COUNTA($G$5:$G$400)&amp;"  ·  라이브 Live "&amp;(COUNTIF($B$5:$B$400,"Live")+COUNTIF($B$5:$B$400,"Partially Live"))&amp;"  ·  개발·테스트 Dev/Test "&amp;(COUNTIF($B$5:$B$400,"In Development")+COUNTIF($B$5:$B$400,"Testing")+COUNTIF($B$5:$B$400,"Pending Live"))&amp;"  ·  계약·NDA "&amp;COUNTIF($B$5:$B$400,"NDA/Contract")&amp;"  ·  파이프라인 Pipeline "&amp;(COUNTIF($B$5:$B$400,"Pipeline")+COUNTIF($B$5:$B$400,"Contact"))&amp;"  ·  60일+ 정체 Stalled 60d+ "&amp;(COUNTIF($V$5:$V$400,"Stalled 60d+")+COUNTIF($V$5:$V$400,"Stalled 90d+"))</f>
        <v>전체 Total 20  ·  라이브 Live 4  ·  개발·테스트 Dev/Test 2  ·  계약·NDA 8  ·  파이프라인 Pipeline 6  ·  60일+ 정체 Stalled 60d+ 4</v>
      </c>
      <c r="AJ2" s="19" t="s">
        <v>102</v>
      </c>
      <c r="AK2" s="20">
        <v>0.05</v>
      </c>
      <c r="AL2" s="20">
        <v>0.1</v>
      </c>
      <c r="AM2" s="20">
        <v>0.15</v>
      </c>
      <c r="AN2" s="20">
        <v>0.2</v>
      </c>
      <c r="AO2" s="20">
        <v>0.3</v>
      </c>
      <c r="AP2" s="20">
        <v>0.4</v>
      </c>
      <c r="AQ2" s="20">
        <v>0.45</v>
      </c>
      <c r="AR2" s="20">
        <v>0.5</v>
      </c>
      <c r="AS2" s="20">
        <v>0.6</v>
      </c>
      <c r="AT2" s="20">
        <v>0.7</v>
      </c>
      <c r="AU2" s="20">
        <v>0.75</v>
      </c>
      <c r="AV2" s="20">
        <v>0.8</v>
      </c>
      <c r="AW2" s="20">
        <v>0.9</v>
      </c>
      <c r="AX2" s="20">
        <v>1</v>
      </c>
    </row>
    <row r="3" spans="1:50" ht="21.95" customHeight="1">
      <c r="A3" s="84" t="s">
        <v>103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83" t="s">
        <v>104</v>
      </c>
      <c r="T3" s="93"/>
      <c r="U3" s="93"/>
      <c r="V3" s="93"/>
      <c r="W3" s="93"/>
      <c r="X3" s="93"/>
      <c r="Y3" s="93"/>
      <c r="Z3" s="93"/>
      <c r="AA3" s="93"/>
      <c r="AB3" s="93"/>
      <c r="AC3" s="93"/>
      <c r="AD3" s="86" t="s">
        <v>105</v>
      </c>
      <c r="AE3" s="94"/>
      <c r="AF3" s="94"/>
      <c r="AG3" s="94"/>
      <c r="AH3" s="94"/>
      <c r="AI3" s="94"/>
      <c r="AJ3" s="94"/>
      <c r="AK3" s="85" t="s">
        <v>106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</row>
    <row r="4" spans="1:50" ht="63.95" customHeight="1">
      <c r="A4" s="4" t="s">
        <v>86</v>
      </c>
      <c r="B4" s="4" t="s">
        <v>94</v>
      </c>
      <c r="C4" s="4" t="s">
        <v>107</v>
      </c>
      <c r="D4" s="4" t="s">
        <v>19</v>
      </c>
      <c r="E4" s="4" t="s">
        <v>49</v>
      </c>
      <c r="F4" s="4" t="s">
        <v>108</v>
      </c>
      <c r="G4" s="4" t="s">
        <v>109</v>
      </c>
      <c r="H4" s="4" t="s">
        <v>110</v>
      </c>
      <c r="I4" s="4" t="s">
        <v>534</v>
      </c>
      <c r="J4" s="4" t="s">
        <v>535</v>
      </c>
      <c r="K4" s="4" t="s">
        <v>536</v>
      </c>
      <c r="L4" s="4" t="s">
        <v>114</v>
      </c>
      <c r="M4" s="4" t="s">
        <v>115</v>
      </c>
      <c r="N4" s="4" t="s">
        <v>116</v>
      </c>
      <c r="O4" s="4" t="s">
        <v>117</v>
      </c>
      <c r="P4" s="4" t="s">
        <v>118</v>
      </c>
      <c r="Q4" s="4" t="s">
        <v>119</v>
      </c>
      <c r="R4" s="4" t="s">
        <v>120</v>
      </c>
      <c r="S4" s="4" t="s">
        <v>121</v>
      </c>
      <c r="T4" s="4" t="s">
        <v>122</v>
      </c>
      <c r="U4" s="4" t="s">
        <v>123</v>
      </c>
      <c r="V4" s="4" t="s">
        <v>124</v>
      </c>
      <c r="W4" s="4" t="s">
        <v>125</v>
      </c>
      <c r="X4" s="4" t="s">
        <v>126</v>
      </c>
      <c r="Y4" s="4" t="s">
        <v>127</v>
      </c>
      <c r="Z4" s="4" t="s">
        <v>128</v>
      </c>
      <c r="AA4" s="4" t="s">
        <v>129</v>
      </c>
      <c r="AB4" s="4" t="s">
        <v>130</v>
      </c>
      <c r="AC4" s="4" t="s">
        <v>131</v>
      </c>
      <c r="AD4" s="4" t="s">
        <v>132</v>
      </c>
      <c r="AE4" s="4" t="s">
        <v>133</v>
      </c>
      <c r="AF4" s="4" t="s">
        <v>134</v>
      </c>
      <c r="AG4" s="4" t="s">
        <v>135</v>
      </c>
      <c r="AH4" s="4" t="s">
        <v>136</v>
      </c>
      <c r="AI4" s="4" t="s">
        <v>137</v>
      </c>
      <c r="AJ4" s="4" t="s">
        <v>138</v>
      </c>
      <c r="AK4" s="21" t="s">
        <v>139</v>
      </c>
      <c r="AL4" s="21" t="s">
        <v>140</v>
      </c>
      <c r="AM4" s="21" t="s">
        <v>141</v>
      </c>
      <c r="AN4" s="21" t="s">
        <v>142</v>
      </c>
      <c r="AO4" s="21" t="s">
        <v>143</v>
      </c>
      <c r="AP4" s="21" t="s">
        <v>144</v>
      </c>
      <c r="AQ4" s="21" t="s">
        <v>145</v>
      </c>
      <c r="AR4" s="21" t="s">
        <v>146</v>
      </c>
      <c r="AS4" s="21" t="s">
        <v>147</v>
      </c>
      <c r="AT4" s="21" t="s">
        <v>148</v>
      </c>
      <c r="AU4" s="21" t="s">
        <v>149</v>
      </c>
      <c r="AV4" s="21" t="s">
        <v>150</v>
      </c>
      <c r="AW4" s="21" t="s">
        <v>151</v>
      </c>
      <c r="AX4" s="21" t="s">
        <v>152</v>
      </c>
    </row>
    <row r="5" spans="1:50" ht="25.5" customHeight="1">
      <c r="A5" s="22">
        <f t="shared" ref="A5:A24" si="0">IF($G5="","",ROW()-4)</f>
        <v>1</v>
      </c>
      <c r="B5" s="22" t="str">
        <f t="shared" ref="B5:B24" si="1">IF($G5="","",IF($C5&lt;&gt;"",$C5,IF($T5="","Contact",IF($S5&gt;=1,"Live",IF($S5&gt;=0.8,"Pending Live",IF($S5&gt;=0.7,"Testing",IF($S5&gt;=0.45,"In Development",IF($S5&gt;=0.2,"NDA/Contract","Pipeline"))))))))</f>
        <v>In Development</v>
      </c>
      <c r="C5" s="23" t="s">
        <v>15</v>
      </c>
      <c r="D5" s="23"/>
      <c r="E5" s="13" t="s">
        <v>30</v>
      </c>
      <c r="F5" s="13" t="s">
        <v>537</v>
      </c>
      <c r="G5" s="24" t="s">
        <v>538</v>
      </c>
      <c r="H5" s="13" t="s">
        <v>204</v>
      </c>
      <c r="I5" s="31" t="s">
        <v>539</v>
      </c>
      <c r="J5" s="31" t="s">
        <v>539</v>
      </c>
      <c r="K5" s="31" t="s">
        <v>539</v>
      </c>
      <c r="L5" s="13" t="s">
        <v>285</v>
      </c>
      <c r="M5" s="13" t="s">
        <v>206</v>
      </c>
      <c r="N5" s="22" t="s">
        <v>194</v>
      </c>
      <c r="O5" s="13" t="s">
        <v>161</v>
      </c>
      <c r="P5" s="13" t="s">
        <v>41</v>
      </c>
      <c r="Q5" s="13" t="s">
        <v>196</v>
      </c>
      <c r="R5" s="22" t="s">
        <v>208</v>
      </c>
      <c r="S5" s="26">
        <f t="shared" ref="S5:S24" si="2">IF($G5="","",IFERROR(LOOKUP(2,1/($AK5:$AX5&lt;&gt;""),$AK$2:$AX$2),0))</f>
        <v>0.5</v>
      </c>
      <c r="T5" s="27">
        <f t="shared" ref="T5:T24" si="3">IF(COUNT($AK5:$AX5)=0,"",MAX($AK5:$AX5))</f>
        <v>46297</v>
      </c>
      <c r="U5" s="22">
        <f t="shared" ref="U5:U24" ca="1" si="4">IF($T5="","",TODAY()-$T5)</f>
        <v>28</v>
      </c>
      <c r="V5" s="13" t="str">
        <f t="shared" ref="V5:V24" ca="1" si="5">IF($G5="","",IF($T5="","No Record",IF(OR($S5&gt;=1,$C5="Live"),"Live",IF($U5&gt;=90,"Stalled 90d+",IF($U5&gt;=60,"Stalled 60d+",IF($U5&gt;=30,"Stalled 30d+","In Progress"))))))</f>
        <v>In Progress</v>
      </c>
      <c r="W5" s="13" t="str">
        <f>IF(COUNT($AK5:$AX5)=0,"",LOOKUP(2,1/($AK5:$AX5&lt;&gt;""),{"①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X5" s="22">
        <f t="shared" ref="X5:X24" ca="1" si="6">IF(COUNT($AK5:$AX5)=0,"",IF(N($S5)&gt;=1,MAX($AK5:$AX5),TODAY())-MIN($AK5:$AX5))</f>
        <v>359</v>
      </c>
      <c r="Y5" s="22">
        <f>IF($G5="","",COUNTIF('Chase Log'!$B$4:$B$2000,$G5))</f>
        <v>4</v>
      </c>
      <c r="Z5" s="27">
        <f>IF(N($Y5)=0,"",_xlfn.MAXIFS('Chase Log'!$E$4:$E$2000,'Chase Log'!$B$4:$B$2000,$G5))</f>
        <v>46317</v>
      </c>
      <c r="AA5" s="22">
        <f t="shared" ref="AA5:AA24" ca="1" si="7">IF($Z5="","",TODAY()-$Z5)</f>
        <v>8</v>
      </c>
      <c r="AB5" s="27">
        <f>IF($Z5="","",IF(OR(AND($T5&lt;&gt;"",N($T5)&gt;N($Z5)),COUNTIFS('Chase Log'!$B$4:$B$2000,$G5,'Chase Log'!$E$4:$E$2000,$Z5,'Chase Log'!$I$4:$I$2000,"Y")&gt;0),"",IF(_xlfn.MAXIFS('Chase Log'!$J$4:$J$2000,'Chase Log'!$B$4:$B$2000,$G5,'Chase Log'!$E$4:$E$2000,$Z5)=0,"",_xlfn.MAXIFS('Chase Log'!$J$4:$J$2000,'Chase Log'!$B$4:$B$2000,$G5,'Chase Log'!$E$4:$E$2000,$Z5))))</f>
        <v>46324</v>
      </c>
      <c r="AC5" s="13" t="str">
        <f ca="1">IF(OR($G5="",N($S5)&gt;=1,$C5="Live",$D5&lt;&gt;""),"",IF(AND($AB5&lt;&gt;"",N($AB5)&gt;0),IF($AB5&lt;TODAY(),"Chase Overdue","Scheduled"),IF(AND($T5&lt;&gt;"",N($U5)&gt;='안내 Guide'!$D$4,OR($AA5="",N($AA5)&gt;='안내 Guide'!$D$4)),"Chase Needed","")))</f>
        <v>Chase Overdue</v>
      </c>
      <c r="AD5" s="28"/>
      <c r="AE5" s="25"/>
      <c r="AF5" s="25" t="s">
        <v>540</v>
      </c>
      <c r="AG5" s="29" t="s">
        <v>541</v>
      </c>
      <c r="AH5" s="25"/>
      <c r="AI5" s="13" t="s">
        <v>302</v>
      </c>
      <c r="AJ5" s="16" t="s">
        <v>168</v>
      </c>
      <c r="AK5" s="30">
        <v>45966</v>
      </c>
      <c r="AL5" s="30">
        <v>45987</v>
      </c>
      <c r="AM5" s="30">
        <v>46239</v>
      </c>
      <c r="AN5" s="30">
        <v>46287</v>
      </c>
      <c r="AO5" s="30"/>
      <c r="AP5" s="30"/>
      <c r="AQ5" s="30">
        <v>46297</v>
      </c>
      <c r="AR5" s="30">
        <v>46297</v>
      </c>
      <c r="AS5" s="30"/>
      <c r="AT5" s="30"/>
      <c r="AU5" s="30"/>
      <c r="AV5" s="30"/>
      <c r="AW5" s="30"/>
      <c r="AX5" s="30"/>
    </row>
    <row r="6" spans="1:50" ht="25.5" customHeight="1">
      <c r="A6" s="22">
        <f t="shared" si="0"/>
        <v>2</v>
      </c>
      <c r="B6" s="22" t="str">
        <f t="shared" si="1"/>
        <v>In Development</v>
      </c>
      <c r="C6" s="23" t="s">
        <v>15</v>
      </c>
      <c r="D6" s="23"/>
      <c r="E6" s="13" t="s">
        <v>30</v>
      </c>
      <c r="F6" s="13" t="s">
        <v>537</v>
      </c>
      <c r="G6" s="24" t="s">
        <v>538</v>
      </c>
      <c r="H6" s="13" t="s">
        <v>284</v>
      </c>
      <c r="I6" s="31" t="s">
        <v>539</v>
      </c>
      <c r="J6" s="31" t="s">
        <v>539</v>
      </c>
      <c r="K6" s="31" t="s">
        <v>539</v>
      </c>
      <c r="L6" s="13" t="s">
        <v>285</v>
      </c>
      <c r="M6" s="13" t="s">
        <v>257</v>
      </c>
      <c r="N6" s="22" t="s">
        <v>194</v>
      </c>
      <c r="O6" s="13" t="s">
        <v>161</v>
      </c>
      <c r="P6" s="13" t="s">
        <v>41</v>
      </c>
      <c r="Q6" s="13" t="s">
        <v>188</v>
      </c>
      <c r="R6" s="22" t="s">
        <v>208</v>
      </c>
      <c r="S6" s="26">
        <f t="shared" si="2"/>
        <v>0.5</v>
      </c>
      <c r="T6" s="27">
        <f t="shared" si="3"/>
        <v>46328</v>
      </c>
      <c r="U6" s="22">
        <f t="shared" ca="1" si="4"/>
        <v>-3</v>
      </c>
      <c r="V6" s="13" t="str">
        <f t="shared" ca="1" si="5"/>
        <v>In Progress</v>
      </c>
      <c r="W6" s="13" t="str">
        <f>IF(COUNT($AK6:$AX6)=0,"",LOOKUP(2,1/($AK6:$AX6&lt;&gt;""),{"①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⑧ 개발 착수 · SPEC/DEV 키 · 크리덴셜 · Kickoff / Credential</v>
      </c>
      <c r="X6" s="22">
        <f t="shared" ca="1" si="6"/>
        <v>359</v>
      </c>
      <c r="Y6" s="22">
        <f>IF($G6="","",COUNTIF('Chase Log'!$B$4:$B$2000,$G6))</f>
        <v>4</v>
      </c>
      <c r="Z6" s="27">
        <f>IF(N($Y6)=0,"",_xlfn.MAXIFS('Chase Log'!$E$4:$E$2000,'Chase Log'!$B$4:$B$2000,$G6))</f>
        <v>46317</v>
      </c>
      <c r="AA6" s="22">
        <f t="shared" ca="1" si="7"/>
        <v>8</v>
      </c>
      <c r="AB6" s="27" t="str">
        <f>IF($Z6="","",IF(OR(AND($T6&lt;&gt;"",N($T6)&gt;N($Z6)),COUNTIFS('Chase Log'!$B$4:$B$2000,$G6,'Chase Log'!$E$4:$E$2000,$Z6,'Chase Log'!$I$4:$I$2000,"Y")&gt;0),"",IF(_xlfn.MAXIFS('Chase Log'!$J$4:$J$2000,'Chase Log'!$B$4:$B$2000,$G6,'Chase Log'!$E$4:$E$2000,$Z6)=0,"",_xlfn.MAXIFS('Chase Log'!$J$4:$J$2000,'Chase Log'!$B$4:$B$2000,$G6,'Chase Log'!$E$4:$E$2000,$Z6))))</f>
        <v/>
      </c>
      <c r="AC6" s="13" t="str">
        <f ca="1">IF(OR($G6="",N($S6)&gt;=1,$C6="Live",$D6&lt;&gt;""),"",IF(AND($AB6&lt;&gt;"",N($AB6)&gt;0),IF($AB6&lt;TODAY(),"Chase Overdue","Scheduled"),IF(AND($T6&lt;&gt;"",N($U6)&gt;='안내 Guide'!$D$4,OR($AA6="",N($AA6)&gt;='안내 Guide'!$D$4)),"Chase Needed","")))</f>
        <v/>
      </c>
      <c r="AD6" s="28">
        <v>46356</v>
      </c>
      <c r="AE6" s="25"/>
      <c r="AF6" s="25" t="s">
        <v>540</v>
      </c>
      <c r="AG6" s="29" t="s">
        <v>541</v>
      </c>
      <c r="AH6" s="25"/>
      <c r="AI6" s="13" t="s">
        <v>302</v>
      </c>
      <c r="AJ6" s="16" t="s">
        <v>168</v>
      </c>
      <c r="AK6" s="30">
        <v>45966</v>
      </c>
      <c r="AL6" s="30">
        <v>45987</v>
      </c>
      <c r="AM6" s="30">
        <v>46239</v>
      </c>
      <c r="AN6" s="30">
        <v>46283</v>
      </c>
      <c r="AO6" s="30"/>
      <c r="AP6" s="30"/>
      <c r="AQ6" s="30">
        <v>46297</v>
      </c>
      <c r="AR6" s="30">
        <v>46328</v>
      </c>
      <c r="AS6" s="30"/>
      <c r="AT6" s="30"/>
      <c r="AU6" s="30"/>
      <c r="AV6" s="30"/>
      <c r="AW6" s="30"/>
      <c r="AX6" s="30"/>
    </row>
    <row r="7" spans="1:50" ht="25.5" customHeight="1">
      <c r="A7" s="22">
        <f t="shared" si="0"/>
        <v>3</v>
      </c>
      <c r="B7" s="22" t="str">
        <f t="shared" si="1"/>
        <v>NDA/Contract</v>
      </c>
      <c r="C7" s="23"/>
      <c r="D7" s="23"/>
      <c r="E7" s="13" t="s">
        <v>33</v>
      </c>
      <c r="F7" s="13" t="s">
        <v>316</v>
      </c>
      <c r="G7" s="24" t="s">
        <v>542</v>
      </c>
      <c r="H7" s="13" t="s">
        <v>204</v>
      </c>
      <c r="I7" s="31" t="s">
        <v>543</v>
      </c>
      <c r="J7" s="31" t="s">
        <v>543</v>
      </c>
      <c r="K7" s="31" t="s">
        <v>543</v>
      </c>
      <c r="L7" s="13" t="s">
        <v>285</v>
      </c>
      <c r="M7" s="13" t="s">
        <v>206</v>
      </c>
      <c r="N7" s="22" t="s">
        <v>160</v>
      </c>
      <c r="O7" s="13" t="s">
        <v>207</v>
      </c>
      <c r="P7" s="13" t="s">
        <v>41</v>
      </c>
      <c r="Q7" s="13" t="s">
        <v>188</v>
      </c>
      <c r="R7" s="22" t="s">
        <v>208</v>
      </c>
      <c r="S7" s="26">
        <f t="shared" si="2"/>
        <v>0.4</v>
      </c>
      <c r="T7" s="27">
        <f t="shared" si="3"/>
        <v>46287</v>
      </c>
      <c r="U7" s="22">
        <f t="shared" ca="1" si="4"/>
        <v>38</v>
      </c>
      <c r="V7" s="13" t="str">
        <f t="shared" ca="1" si="5"/>
        <v>Stalled 30d+</v>
      </c>
      <c r="W7" s="13" t="str">
        <f>IF(COUNT($AK7:$AX7)=0,"",LOOKUP(2,1/($AK7:$AX7&lt;&gt;""),{"①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⑥ SLA 확정 · SLA Finalized</v>
      </c>
      <c r="X7" s="22">
        <f t="shared" ca="1" si="6"/>
        <v>52</v>
      </c>
      <c r="Y7" s="22">
        <f>IF($G7="","",COUNTIF('Chase Log'!$B$4:$B$2000,$G7))</f>
        <v>8</v>
      </c>
      <c r="Z7" s="27">
        <f>IF(N($Y7)=0,"",_xlfn.MAXIFS('Chase Log'!$E$4:$E$2000,'Chase Log'!$B$4:$B$2000,$G7))</f>
        <v>46321</v>
      </c>
      <c r="AA7" s="22">
        <f t="shared" ca="1" si="7"/>
        <v>4</v>
      </c>
      <c r="AB7" s="27">
        <f>IF($Z7="","",IF(OR(AND($T7&lt;&gt;"",N($T7)&gt;N($Z7)),COUNTIFS('Chase Log'!$B$4:$B$2000,$G7,'Chase Log'!$E$4:$E$2000,$Z7,'Chase Log'!$I$4:$I$2000,"Y")&gt;0),"",IF(_xlfn.MAXIFS('Chase Log'!$J$4:$J$2000,'Chase Log'!$B$4:$B$2000,$G7,'Chase Log'!$E$4:$E$2000,$Z7)=0,"",_xlfn.MAXIFS('Chase Log'!$J$4:$J$2000,'Chase Log'!$B$4:$B$2000,$G7,'Chase Log'!$E$4:$E$2000,$Z7))))</f>
        <v>46328</v>
      </c>
      <c r="AC7" s="13" t="str">
        <f ca="1">IF(OR($G7="",N($S7)&gt;=1,$C7="Live",$D7&lt;&gt;""),"",IF(AND($AB7&lt;&gt;"",N($AB7)&gt;0),IF($AB7&lt;TODAY(),"Chase Overdue","Scheduled"),IF(AND($T7&lt;&gt;"",N($U7)&gt;='안내 Guide'!$D$4,OR($AA7="",N($AA7)&gt;='안내 Guide'!$D$4)),"Chase Needed","")))</f>
        <v>Scheduled</v>
      </c>
      <c r="AD7" s="28"/>
      <c r="AE7" s="25"/>
      <c r="AF7" s="25" t="s">
        <v>544</v>
      </c>
      <c r="AG7" s="29" t="s">
        <v>545</v>
      </c>
      <c r="AH7" s="25"/>
      <c r="AI7" s="13" t="s">
        <v>224</v>
      </c>
      <c r="AJ7" s="16" t="s">
        <v>168</v>
      </c>
      <c r="AK7" s="30"/>
      <c r="AL7" s="30"/>
      <c r="AM7" s="30"/>
      <c r="AN7" s="30"/>
      <c r="AO7" s="30">
        <v>46273</v>
      </c>
      <c r="AP7" s="30">
        <v>46287</v>
      </c>
      <c r="AQ7" s="30"/>
      <c r="AR7" s="30"/>
      <c r="AS7" s="30"/>
      <c r="AT7" s="30"/>
      <c r="AU7" s="30"/>
      <c r="AV7" s="30"/>
      <c r="AW7" s="30"/>
      <c r="AX7" s="30"/>
    </row>
    <row r="8" spans="1:50" ht="25.5" customHeight="1">
      <c r="A8" s="22">
        <f t="shared" si="0"/>
        <v>4</v>
      </c>
      <c r="B8" s="22" t="str">
        <f t="shared" si="1"/>
        <v>NDA/Contract</v>
      </c>
      <c r="C8" s="23"/>
      <c r="D8" s="23"/>
      <c r="E8" s="13" t="s">
        <v>30</v>
      </c>
      <c r="F8" s="13" t="s">
        <v>298</v>
      </c>
      <c r="G8" s="24" t="s">
        <v>59</v>
      </c>
      <c r="H8" s="13" t="s">
        <v>204</v>
      </c>
      <c r="I8" s="31" t="s">
        <v>543</v>
      </c>
      <c r="J8" s="31" t="s">
        <v>543</v>
      </c>
      <c r="K8" s="31" t="s">
        <v>546</v>
      </c>
      <c r="L8" s="13" t="s">
        <v>285</v>
      </c>
      <c r="M8" s="13" t="s">
        <v>206</v>
      </c>
      <c r="N8" s="22" t="s">
        <v>194</v>
      </c>
      <c r="O8" s="13" t="s">
        <v>323</v>
      </c>
      <c r="P8" s="13" t="s">
        <v>41</v>
      </c>
      <c r="Q8" s="13" t="s">
        <v>196</v>
      </c>
      <c r="R8" s="22" t="s">
        <v>208</v>
      </c>
      <c r="S8" s="26">
        <f t="shared" si="2"/>
        <v>0.3</v>
      </c>
      <c r="T8" s="27">
        <f t="shared" si="3"/>
        <v>46001</v>
      </c>
      <c r="U8" s="22">
        <f t="shared" ca="1" si="4"/>
        <v>324</v>
      </c>
      <c r="V8" s="13" t="str">
        <f t="shared" ca="1" si="5"/>
        <v>Stalled 90d+</v>
      </c>
      <c r="W8" s="13" t="str">
        <f>IF(COUNT($AK8:$AX8)=0,"",LOOKUP(2,1/($AK8:$AX8&lt;&gt;""),{"①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⑤ 계약 체결 · Contract Signed</v>
      </c>
      <c r="X8" s="22">
        <f t="shared" ca="1" si="6"/>
        <v>324</v>
      </c>
      <c r="Y8" s="22">
        <f>IF($G8="","",COUNTIF('Chase Log'!$B$4:$B$2000,$G8))</f>
        <v>2</v>
      </c>
      <c r="Z8" s="27">
        <f>IF(N($Y8)=0,"",_xlfn.MAXIFS('Chase Log'!$E$4:$E$2000,'Chase Log'!$B$4:$B$2000,$G8))</f>
        <v>46301</v>
      </c>
      <c r="AA8" s="22">
        <f t="shared" ca="1" si="7"/>
        <v>24</v>
      </c>
      <c r="AB8" s="27">
        <f>IF($Z8="","",IF(OR(AND($T8&lt;&gt;"",N($T8)&gt;N($Z8)),COUNTIFS('Chase Log'!$B$4:$B$2000,$G8,'Chase Log'!$E$4:$E$2000,$Z8,'Chase Log'!$I$4:$I$2000,"Y")&gt;0),"",IF(_xlfn.MAXIFS('Chase Log'!$J$4:$J$2000,'Chase Log'!$B$4:$B$2000,$G8,'Chase Log'!$E$4:$E$2000,$Z8)=0,"",_xlfn.MAXIFS('Chase Log'!$J$4:$J$2000,'Chase Log'!$B$4:$B$2000,$G8,'Chase Log'!$E$4:$E$2000,$Z8))))</f>
        <v>46308</v>
      </c>
      <c r="AC8" s="13" t="str">
        <f ca="1">IF(OR($G8="",N($S8)&gt;=1,$C8="Live",$D8&lt;&gt;""),"",IF(AND($AB8&lt;&gt;"",N($AB8)&gt;0),IF($AB8&lt;TODAY(),"Chase Overdue","Scheduled"),IF(AND($T8&lt;&gt;"",N($U8)&gt;='안내 Guide'!$D$4,OR($AA8="",N($AA8)&gt;='안내 Guide'!$D$4)),"Chase Needed","")))</f>
        <v>Chase Overdue</v>
      </c>
      <c r="AD8" s="28"/>
      <c r="AE8" s="25"/>
      <c r="AF8" s="25" t="s">
        <v>547</v>
      </c>
      <c r="AG8" s="29" t="s">
        <v>548</v>
      </c>
      <c r="AH8" s="25"/>
      <c r="AI8" s="13" t="s">
        <v>355</v>
      </c>
      <c r="AJ8" s="16" t="s">
        <v>168</v>
      </c>
      <c r="AK8" s="30"/>
      <c r="AL8" s="30"/>
      <c r="AM8" s="30"/>
      <c r="AN8" s="30"/>
      <c r="AO8" s="30">
        <v>46001</v>
      </c>
      <c r="AP8" s="30"/>
      <c r="AQ8" s="30"/>
      <c r="AR8" s="30"/>
      <c r="AS8" s="30"/>
      <c r="AT8" s="30"/>
      <c r="AU8" s="30"/>
      <c r="AV8" s="30"/>
      <c r="AW8" s="30"/>
      <c r="AX8" s="30"/>
    </row>
    <row r="9" spans="1:50" ht="25.5" customHeight="1">
      <c r="A9" s="22">
        <f t="shared" si="0"/>
        <v>5</v>
      </c>
      <c r="B9" s="22" t="str">
        <f t="shared" si="1"/>
        <v>NDA/Contract</v>
      </c>
      <c r="C9" s="23"/>
      <c r="D9" s="23"/>
      <c r="E9" s="13" t="s">
        <v>33</v>
      </c>
      <c r="F9" s="13" t="s">
        <v>316</v>
      </c>
      <c r="G9" s="24" t="s">
        <v>549</v>
      </c>
      <c r="H9" s="13" t="s">
        <v>284</v>
      </c>
      <c r="I9" s="31" t="s">
        <v>543</v>
      </c>
      <c r="J9" s="31" t="s">
        <v>543</v>
      </c>
      <c r="K9" s="31" t="s">
        <v>543</v>
      </c>
      <c r="L9" s="13" t="s">
        <v>285</v>
      </c>
      <c r="M9" s="13" t="s">
        <v>257</v>
      </c>
      <c r="N9" s="22" t="s">
        <v>194</v>
      </c>
      <c r="O9" s="13" t="s">
        <v>207</v>
      </c>
      <c r="P9" s="13" t="s">
        <v>41</v>
      </c>
      <c r="Q9" s="13" t="s">
        <v>188</v>
      </c>
      <c r="R9" s="22" t="s">
        <v>208</v>
      </c>
      <c r="S9" s="26">
        <f t="shared" si="2"/>
        <v>0.3</v>
      </c>
      <c r="T9" s="27">
        <f t="shared" si="3"/>
        <v>46273</v>
      </c>
      <c r="U9" s="22">
        <f t="shared" ca="1" si="4"/>
        <v>52</v>
      </c>
      <c r="V9" s="13" t="str">
        <f t="shared" ca="1" si="5"/>
        <v>Stalled 30d+</v>
      </c>
      <c r="W9" s="13" t="str">
        <f>IF(COUNT($AK9:$AX9)=0,"",LOOKUP(2,1/($AK9:$AX9&lt;&gt;""),{"①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⑤ 계약 체결 · Contract Signed</v>
      </c>
      <c r="X9" s="22">
        <f t="shared" ca="1" si="6"/>
        <v>52</v>
      </c>
      <c r="Y9" s="22">
        <f>IF($G9="","",COUNTIF('Chase Log'!$B$4:$B$2000,$G9))</f>
        <v>1</v>
      </c>
      <c r="Z9" s="27">
        <f>IF(N($Y9)=0,"",_xlfn.MAXIFS('Chase Log'!$E$4:$E$2000,'Chase Log'!$B$4:$B$2000,$G9))</f>
        <v>46300</v>
      </c>
      <c r="AA9" s="22">
        <f t="shared" ca="1" si="7"/>
        <v>25</v>
      </c>
      <c r="AB9" s="27" t="str">
        <f>IF($Z9="","",IF(OR(AND($T9&lt;&gt;"",N($T9)&gt;N($Z9)),COUNTIFS('Chase Log'!$B$4:$B$2000,$G9,'Chase Log'!$E$4:$E$2000,$Z9,'Chase Log'!$I$4:$I$2000,"Y")&gt;0),"",IF(_xlfn.MAXIFS('Chase Log'!$J$4:$J$2000,'Chase Log'!$B$4:$B$2000,$G9,'Chase Log'!$E$4:$E$2000,$Z9)=0,"",_xlfn.MAXIFS('Chase Log'!$J$4:$J$2000,'Chase Log'!$B$4:$B$2000,$G9,'Chase Log'!$E$4:$E$2000,$Z9))))</f>
        <v/>
      </c>
      <c r="AC9" s="13" t="str">
        <f ca="1">IF(OR($G9="",N($S9)&gt;=1,$C9="Live",$D9&lt;&gt;""),"",IF(AND($AB9&lt;&gt;"",N($AB9)&gt;0),IF($AB9&lt;TODAY(),"Chase Overdue","Scheduled"),IF(AND($T9&lt;&gt;"",N($U9)&gt;='안내 Guide'!$D$4,OR($AA9="",N($AA9)&gt;='안내 Guide'!$D$4)),"Chase Needed","")))</f>
        <v>Chase Needed</v>
      </c>
      <c r="AD9" s="28"/>
      <c r="AE9" s="25"/>
      <c r="AF9" s="25" t="s">
        <v>544</v>
      </c>
      <c r="AG9" s="29" t="s">
        <v>545</v>
      </c>
      <c r="AH9" s="25"/>
      <c r="AI9" s="13" t="s">
        <v>224</v>
      </c>
      <c r="AJ9" s="16" t="s">
        <v>168</v>
      </c>
      <c r="AK9" s="30"/>
      <c r="AL9" s="30"/>
      <c r="AM9" s="30"/>
      <c r="AN9" s="30"/>
      <c r="AO9" s="30">
        <v>46273</v>
      </c>
      <c r="AP9" s="30"/>
      <c r="AQ9" s="30"/>
      <c r="AR9" s="30"/>
      <c r="AS9" s="30"/>
      <c r="AT9" s="30"/>
      <c r="AU9" s="30"/>
      <c r="AV9" s="30"/>
      <c r="AW9" s="30"/>
      <c r="AX9" s="30"/>
    </row>
    <row r="10" spans="1:50" ht="25.5" customHeight="1">
      <c r="A10" s="22">
        <f t="shared" si="0"/>
        <v>6</v>
      </c>
      <c r="B10" s="22" t="str">
        <f t="shared" si="1"/>
        <v>NDA/Contract</v>
      </c>
      <c r="C10" s="23"/>
      <c r="D10" s="23"/>
      <c r="E10" s="13" t="s">
        <v>30</v>
      </c>
      <c r="F10" s="13" t="s">
        <v>408</v>
      </c>
      <c r="G10" s="24" t="s">
        <v>65</v>
      </c>
      <c r="H10" s="13" t="s">
        <v>204</v>
      </c>
      <c r="I10" s="31" t="s">
        <v>543</v>
      </c>
      <c r="J10" s="31" t="s">
        <v>543</v>
      </c>
      <c r="K10" s="31" t="s">
        <v>543</v>
      </c>
      <c r="L10" s="13" t="s">
        <v>285</v>
      </c>
      <c r="M10" s="13" t="s">
        <v>206</v>
      </c>
      <c r="N10" s="22" t="s">
        <v>160</v>
      </c>
      <c r="O10" s="13" t="s">
        <v>207</v>
      </c>
      <c r="P10" s="13" t="s">
        <v>40</v>
      </c>
      <c r="Q10" s="13" t="s">
        <v>162</v>
      </c>
      <c r="R10" s="22" t="s">
        <v>208</v>
      </c>
      <c r="S10" s="26">
        <f t="shared" si="2"/>
        <v>0.2</v>
      </c>
      <c r="T10" s="27">
        <f t="shared" si="3"/>
        <v>46246</v>
      </c>
      <c r="U10" s="22">
        <f t="shared" ca="1" si="4"/>
        <v>79</v>
      </c>
      <c r="V10" s="13" t="str">
        <f t="shared" ca="1" si="5"/>
        <v>Stalled 60d+</v>
      </c>
      <c r="W10" s="13" t="str">
        <f>IF(COUNT($AK10:$AX10)=0,"",LOOKUP(2,1/($AK10:$AX10&lt;&gt;""),{"①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X10" s="22">
        <f t="shared" ca="1" si="6"/>
        <v>79</v>
      </c>
      <c r="Y10" s="22">
        <f>IF($G10="","",COUNTIF('Chase Log'!$B$4:$B$2000,$G10))</f>
        <v>5</v>
      </c>
      <c r="Z10" s="27">
        <f>IF(N($Y10)=0,"",_xlfn.MAXIFS('Chase Log'!$E$4:$E$2000,'Chase Log'!$B$4:$B$2000,$G10))</f>
        <v>46324</v>
      </c>
      <c r="AA10" s="22">
        <f t="shared" ca="1" si="7"/>
        <v>1</v>
      </c>
      <c r="AB10" s="27">
        <f>IF($Z10="","",IF(OR(AND($T10&lt;&gt;"",N($T10)&gt;N($Z10)),COUNTIFS('Chase Log'!$B$4:$B$2000,$G10,'Chase Log'!$E$4:$E$2000,$Z10,'Chase Log'!$I$4:$I$2000,"Y")&gt;0),"",IF(_xlfn.MAXIFS('Chase Log'!$J$4:$J$2000,'Chase Log'!$B$4:$B$2000,$G10,'Chase Log'!$E$4:$E$2000,$Z10)=0,"",_xlfn.MAXIFS('Chase Log'!$J$4:$J$2000,'Chase Log'!$B$4:$B$2000,$G10,'Chase Log'!$E$4:$E$2000,$Z10))))</f>
        <v>46331</v>
      </c>
      <c r="AC10" s="13" t="str">
        <f ca="1">IF(OR($G10="",N($S10)&gt;=1,$C10="Live",$D10&lt;&gt;""),"",IF(AND($AB10&lt;&gt;"",N($AB10)&gt;0),IF($AB10&lt;TODAY(),"Chase Overdue","Scheduled"),IF(AND($T10&lt;&gt;"",N($U10)&gt;='안내 Guide'!$D$4,OR($AA10="",N($AA10)&gt;='안내 Guide'!$D$4)),"Chase Needed","")))</f>
        <v>Scheduled</v>
      </c>
      <c r="AD10" s="28"/>
      <c r="AE10" s="25"/>
      <c r="AF10" s="25" t="s">
        <v>550</v>
      </c>
      <c r="AG10" s="29" t="s">
        <v>551</v>
      </c>
      <c r="AH10" s="25"/>
      <c r="AI10" s="13" t="s">
        <v>175</v>
      </c>
      <c r="AJ10" s="16" t="s">
        <v>552</v>
      </c>
      <c r="AK10" s="30"/>
      <c r="AL10" s="30"/>
      <c r="AM10" s="30"/>
      <c r="AN10" s="30">
        <v>46246</v>
      </c>
      <c r="AO10" s="30"/>
      <c r="AP10" s="30"/>
      <c r="AQ10" s="30"/>
      <c r="AR10" s="30"/>
      <c r="AS10" s="30"/>
      <c r="AT10" s="30"/>
      <c r="AU10" s="30"/>
      <c r="AV10" s="30"/>
      <c r="AW10" s="30"/>
      <c r="AX10" s="30"/>
    </row>
    <row r="11" spans="1:50" ht="25.5" customHeight="1">
      <c r="A11" s="22">
        <f t="shared" si="0"/>
        <v>7</v>
      </c>
      <c r="B11" s="22" t="str">
        <f t="shared" si="1"/>
        <v>NDA/Contract</v>
      </c>
      <c r="C11" s="23"/>
      <c r="D11" s="23"/>
      <c r="E11" s="13" t="s">
        <v>30</v>
      </c>
      <c r="F11" s="13" t="s">
        <v>408</v>
      </c>
      <c r="G11" s="24" t="s">
        <v>65</v>
      </c>
      <c r="H11" s="13" t="s">
        <v>284</v>
      </c>
      <c r="I11" s="31" t="s">
        <v>543</v>
      </c>
      <c r="J11" s="31" t="s">
        <v>543</v>
      </c>
      <c r="K11" s="31" t="s">
        <v>543</v>
      </c>
      <c r="L11" s="13" t="s">
        <v>285</v>
      </c>
      <c r="M11" s="13" t="s">
        <v>257</v>
      </c>
      <c r="N11" s="22" t="s">
        <v>186</v>
      </c>
      <c r="O11" s="13" t="s">
        <v>207</v>
      </c>
      <c r="P11" s="13" t="s">
        <v>40</v>
      </c>
      <c r="Q11" s="13" t="s">
        <v>188</v>
      </c>
      <c r="R11" s="22" t="s">
        <v>208</v>
      </c>
      <c r="S11" s="26">
        <f t="shared" si="2"/>
        <v>0.2</v>
      </c>
      <c r="T11" s="27">
        <f t="shared" si="3"/>
        <v>46246</v>
      </c>
      <c r="U11" s="22">
        <f t="shared" ca="1" si="4"/>
        <v>79</v>
      </c>
      <c r="V11" s="13" t="str">
        <f t="shared" ca="1" si="5"/>
        <v>Stalled 60d+</v>
      </c>
      <c r="W11" s="13" t="str">
        <f>IF(COUNT($AK11:$AX11)=0,"",LOOKUP(2,1/($AK11:$AX11&lt;&gt;""),{"①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X11" s="22">
        <f t="shared" ca="1" si="6"/>
        <v>79</v>
      </c>
      <c r="Y11" s="22">
        <f>IF($G11="","",COUNTIF('Chase Log'!$B$4:$B$2000,$G11))</f>
        <v>5</v>
      </c>
      <c r="Z11" s="27">
        <f>IF(N($Y11)=0,"",_xlfn.MAXIFS('Chase Log'!$E$4:$E$2000,'Chase Log'!$B$4:$B$2000,$G11))</f>
        <v>46324</v>
      </c>
      <c r="AA11" s="22">
        <f t="shared" ca="1" si="7"/>
        <v>1</v>
      </c>
      <c r="AB11" s="27">
        <f>IF($Z11="","",IF(OR(AND($T11&lt;&gt;"",N($T11)&gt;N($Z11)),COUNTIFS('Chase Log'!$B$4:$B$2000,$G11,'Chase Log'!$E$4:$E$2000,$Z11,'Chase Log'!$I$4:$I$2000,"Y")&gt;0),"",IF(_xlfn.MAXIFS('Chase Log'!$J$4:$J$2000,'Chase Log'!$B$4:$B$2000,$G11,'Chase Log'!$E$4:$E$2000,$Z11)=0,"",_xlfn.MAXIFS('Chase Log'!$J$4:$J$2000,'Chase Log'!$B$4:$B$2000,$G11,'Chase Log'!$E$4:$E$2000,$Z11))))</f>
        <v>46331</v>
      </c>
      <c r="AC11" s="13" t="str">
        <f ca="1">IF(OR($G11="",N($S11)&gt;=1,$C11="Live",$D11&lt;&gt;""),"",IF(AND($AB11&lt;&gt;"",N($AB11)&gt;0),IF($AB11&lt;TODAY(),"Chase Overdue","Scheduled"),IF(AND($T11&lt;&gt;"",N($U11)&gt;='안내 Guide'!$D$4,OR($AA11="",N($AA11)&gt;='안내 Guide'!$D$4)),"Chase Needed","")))</f>
        <v>Scheduled</v>
      </c>
      <c r="AD11" s="28"/>
      <c r="AE11" s="25"/>
      <c r="AF11" s="25" t="s">
        <v>550</v>
      </c>
      <c r="AG11" s="29" t="s">
        <v>551</v>
      </c>
      <c r="AH11" s="25"/>
      <c r="AI11" s="13" t="s">
        <v>175</v>
      </c>
      <c r="AJ11" s="16" t="s">
        <v>552</v>
      </c>
      <c r="AK11" s="30"/>
      <c r="AL11" s="30"/>
      <c r="AM11" s="30"/>
      <c r="AN11" s="30">
        <v>46246</v>
      </c>
      <c r="AO11" s="30"/>
      <c r="AP11" s="30"/>
      <c r="AQ11" s="30"/>
      <c r="AR11" s="30"/>
      <c r="AS11" s="30"/>
      <c r="AT11" s="30"/>
      <c r="AU11" s="30"/>
      <c r="AV11" s="30"/>
      <c r="AW11" s="30"/>
      <c r="AX11" s="30"/>
    </row>
    <row r="12" spans="1:50" ht="25.5" customHeight="1">
      <c r="A12" s="22">
        <f t="shared" si="0"/>
        <v>8</v>
      </c>
      <c r="B12" s="22" t="str">
        <f t="shared" si="1"/>
        <v>NDA/Contract</v>
      </c>
      <c r="C12" s="23"/>
      <c r="D12" s="23"/>
      <c r="E12" s="13" t="s">
        <v>30</v>
      </c>
      <c r="F12" s="13" t="s">
        <v>191</v>
      </c>
      <c r="G12" s="24" t="s">
        <v>553</v>
      </c>
      <c r="H12" s="13" t="s">
        <v>213</v>
      </c>
      <c r="I12" s="31" t="s">
        <v>543</v>
      </c>
      <c r="J12" s="31" t="s">
        <v>543</v>
      </c>
      <c r="K12" s="31" t="s">
        <v>543</v>
      </c>
      <c r="L12" s="13" t="s">
        <v>554</v>
      </c>
      <c r="M12" s="13" t="s">
        <v>215</v>
      </c>
      <c r="N12" s="22" t="s">
        <v>194</v>
      </c>
      <c r="O12" s="13" t="s">
        <v>207</v>
      </c>
      <c r="P12" s="13" t="s">
        <v>41</v>
      </c>
      <c r="Q12" s="13" t="s">
        <v>162</v>
      </c>
      <c r="R12" s="22" t="s">
        <v>208</v>
      </c>
      <c r="S12" s="26">
        <f t="shared" si="2"/>
        <v>0.2</v>
      </c>
      <c r="T12" s="27">
        <f t="shared" si="3"/>
        <v>46267</v>
      </c>
      <c r="U12" s="22">
        <f t="shared" ca="1" si="4"/>
        <v>58</v>
      </c>
      <c r="V12" s="13" t="str">
        <f t="shared" ca="1" si="5"/>
        <v>Stalled 30d+</v>
      </c>
      <c r="W12" s="13" t="str">
        <f>IF(COUNT($AK12:$AX12)=0,"",LOOKUP(2,1/($AK12:$AX12&lt;&gt;""),{"①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X12" s="22">
        <f t="shared" ca="1" si="6"/>
        <v>58</v>
      </c>
      <c r="Y12" s="22">
        <f>IF($G12="","",COUNTIF('Chase Log'!$B$4:$B$2000,$G12))</f>
        <v>2</v>
      </c>
      <c r="Z12" s="27">
        <f>IF(N($Y12)=0,"",_xlfn.MAXIFS('Chase Log'!$E$4:$E$2000,'Chase Log'!$B$4:$B$2000,$G12))</f>
        <v>46323</v>
      </c>
      <c r="AA12" s="22">
        <f t="shared" ca="1" si="7"/>
        <v>2</v>
      </c>
      <c r="AB12" s="27">
        <f>IF($Z12="","",IF(OR(AND($T12&lt;&gt;"",N($T12)&gt;N($Z12)),COUNTIFS('Chase Log'!$B$4:$B$2000,$G12,'Chase Log'!$E$4:$E$2000,$Z12,'Chase Log'!$I$4:$I$2000,"Y")&gt;0),"",IF(_xlfn.MAXIFS('Chase Log'!$J$4:$J$2000,'Chase Log'!$B$4:$B$2000,$G12,'Chase Log'!$E$4:$E$2000,$Z12)=0,"",_xlfn.MAXIFS('Chase Log'!$J$4:$J$2000,'Chase Log'!$B$4:$B$2000,$G12,'Chase Log'!$E$4:$E$2000,$Z12))))</f>
        <v>46330</v>
      </c>
      <c r="AC12" s="13" t="str">
        <f ca="1">IF(OR($G12="",N($S12)&gt;=1,$C12="Live",$D12&lt;&gt;""),"",IF(AND($AB12&lt;&gt;"",N($AB12)&gt;0),IF($AB12&lt;TODAY(),"Chase Overdue","Scheduled"),IF(AND($T12&lt;&gt;"",N($U12)&gt;='안내 Guide'!$D$4,OR($AA12="",N($AA12)&gt;='안내 Guide'!$D$4)),"Chase Needed","")))</f>
        <v>Scheduled</v>
      </c>
      <c r="AD12" s="28"/>
      <c r="AE12" s="25"/>
      <c r="AF12" s="25" t="s">
        <v>555</v>
      </c>
      <c r="AG12" s="29" t="s">
        <v>556</v>
      </c>
      <c r="AH12" s="25"/>
      <c r="AI12" s="13" t="s">
        <v>557</v>
      </c>
      <c r="AJ12" s="16" t="s">
        <v>558</v>
      </c>
      <c r="AK12" s="30"/>
      <c r="AL12" s="30"/>
      <c r="AM12" s="30"/>
      <c r="AN12" s="30">
        <v>46267</v>
      </c>
      <c r="AO12" s="30"/>
      <c r="AP12" s="30"/>
      <c r="AQ12" s="30"/>
      <c r="AR12" s="30"/>
      <c r="AS12" s="30"/>
      <c r="AT12" s="30"/>
      <c r="AU12" s="30"/>
      <c r="AV12" s="30"/>
      <c r="AW12" s="30"/>
      <c r="AX12" s="30"/>
    </row>
    <row r="13" spans="1:50" ht="25.5" customHeight="1">
      <c r="A13" s="22">
        <f t="shared" si="0"/>
        <v>9</v>
      </c>
      <c r="B13" s="22" t="str">
        <f t="shared" si="1"/>
        <v>NDA/Contract</v>
      </c>
      <c r="C13" s="23"/>
      <c r="D13" s="23"/>
      <c r="E13" s="13" t="s">
        <v>34</v>
      </c>
      <c r="F13" s="13" t="s">
        <v>559</v>
      </c>
      <c r="G13" s="24" t="s">
        <v>64</v>
      </c>
      <c r="H13" s="13" t="s">
        <v>284</v>
      </c>
      <c r="I13" s="31" t="s">
        <v>172</v>
      </c>
      <c r="J13" s="31" t="s">
        <v>543</v>
      </c>
      <c r="K13" s="31" t="s">
        <v>543</v>
      </c>
      <c r="L13" s="13" t="s">
        <v>285</v>
      </c>
      <c r="M13" s="13" t="s">
        <v>257</v>
      </c>
      <c r="N13" s="22" t="s">
        <v>194</v>
      </c>
      <c r="O13" s="13" t="s">
        <v>187</v>
      </c>
      <c r="P13" s="13" t="s">
        <v>40</v>
      </c>
      <c r="Q13" s="13" t="s">
        <v>188</v>
      </c>
      <c r="R13" s="22" t="s">
        <v>208</v>
      </c>
      <c r="S13" s="26">
        <f t="shared" si="2"/>
        <v>0.2</v>
      </c>
      <c r="T13" s="27">
        <f t="shared" si="3"/>
        <v>46213</v>
      </c>
      <c r="U13" s="22">
        <f t="shared" ca="1" si="4"/>
        <v>112</v>
      </c>
      <c r="V13" s="13" t="str">
        <f t="shared" ca="1" si="5"/>
        <v>Stalled 90d+</v>
      </c>
      <c r="W13" s="13" t="str">
        <f>IF(COUNT($AK13:$AX13)=0,"",LOOKUP(2,1/($AK13:$AX13&lt;&gt;""),{"①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X13" s="22">
        <f t="shared" ca="1" si="6"/>
        <v>112</v>
      </c>
      <c r="Y13" s="22">
        <f>IF($G13="","",COUNTIF('Chase Log'!$B$4:$B$2000,$G13))</f>
        <v>3</v>
      </c>
      <c r="Z13" s="27">
        <f>IF(N($Y13)=0,"",_xlfn.MAXIFS('Chase Log'!$E$4:$E$2000,'Chase Log'!$B$4:$B$2000,$G13))</f>
        <v>46324</v>
      </c>
      <c r="AA13" s="22">
        <f t="shared" ca="1" si="7"/>
        <v>1</v>
      </c>
      <c r="AB13" s="27">
        <f>IF($Z13="","",IF(OR(AND($T13&lt;&gt;"",N($T13)&gt;N($Z13)),COUNTIFS('Chase Log'!$B$4:$B$2000,$G13,'Chase Log'!$E$4:$E$2000,$Z13,'Chase Log'!$I$4:$I$2000,"Y")&gt;0),"",IF(_xlfn.MAXIFS('Chase Log'!$J$4:$J$2000,'Chase Log'!$B$4:$B$2000,$G13,'Chase Log'!$E$4:$E$2000,$Z13)=0,"",_xlfn.MAXIFS('Chase Log'!$J$4:$J$2000,'Chase Log'!$B$4:$B$2000,$G13,'Chase Log'!$E$4:$E$2000,$Z13))))</f>
        <v>46331</v>
      </c>
      <c r="AC13" s="13" t="str">
        <f ca="1">IF(OR($G13="",N($S13)&gt;=1,$C13="Live",$D13&lt;&gt;""),"",IF(AND($AB13&lt;&gt;"",N($AB13)&gt;0),IF($AB13&lt;TODAY(),"Chase Overdue","Scheduled"),IF(AND($T13&lt;&gt;"",N($U13)&gt;='안내 Guide'!$D$4,OR($AA13="",N($AA13)&gt;='안내 Guide'!$D$4)),"Chase Needed","")))</f>
        <v>Scheduled</v>
      </c>
      <c r="AD13" s="28"/>
      <c r="AE13" s="25"/>
      <c r="AF13" s="25"/>
      <c r="AG13" s="29"/>
      <c r="AH13" s="25"/>
      <c r="AI13" s="13"/>
      <c r="AJ13" s="16" t="s">
        <v>552</v>
      </c>
      <c r="AK13" s="30"/>
      <c r="AL13" s="30"/>
      <c r="AM13" s="30"/>
      <c r="AN13" s="30">
        <v>46213</v>
      </c>
      <c r="AO13" s="30"/>
      <c r="AP13" s="30"/>
      <c r="AQ13" s="30"/>
      <c r="AR13" s="30"/>
      <c r="AS13" s="30"/>
      <c r="AT13" s="30"/>
      <c r="AU13" s="30"/>
      <c r="AV13" s="30"/>
      <c r="AW13" s="30"/>
      <c r="AX13" s="30"/>
    </row>
    <row r="14" spans="1:50" ht="25.5" customHeight="1">
      <c r="A14" s="22">
        <f t="shared" si="0"/>
        <v>10</v>
      </c>
      <c r="B14" s="22" t="str">
        <f t="shared" si="1"/>
        <v>NDA/Contract</v>
      </c>
      <c r="C14" s="23"/>
      <c r="D14" s="23"/>
      <c r="E14" s="13" t="s">
        <v>34</v>
      </c>
      <c r="F14" s="13" t="s">
        <v>200</v>
      </c>
      <c r="G14" s="24" t="s">
        <v>560</v>
      </c>
      <c r="H14" s="13" t="s">
        <v>204</v>
      </c>
      <c r="I14" s="31" t="s">
        <v>543</v>
      </c>
      <c r="J14" s="31" t="s">
        <v>561</v>
      </c>
      <c r="K14" s="31" t="s">
        <v>543</v>
      </c>
      <c r="L14" s="13" t="s">
        <v>562</v>
      </c>
      <c r="M14" s="13" t="s">
        <v>206</v>
      </c>
      <c r="N14" s="22" t="s">
        <v>194</v>
      </c>
      <c r="O14" s="13" t="s">
        <v>207</v>
      </c>
      <c r="P14" s="13" t="s">
        <v>41</v>
      </c>
      <c r="Q14" s="13" t="s">
        <v>196</v>
      </c>
      <c r="R14" s="22" t="s">
        <v>208</v>
      </c>
      <c r="S14" s="26">
        <f t="shared" si="2"/>
        <v>0.2</v>
      </c>
      <c r="T14" s="27">
        <f t="shared" si="3"/>
        <v>46287</v>
      </c>
      <c r="U14" s="22">
        <f t="shared" ca="1" si="4"/>
        <v>38</v>
      </c>
      <c r="V14" s="13" t="str">
        <f t="shared" ca="1" si="5"/>
        <v>Stalled 30d+</v>
      </c>
      <c r="W14" s="13" t="str">
        <f>IF(COUNT($AK14:$AX14)=0,"",LOOKUP(2,1/($AK14:$AX14&lt;&gt;""),{"①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④ NDA 체결 · NDA Signed</v>
      </c>
      <c r="X14" s="22">
        <f t="shared" ca="1" si="6"/>
        <v>38</v>
      </c>
      <c r="Y14" s="22">
        <f>IF($G14="","",COUNTIF('Chase Log'!$B$4:$B$2000,$G14))</f>
        <v>7</v>
      </c>
      <c r="Z14" s="27">
        <f>IF(N($Y14)=0,"",_xlfn.MAXIFS('Chase Log'!$E$4:$E$2000,'Chase Log'!$B$4:$B$2000,$G14))</f>
        <v>46317</v>
      </c>
      <c r="AA14" s="22">
        <f t="shared" ca="1" si="7"/>
        <v>8</v>
      </c>
      <c r="AB14" s="27">
        <f>IF($Z14="","",IF(OR(AND($T14&lt;&gt;"",N($T14)&gt;N($Z14)),COUNTIFS('Chase Log'!$B$4:$B$2000,$G14,'Chase Log'!$E$4:$E$2000,$Z14,'Chase Log'!$I$4:$I$2000,"Y")&gt;0),"",IF(_xlfn.MAXIFS('Chase Log'!$J$4:$J$2000,'Chase Log'!$B$4:$B$2000,$G14,'Chase Log'!$E$4:$E$2000,$Z14)=0,"",_xlfn.MAXIFS('Chase Log'!$J$4:$J$2000,'Chase Log'!$B$4:$B$2000,$G14,'Chase Log'!$E$4:$E$2000,$Z14))))</f>
        <v>46324</v>
      </c>
      <c r="AC14" s="13" t="str">
        <f ca="1">IF(OR($G14="",N($S14)&gt;=1,$C14="Live",$D14&lt;&gt;""),"",IF(AND($AB14&lt;&gt;"",N($AB14)&gt;0),IF($AB14&lt;TODAY(),"Chase Overdue","Scheduled"),IF(AND($T14&lt;&gt;"",N($U14)&gt;='안내 Guide'!$D$4,OR($AA14="",N($AA14)&gt;='안내 Guide'!$D$4)),"Chase Needed","")))</f>
        <v>Chase Overdue</v>
      </c>
      <c r="AD14" s="28"/>
      <c r="AE14" s="25"/>
      <c r="AF14" s="25" t="s">
        <v>563</v>
      </c>
      <c r="AG14" s="29" t="s">
        <v>564</v>
      </c>
      <c r="AH14" s="25"/>
      <c r="AI14" s="13" t="s">
        <v>224</v>
      </c>
      <c r="AJ14" s="16" t="s">
        <v>168</v>
      </c>
      <c r="AK14" s="30"/>
      <c r="AL14" s="30"/>
      <c r="AM14" s="30"/>
      <c r="AN14" s="30">
        <v>46287</v>
      </c>
      <c r="AO14" s="30"/>
      <c r="AP14" s="30"/>
      <c r="AQ14" s="30"/>
      <c r="AR14" s="30"/>
      <c r="AS14" s="30"/>
      <c r="AT14" s="30"/>
      <c r="AU14" s="30"/>
      <c r="AV14" s="30"/>
      <c r="AW14" s="30"/>
      <c r="AX14" s="30"/>
    </row>
    <row r="15" spans="1:50" ht="25.5" customHeight="1">
      <c r="A15" s="22">
        <f t="shared" si="0"/>
        <v>11</v>
      </c>
      <c r="B15" s="22" t="str">
        <f t="shared" si="1"/>
        <v>Contact</v>
      </c>
      <c r="C15" s="23"/>
      <c r="D15" s="23"/>
      <c r="E15" s="13" t="s">
        <v>29</v>
      </c>
      <c r="F15" s="13" t="s">
        <v>153</v>
      </c>
      <c r="G15" s="24" t="s">
        <v>565</v>
      </c>
      <c r="H15" s="13" t="s">
        <v>284</v>
      </c>
      <c r="I15" s="31" t="s">
        <v>172</v>
      </c>
      <c r="J15" s="31" t="s">
        <v>566</v>
      </c>
      <c r="K15" s="31" t="s">
        <v>566</v>
      </c>
      <c r="L15" s="13" t="s">
        <v>285</v>
      </c>
      <c r="M15" s="13" t="s">
        <v>257</v>
      </c>
      <c r="N15" s="22" t="s">
        <v>194</v>
      </c>
      <c r="O15" s="13" t="s">
        <v>187</v>
      </c>
      <c r="P15" s="13" t="s">
        <v>39</v>
      </c>
      <c r="Q15" s="13" t="s">
        <v>188</v>
      </c>
      <c r="R15" s="22" t="s">
        <v>208</v>
      </c>
      <c r="S15" s="26">
        <f t="shared" si="2"/>
        <v>0</v>
      </c>
      <c r="T15" s="27" t="str">
        <f t="shared" si="3"/>
        <v/>
      </c>
      <c r="U15" s="22" t="str">
        <f t="shared" ca="1" si="4"/>
        <v/>
      </c>
      <c r="V15" s="13" t="str">
        <f t="shared" si="5"/>
        <v>No Record</v>
      </c>
      <c r="W15" s="13" t="str">
        <f>IF(COUNT($AK15:$AX15)=0,"",LOOKUP(2,1/($AK15:$AX15&lt;&gt;""),{"①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5" s="22" t="str">
        <f t="shared" ca="1" si="6"/>
        <v/>
      </c>
      <c r="Y15" s="22">
        <f>IF($G15="","",COUNTIF('Chase Log'!$B$4:$B$2000,$G15))</f>
        <v>5</v>
      </c>
      <c r="Z15" s="27">
        <f>IF(N($Y15)=0,"",_xlfn.MAXIFS('Chase Log'!$E$4:$E$2000,'Chase Log'!$B$4:$B$2000,$G15))</f>
        <v>46325</v>
      </c>
      <c r="AA15" s="22">
        <f t="shared" ca="1" si="7"/>
        <v>0</v>
      </c>
      <c r="AB15" s="27">
        <f>IF($Z15="","",IF(OR(AND($T15&lt;&gt;"",N($T15)&gt;N($Z15)),COUNTIFS('Chase Log'!$B$4:$B$2000,$G15,'Chase Log'!$E$4:$E$2000,$Z15,'Chase Log'!$I$4:$I$2000,"Y")&gt;0),"",IF(_xlfn.MAXIFS('Chase Log'!$J$4:$J$2000,'Chase Log'!$B$4:$B$2000,$G15,'Chase Log'!$E$4:$E$2000,$Z15)=0,"",_xlfn.MAXIFS('Chase Log'!$J$4:$J$2000,'Chase Log'!$B$4:$B$2000,$G15,'Chase Log'!$E$4:$E$2000,$Z15))))</f>
        <v>46332</v>
      </c>
      <c r="AC15" s="13" t="str">
        <f ca="1">IF(OR($G15="",N($S15)&gt;=1,$C15="Live",$D15&lt;&gt;""),"",IF(AND($AB15&lt;&gt;"",N($AB15)&gt;0),IF($AB15&lt;TODAY(),"Chase Overdue","Scheduled"),IF(AND($T15&lt;&gt;"",N($U15)&gt;='안내 Guide'!$D$4,OR($AA15="",N($AA15)&gt;='안내 Guide'!$D$4)),"Chase Needed","")))</f>
        <v>Scheduled</v>
      </c>
      <c r="AD15" s="28"/>
      <c r="AE15" s="25"/>
      <c r="AF15" s="25"/>
      <c r="AG15" s="29"/>
      <c r="AH15" s="25"/>
      <c r="AI15" s="13"/>
      <c r="AJ15" s="16" t="s">
        <v>552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</row>
    <row r="16" spans="1:50" ht="25.5" customHeight="1">
      <c r="A16" s="22">
        <f t="shared" si="0"/>
        <v>12</v>
      </c>
      <c r="B16" s="22" t="str">
        <f t="shared" si="1"/>
        <v>Contact</v>
      </c>
      <c r="C16" s="23"/>
      <c r="D16" s="23"/>
      <c r="E16" s="13" t="s">
        <v>30</v>
      </c>
      <c r="F16" s="13" t="s">
        <v>211</v>
      </c>
      <c r="G16" s="24" t="s">
        <v>567</v>
      </c>
      <c r="H16" s="13" t="s">
        <v>284</v>
      </c>
      <c r="I16" s="31" t="s">
        <v>568</v>
      </c>
      <c r="J16" s="31" t="s">
        <v>569</v>
      </c>
      <c r="K16" s="31" t="s">
        <v>570</v>
      </c>
      <c r="L16" s="13" t="s">
        <v>285</v>
      </c>
      <c r="M16" s="13" t="s">
        <v>257</v>
      </c>
      <c r="N16" s="22" t="s">
        <v>194</v>
      </c>
      <c r="O16" s="13" t="s">
        <v>207</v>
      </c>
      <c r="P16" s="13" t="s">
        <v>40</v>
      </c>
      <c r="Q16" s="13" t="s">
        <v>196</v>
      </c>
      <c r="R16" s="22" t="s">
        <v>208</v>
      </c>
      <c r="S16" s="26">
        <f t="shared" si="2"/>
        <v>0</v>
      </c>
      <c r="T16" s="27" t="str">
        <f t="shared" si="3"/>
        <v/>
      </c>
      <c r="U16" s="22" t="str">
        <f t="shared" ca="1" si="4"/>
        <v/>
      </c>
      <c r="V16" s="13" t="str">
        <f t="shared" si="5"/>
        <v>No Record</v>
      </c>
      <c r="W16" s="13" t="str">
        <f>IF(COUNT($AK16:$AX16)=0,"",LOOKUP(2,1/($AK16:$AX16&lt;&gt;""),{"①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6" s="22" t="str">
        <f t="shared" ca="1" si="6"/>
        <v/>
      </c>
      <c r="Y16" s="22">
        <f>IF($G16="","",COUNTIF('Chase Log'!$B$4:$B$2000,$G16))</f>
        <v>0</v>
      </c>
      <c r="Z16" s="27" t="str">
        <f>IF(N($Y16)=0,"",_xlfn.MAXIFS('Chase Log'!$E$4:$E$2000,'Chase Log'!$B$4:$B$2000,$G16))</f>
        <v/>
      </c>
      <c r="AA16" s="22" t="str">
        <f t="shared" ca="1" si="7"/>
        <v/>
      </c>
      <c r="AB16" s="27" t="str">
        <f>IF($Z16="","",IF(OR(AND($T16&lt;&gt;"",N($T16)&gt;N($Z16)),COUNTIFS('Chase Log'!$B$4:$B$2000,$G16,'Chase Log'!$E$4:$E$2000,$Z16,'Chase Log'!$I$4:$I$2000,"Y")&gt;0),"",IF(_xlfn.MAXIFS('Chase Log'!$J$4:$J$2000,'Chase Log'!$B$4:$B$2000,$G16,'Chase Log'!$E$4:$E$2000,$Z16)=0,"",_xlfn.MAXIFS('Chase Log'!$J$4:$J$2000,'Chase Log'!$B$4:$B$2000,$G16,'Chase Log'!$E$4:$E$2000,$Z16))))</f>
        <v/>
      </c>
      <c r="AC16" s="13" t="str">
        <f ca="1">IF(OR($G16="",N($S16)&gt;=1,$C16="Live",$D16&lt;&gt;""),"",IF(AND($AB16&lt;&gt;"",N($AB16)&gt;0),IF($AB16&lt;TODAY(),"Chase Overdue","Scheduled"),IF(AND($T16&lt;&gt;"",N($U16)&gt;='안내 Guide'!$D$4,OR($AA16="",N($AA16)&gt;='안내 Guide'!$D$4)),"Chase Needed","")))</f>
        <v/>
      </c>
      <c r="AD16" s="28"/>
      <c r="AE16" s="25"/>
      <c r="AF16" s="25" t="s">
        <v>571</v>
      </c>
      <c r="AG16" s="29" t="s">
        <v>572</v>
      </c>
      <c r="AH16" s="25"/>
      <c r="AI16" s="13" t="s">
        <v>516</v>
      </c>
      <c r="AJ16" s="16" t="s">
        <v>552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</row>
    <row r="17" spans="1:50" ht="25.5" customHeight="1">
      <c r="A17" s="22">
        <f t="shared" si="0"/>
        <v>13</v>
      </c>
      <c r="B17" s="22" t="str">
        <f t="shared" si="1"/>
        <v>Contact</v>
      </c>
      <c r="C17" s="23"/>
      <c r="D17" s="23"/>
      <c r="E17" s="13" t="s">
        <v>31</v>
      </c>
      <c r="F17" s="13" t="s">
        <v>176</v>
      </c>
      <c r="G17" s="24" t="s">
        <v>573</v>
      </c>
      <c r="H17" s="13" t="s">
        <v>204</v>
      </c>
      <c r="I17" s="31" t="s">
        <v>569</v>
      </c>
      <c r="J17" s="31" t="s">
        <v>568</v>
      </c>
      <c r="K17" s="31" t="s">
        <v>570</v>
      </c>
      <c r="L17" s="13" t="s">
        <v>285</v>
      </c>
      <c r="M17" s="13" t="s">
        <v>206</v>
      </c>
      <c r="N17" s="22" t="s">
        <v>160</v>
      </c>
      <c r="O17" s="13" t="s">
        <v>187</v>
      </c>
      <c r="P17" s="13" t="s">
        <v>40</v>
      </c>
      <c r="Q17" s="13" t="s">
        <v>188</v>
      </c>
      <c r="R17" s="22" t="s">
        <v>208</v>
      </c>
      <c r="S17" s="26">
        <f t="shared" si="2"/>
        <v>0</v>
      </c>
      <c r="T17" s="27" t="str">
        <f t="shared" si="3"/>
        <v/>
      </c>
      <c r="U17" s="22" t="str">
        <f t="shared" ca="1" si="4"/>
        <v/>
      </c>
      <c r="V17" s="13" t="str">
        <f t="shared" si="5"/>
        <v>No Record</v>
      </c>
      <c r="W17" s="13" t="str">
        <f>IF(COUNT($AK17:$AX17)=0,"",LOOKUP(2,1/($AK17:$AX17&lt;&gt;""),{"①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7" s="22" t="str">
        <f t="shared" ca="1" si="6"/>
        <v/>
      </c>
      <c r="Y17" s="22">
        <f>IF($G17="","",COUNTIF('Chase Log'!$B$4:$B$2000,$G17))</f>
        <v>0</v>
      </c>
      <c r="Z17" s="27" t="str">
        <f>IF(N($Y17)=0,"",_xlfn.MAXIFS('Chase Log'!$E$4:$E$2000,'Chase Log'!$B$4:$B$2000,$G17))</f>
        <v/>
      </c>
      <c r="AA17" s="22" t="str">
        <f t="shared" ca="1" si="7"/>
        <v/>
      </c>
      <c r="AB17" s="27" t="str">
        <f>IF($Z17="","",IF(OR(AND($T17&lt;&gt;"",N($T17)&gt;N($Z17)),COUNTIFS('Chase Log'!$B$4:$B$2000,$G17,'Chase Log'!$E$4:$E$2000,$Z17,'Chase Log'!$I$4:$I$2000,"Y")&gt;0),"",IF(_xlfn.MAXIFS('Chase Log'!$J$4:$J$2000,'Chase Log'!$B$4:$B$2000,$G17,'Chase Log'!$E$4:$E$2000,$Z17)=0,"",_xlfn.MAXIFS('Chase Log'!$J$4:$J$2000,'Chase Log'!$B$4:$B$2000,$G17,'Chase Log'!$E$4:$E$2000,$Z17))))</f>
        <v/>
      </c>
      <c r="AC17" s="13" t="str">
        <f ca="1">IF(OR($G17="",N($S17)&gt;=1,$C17="Live",$D17&lt;&gt;""),"",IF(AND($AB17&lt;&gt;"",N($AB17)&gt;0),IF($AB17&lt;TODAY(),"Chase Overdue","Scheduled"),IF(AND($T17&lt;&gt;"",N($U17)&gt;='안내 Guide'!$D$4,OR($AA17="",N($AA17)&gt;='안내 Guide'!$D$4)),"Chase Needed","")))</f>
        <v/>
      </c>
      <c r="AD17" s="28"/>
      <c r="AE17" s="25"/>
      <c r="AF17" s="25"/>
      <c r="AG17" s="29"/>
      <c r="AH17" s="25"/>
      <c r="AI17" s="13"/>
      <c r="AJ17" s="16" t="s">
        <v>552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</row>
    <row r="18" spans="1:50" ht="25.5" customHeight="1">
      <c r="A18" s="22">
        <f t="shared" si="0"/>
        <v>14</v>
      </c>
      <c r="B18" s="22" t="str">
        <f t="shared" si="1"/>
        <v>Contact</v>
      </c>
      <c r="C18" s="23"/>
      <c r="D18" s="23"/>
      <c r="E18" s="13" t="s">
        <v>33</v>
      </c>
      <c r="F18" s="13" t="s">
        <v>574</v>
      </c>
      <c r="G18" s="24" t="s">
        <v>575</v>
      </c>
      <c r="H18" s="13" t="s">
        <v>204</v>
      </c>
      <c r="I18" s="31" t="s">
        <v>172</v>
      </c>
      <c r="J18" s="31" t="s">
        <v>172</v>
      </c>
      <c r="K18" s="31" t="s">
        <v>576</v>
      </c>
      <c r="L18" s="13" t="s">
        <v>285</v>
      </c>
      <c r="M18" s="13" t="s">
        <v>206</v>
      </c>
      <c r="N18" s="22" t="s">
        <v>160</v>
      </c>
      <c r="O18" s="13" t="s">
        <v>161</v>
      </c>
      <c r="P18" s="13" t="s">
        <v>40</v>
      </c>
      <c r="Q18" s="13" t="s">
        <v>188</v>
      </c>
      <c r="R18" s="22" t="s">
        <v>208</v>
      </c>
      <c r="S18" s="26">
        <f t="shared" si="2"/>
        <v>0</v>
      </c>
      <c r="T18" s="27" t="str">
        <f t="shared" si="3"/>
        <v/>
      </c>
      <c r="U18" s="22" t="str">
        <f t="shared" ca="1" si="4"/>
        <v/>
      </c>
      <c r="V18" s="13" t="str">
        <f t="shared" si="5"/>
        <v>No Record</v>
      </c>
      <c r="W18" s="13" t="str">
        <f>IF(COUNT($AK18:$AX18)=0,"",LOOKUP(2,1/($AK18:$AX18&lt;&gt;""),{"①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8" s="22" t="str">
        <f t="shared" ca="1" si="6"/>
        <v/>
      </c>
      <c r="Y18" s="22">
        <f>IF($G18="","",COUNTIF('Chase Log'!$B$4:$B$2000,$G18))</f>
        <v>0</v>
      </c>
      <c r="Z18" s="27" t="str">
        <f>IF(N($Y18)=0,"",_xlfn.MAXIFS('Chase Log'!$E$4:$E$2000,'Chase Log'!$B$4:$B$2000,$G18))</f>
        <v/>
      </c>
      <c r="AA18" s="22" t="str">
        <f t="shared" ca="1" si="7"/>
        <v/>
      </c>
      <c r="AB18" s="27" t="str">
        <f>IF($Z18="","",IF(OR(AND($T18&lt;&gt;"",N($T18)&gt;N($Z18)),COUNTIFS('Chase Log'!$B$4:$B$2000,$G18,'Chase Log'!$E$4:$E$2000,$Z18,'Chase Log'!$I$4:$I$2000,"Y")&gt;0),"",IF(_xlfn.MAXIFS('Chase Log'!$J$4:$J$2000,'Chase Log'!$B$4:$B$2000,$G18,'Chase Log'!$E$4:$E$2000,$Z18)=0,"",_xlfn.MAXIFS('Chase Log'!$J$4:$J$2000,'Chase Log'!$B$4:$B$2000,$G18,'Chase Log'!$E$4:$E$2000,$Z18))))</f>
        <v/>
      </c>
      <c r="AC18" s="13" t="str">
        <f ca="1">IF(OR($G18="",N($S18)&gt;=1,$C18="Live",$D18&lt;&gt;""),"",IF(AND($AB18&lt;&gt;"",N($AB18)&gt;0),IF($AB18&lt;TODAY(),"Chase Overdue","Scheduled"),IF(AND($T18&lt;&gt;"",N($U18)&gt;='안내 Guide'!$D$4,OR($AA18="",N($AA18)&gt;='안내 Guide'!$D$4)),"Chase Needed","")))</f>
        <v/>
      </c>
      <c r="AD18" s="28"/>
      <c r="AE18" s="25"/>
      <c r="AF18" s="25" t="s">
        <v>577</v>
      </c>
      <c r="AG18" s="29" t="s">
        <v>578</v>
      </c>
      <c r="AH18" s="25"/>
      <c r="AI18" s="13" t="s">
        <v>579</v>
      </c>
      <c r="AJ18" s="16" t="s">
        <v>552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1:50" ht="25.5" customHeight="1">
      <c r="A19" s="22">
        <f t="shared" si="0"/>
        <v>15</v>
      </c>
      <c r="B19" s="22" t="str">
        <f t="shared" si="1"/>
        <v>Contact</v>
      </c>
      <c r="C19" s="23"/>
      <c r="D19" s="23"/>
      <c r="E19" s="13" t="s">
        <v>33</v>
      </c>
      <c r="F19" s="13" t="s">
        <v>574</v>
      </c>
      <c r="G19" s="24" t="s">
        <v>580</v>
      </c>
      <c r="H19" s="13" t="s">
        <v>284</v>
      </c>
      <c r="I19" s="31" t="s">
        <v>172</v>
      </c>
      <c r="J19" s="31" t="s">
        <v>172</v>
      </c>
      <c r="K19" s="31" t="s">
        <v>576</v>
      </c>
      <c r="L19" s="13" t="s">
        <v>285</v>
      </c>
      <c r="M19" s="13" t="s">
        <v>257</v>
      </c>
      <c r="N19" s="22" t="s">
        <v>160</v>
      </c>
      <c r="O19" s="13" t="s">
        <v>161</v>
      </c>
      <c r="P19" s="13" t="s">
        <v>40</v>
      </c>
      <c r="Q19" s="13" t="s">
        <v>188</v>
      </c>
      <c r="R19" s="22" t="s">
        <v>208</v>
      </c>
      <c r="S19" s="26">
        <f t="shared" si="2"/>
        <v>0</v>
      </c>
      <c r="T19" s="27" t="str">
        <f t="shared" si="3"/>
        <v/>
      </c>
      <c r="U19" s="22" t="str">
        <f t="shared" ca="1" si="4"/>
        <v/>
      </c>
      <c r="V19" s="13" t="str">
        <f t="shared" si="5"/>
        <v>No Record</v>
      </c>
      <c r="W19" s="13" t="str">
        <f>IF(COUNT($AK19:$AX19)=0,"",LOOKUP(2,1/($AK19:$AX19&lt;&gt;""),{"①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19" s="22" t="str">
        <f t="shared" ca="1" si="6"/>
        <v/>
      </c>
      <c r="Y19" s="22">
        <f>IF($G19="","",COUNTIF('Chase Log'!$B$4:$B$2000,$G19))</f>
        <v>0</v>
      </c>
      <c r="Z19" s="27" t="str">
        <f>IF(N($Y19)=0,"",_xlfn.MAXIFS('Chase Log'!$E$4:$E$2000,'Chase Log'!$B$4:$B$2000,$G19))</f>
        <v/>
      </c>
      <c r="AA19" s="22" t="str">
        <f t="shared" ca="1" si="7"/>
        <v/>
      </c>
      <c r="AB19" s="27" t="str">
        <f>IF($Z19="","",IF(OR(AND($T19&lt;&gt;"",N($T19)&gt;N($Z19)),COUNTIFS('Chase Log'!$B$4:$B$2000,$G19,'Chase Log'!$E$4:$E$2000,$Z19,'Chase Log'!$I$4:$I$2000,"Y")&gt;0),"",IF(_xlfn.MAXIFS('Chase Log'!$J$4:$J$2000,'Chase Log'!$B$4:$B$2000,$G19,'Chase Log'!$E$4:$E$2000,$Z19)=0,"",_xlfn.MAXIFS('Chase Log'!$J$4:$J$2000,'Chase Log'!$B$4:$B$2000,$G19,'Chase Log'!$E$4:$E$2000,$Z19))))</f>
        <v/>
      </c>
      <c r="AC19" s="13" t="str">
        <f ca="1">IF(OR($G19="",N($S19)&gt;=1,$C19="Live",$D19&lt;&gt;""),"",IF(AND($AB19&lt;&gt;"",N($AB19)&gt;0),IF($AB19&lt;TODAY(),"Chase Overdue","Scheduled"),IF(AND($T19&lt;&gt;"",N($U19)&gt;='안내 Guide'!$D$4,OR($AA19="",N($AA19)&gt;='안내 Guide'!$D$4)),"Chase Needed","")))</f>
        <v/>
      </c>
      <c r="AD19" s="28"/>
      <c r="AE19" s="25"/>
      <c r="AF19" s="25" t="s">
        <v>577</v>
      </c>
      <c r="AG19" s="29" t="s">
        <v>578</v>
      </c>
      <c r="AH19" s="25"/>
      <c r="AI19" s="13" t="s">
        <v>579</v>
      </c>
      <c r="AJ19" s="16" t="s">
        <v>552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50" ht="25.5" customHeight="1">
      <c r="A20" s="22">
        <f t="shared" si="0"/>
        <v>16</v>
      </c>
      <c r="B20" s="22" t="str">
        <f t="shared" si="1"/>
        <v>Contact</v>
      </c>
      <c r="C20" s="23"/>
      <c r="D20" s="23"/>
      <c r="E20" s="13" t="s">
        <v>34</v>
      </c>
      <c r="F20" s="13" t="s">
        <v>200</v>
      </c>
      <c r="G20" s="24" t="s">
        <v>581</v>
      </c>
      <c r="H20" s="13" t="s">
        <v>213</v>
      </c>
      <c r="I20" s="31" t="s">
        <v>566</v>
      </c>
      <c r="J20" s="31" t="s">
        <v>566</v>
      </c>
      <c r="K20" s="31" t="s">
        <v>566</v>
      </c>
      <c r="L20" s="13" t="s">
        <v>582</v>
      </c>
      <c r="M20" s="13"/>
      <c r="N20" s="22"/>
      <c r="O20" s="13" t="s">
        <v>207</v>
      </c>
      <c r="P20" s="13" t="s">
        <v>41</v>
      </c>
      <c r="Q20" s="13"/>
      <c r="R20" s="22" t="s">
        <v>208</v>
      </c>
      <c r="S20" s="26">
        <f t="shared" si="2"/>
        <v>0</v>
      </c>
      <c r="T20" s="27" t="str">
        <f t="shared" si="3"/>
        <v/>
      </c>
      <c r="U20" s="22" t="str">
        <f t="shared" ca="1" si="4"/>
        <v/>
      </c>
      <c r="V20" s="13" t="str">
        <f t="shared" si="5"/>
        <v>No Record</v>
      </c>
      <c r="W20" s="13" t="str">
        <f>IF(COUNT($AK20:$AX20)=0,"",LOOKUP(2,1/($AK20:$AX20&lt;&gt;""),{"①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20" s="22" t="str">
        <f t="shared" ca="1" si="6"/>
        <v/>
      </c>
      <c r="Y20" s="22">
        <f>IF($G20="","",COUNTIF('Chase Log'!$B$4:$B$2000,$G20))</f>
        <v>1</v>
      </c>
      <c r="Z20" s="27">
        <f>IF(N($Y20)=0,"",_xlfn.MAXIFS('Chase Log'!$E$4:$E$2000,'Chase Log'!$B$4:$B$2000,$G20))</f>
        <v>46301</v>
      </c>
      <c r="AA20" s="22">
        <f t="shared" ca="1" si="7"/>
        <v>24</v>
      </c>
      <c r="AB20" s="27">
        <f>IF($Z20="","",IF(OR(AND($T20&lt;&gt;"",N($T20)&gt;N($Z20)),COUNTIFS('Chase Log'!$B$4:$B$2000,$G20,'Chase Log'!$E$4:$E$2000,$Z20,'Chase Log'!$I$4:$I$2000,"Y")&gt;0),"",IF(_xlfn.MAXIFS('Chase Log'!$J$4:$J$2000,'Chase Log'!$B$4:$B$2000,$G20,'Chase Log'!$E$4:$E$2000,$Z20)=0,"",_xlfn.MAXIFS('Chase Log'!$J$4:$J$2000,'Chase Log'!$B$4:$B$2000,$G20,'Chase Log'!$E$4:$E$2000,$Z20))))</f>
        <v>46308</v>
      </c>
      <c r="AC20" s="13" t="str">
        <f ca="1">IF(OR($G20="",N($S20)&gt;=1,$C20="Live",$D20&lt;&gt;""),"",IF(AND($AB20&lt;&gt;"",N($AB20)&gt;0),IF($AB20&lt;TODAY(),"Chase Overdue","Scheduled"),IF(AND($T20&lt;&gt;"",N($U20)&gt;='안내 Guide'!$D$4,OR($AA20="",N($AA20)&gt;='안내 Guide'!$D$4)),"Chase Needed","")))</f>
        <v>Chase Overdue</v>
      </c>
      <c r="AD20" s="28"/>
      <c r="AE20" s="25"/>
      <c r="AF20" s="25" t="s">
        <v>583</v>
      </c>
      <c r="AG20" s="29" t="s">
        <v>584</v>
      </c>
      <c r="AH20" s="25"/>
      <c r="AI20" s="13" t="s">
        <v>355</v>
      </c>
      <c r="AJ20" s="16" t="s">
        <v>182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</row>
    <row r="21" spans="1:50" ht="25.5" customHeight="1">
      <c r="A21" s="22">
        <f t="shared" si="0"/>
        <v>17</v>
      </c>
      <c r="B21" s="22" t="str">
        <f t="shared" si="1"/>
        <v>Live</v>
      </c>
      <c r="C21" s="23"/>
      <c r="D21" s="23"/>
      <c r="E21" s="13" t="s">
        <v>28</v>
      </c>
      <c r="F21" s="13" t="s">
        <v>225</v>
      </c>
      <c r="G21" s="24" t="s">
        <v>585</v>
      </c>
      <c r="H21" s="13" t="s">
        <v>204</v>
      </c>
      <c r="I21" s="31" t="s">
        <v>568</v>
      </c>
      <c r="J21" s="31" t="s">
        <v>568</v>
      </c>
      <c r="K21" s="31" t="s">
        <v>586</v>
      </c>
      <c r="L21" s="13" t="s">
        <v>285</v>
      </c>
      <c r="M21" s="13" t="s">
        <v>206</v>
      </c>
      <c r="N21" s="22"/>
      <c r="O21" s="13" t="s">
        <v>449</v>
      </c>
      <c r="P21" s="13" t="s">
        <v>43</v>
      </c>
      <c r="Q21" s="13" t="s">
        <v>196</v>
      </c>
      <c r="R21" s="22" t="s">
        <v>208</v>
      </c>
      <c r="S21" s="26">
        <f t="shared" si="2"/>
        <v>1</v>
      </c>
      <c r="T21" s="27">
        <f t="shared" si="3"/>
        <v>46029</v>
      </c>
      <c r="U21" s="22">
        <f t="shared" ca="1" si="4"/>
        <v>296</v>
      </c>
      <c r="V21" s="13" t="str">
        <f t="shared" si="5"/>
        <v>Live</v>
      </c>
      <c r="W21" s="13" t="str">
        <f>IF(COUNT($AK21:$AX21)=0,"",LOOKUP(2,1/($AK21:$AX21&lt;&gt;""),{"①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X21" s="22">
        <f t="shared" ca="1" si="6"/>
        <v>13</v>
      </c>
      <c r="Y21" s="22">
        <f>IF($G21="","",COUNTIF('Chase Log'!$B$4:$B$2000,$G21))</f>
        <v>0</v>
      </c>
      <c r="Z21" s="27" t="str">
        <f>IF(N($Y21)=0,"",_xlfn.MAXIFS('Chase Log'!$E$4:$E$2000,'Chase Log'!$B$4:$B$2000,$G21))</f>
        <v/>
      </c>
      <c r="AA21" s="22" t="str">
        <f t="shared" ca="1" si="7"/>
        <v/>
      </c>
      <c r="AB21" s="27" t="str">
        <f>IF($Z21="","",IF(OR(AND($T21&lt;&gt;"",N($T21)&gt;N($Z21)),COUNTIFS('Chase Log'!$B$4:$B$2000,$G21,'Chase Log'!$E$4:$E$2000,$Z21,'Chase Log'!$I$4:$I$2000,"Y")&gt;0),"",IF(_xlfn.MAXIFS('Chase Log'!$J$4:$J$2000,'Chase Log'!$B$4:$B$2000,$G21,'Chase Log'!$E$4:$E$2000,$Z21)=0,"",_xlfn.MAXIFS('Chase Log'!$J$4:$J$2000,'Chase Log'!$B$4:$B$2000,$G21,'Chase Log'!$E$4:$E$2000,$Z21))))</f>
        <v/>
      </c>
      <c r="AC21" s="13" t="str">
        <f ca="1">IF(OR($G21="",N($S21)&gt;=1,$C21="Live",$D21&lt;&gt;""),"",IF(AND($AB21&lt;&gt;"",N($AB21)&gt;0),IF($AB21&lt;TODAY(),"Chase Overdue","Scheduled"),IF(AND($T21&lt;&gt;"",N($U21)&gt;='안내 Guide'!$D$4,OR($AA21="",N($AA21)&gt;='안내 Guide'!$D$4)),"Chase Needed","")))</f>
        <v/>
      </c>
      <c r="AD21" s="28"/>
      <c r="AE21" s="25"/>
      <c r="AF21" s="25" t="s">
        <v>587</v>
      </c>
      <c r="AG21" s="29" t="s">
        <v>588</v>
      </c>
      <c r="AH21" s="25"/>
      <c r="AI21" s="13" t="s">
        <v>557</v>
      </c>
      <c r="AJ21" s="16" t="s">
        <v>552</v>
      </c>
      <c r="AK21" s="30">
        <v>46016</v>
      </c>
      <c r="AL21" s="30">
        <v>46017</v>
      </c>
      <c r="AM21" s="30">
        <v>46018</v>
      </c>
      <c r="AN21" s="30">
        <v>46019</v>
      </c>
      <c r="AO21" s="30">
        <v>46020</v>
      </c>
      <c r="AP21" s="30">
        <v>46021</v>
      </c>
      <c r="AQ21" s="30">
        <v>46022</v>
      </c>
      <c r="AR21" s="30">
        <v>46023</v>
      </c>
      <c r="AS21" s="30">
        <v>46024</v>
      </c>
      <c r="AT21" s="30">
        <v>46025</v>
      </c>
      <c r="AU21" s="30">
        <v>46026</v>
      </c>
      <c r="AV21" s="30">
        <v>46027</v>
      </c>
      <c r="AW21" s="30">
        <v>46028</v>
      </c>
      <c r="AX21" s="30">
        <v>46029</v>
      </c>
    </row>
    <row r="22" spans="1:50" ht="25.5" customHeight="1">
      <c r="A22" s="22">
        <f t="shared" si="0"/>
        <v>18</v>
      </c>
      <c r="B22" s="22" t="str">
        <f t="shared" si="1"/>
        <v>Live</v>
      </c>
      <c r="C22" s="23"/>
      <c r="D22" s="23"/>
      <c r="E22" s="13" t="s">
        <v>28</v>
      </c>
      <c r="F22" s="13" t="s">
        <v>225</v>
      </c>
      <c r="G22" s="24" t="s">
        <v>585</v>
      </c>
      <c r="H22" s="13" t="s">
        <v>284</v>
      </c>
      <c r="I22" s="31" t="s">
        <v>568</v>
      </c>
      <c r="J22" s="31" t="s">
        <v>568</v>
      </c>
      <c r="K22" s="31" t="s">
        <v>586</v>
      </c>
      <c r="L22" s="13" t="s">
        <v>285</v>
      </c>
      <c r="M22" s="13" t="s">
        <v>257</v>
      </c>
      <c r="N22" s="22"/>
      <c r="O22" s="13" t="s">
        <v>449</v>
      </c>
      <c r="P22" s="13" t="s">
        <v>43</v>
      </c>
      <c r="Q22" s="13" t="s">
        <v>188</v>
      </c>
      <c r="R22" s="22" t="s">
        <v>208</v>
      </c>
      <c r="S22" s="26">
        <f t="shared" si="2"/>
        <v>1</v>
      </c>
      <c r="T22" s="27">
        <f t="shared" si="3"/>
        <v>46029</v>
      </c>
      <c r="U22" s="22">
        <f t="shared" ca="1" si="4"/>
        <v>296</v>
      </c>
      <c r="V22" s="13" t="str">
        <f t="shared" si="5"/>
        <v>Live</v>
      </c>
      <c r="W22" s="13" t="str">
        <f>IF(COUNT($AK22:$AX22)=0,"",LOOKUP(2,1/($AK22:$AX22&lt;&gt;""),{"①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X22" s="22">
        <f t="shared" ca="1" si="6"/>
        <v>13</v>
      </c>
      <c r="Y22" s="22">
        <f>IF($G22="","",COUNTIF('Chase Log'!$B$4:$B$2000,$G22))</f>
        <v>0</v>
      </c>
      <c r="Z22" s="27" t="str">
        <f>IF(N($Y22)=0,"",_xlfn.MAXIFS('Chase Log'!$E$4:$E$2000,'Chase Log'!$B$4:$B$2000,$G22))</f>
        <v/>
      </c>
      <c r="AA22" s="22" t="str">
        <f t="shared" ca="1" si="7"/>
        <v/>
      </c>
      <c r="AB22" s="27" t="str">
        <f>IF($Z22="","",IF(OR(AND($T22&lt;&gt;"",N($T22)&gt;N($Z22)),COUNTIFS('Chase Log'!$B$4:$B$2000,$G22,'Chase Log'!$E$4:$E$2000,$Z22,'Chase Log'!$I$4:$I$2000,"Y")&gt;0),"",IF(_xlfn.MAXIFS('Chase Log'!$J$4:$J$2000,'Chase Log'!$B$4:$B$2000,$G22,'Chase Log'!$E$4:$E$2000,$Z22)=0,"",_xlfn.MAXIFS('Chase Log'!$J$4:$J$2000,'Chase Log'!$B$4:$B$2000,$G22,'Chase Log'!$E$4:$E$2000,$Z22))))</f>
        <v/>
      </c>
      <c r="AC22" s="13" t="str">
        <f ca="1">IF(OR($G22="",N($S22)&gt;=1,$C22="Live",$D22&lt;&gt;""),"",IF(AND($AB22&lt;&gt;"",N($AB22)&gt;0),IF($AB22&lt;TODAY(),"Chase Overdue","Scheduled"),IF(AND($T22&lt;&gt;"",N($U22)&gt;='안내 Guide'!$D$4,OR($AA22="",N($AA22)&gt;='안내 Guide'!$D$4)),"Chase Needed","")))</f>
        <v/>
      </c>
      <c r="AD22" s="28"/>
      <c r="AE22" s="25"/>
      <c r="AF22" s="25" t="s">
        <v>587</v>
      </c>
      <c r="AG22" s="29" t="s">
        <v>588</v>
      </c>
      <c r="AH22" s="25"/>
      <c r="AI22" s="13" t="s">
        <v>557</v>
      </c>
      <c r="AJ22" s="16" t="s">
        <v>552</v>
      </c>
      <c r="AK22" s="30">
        <v>46016</v>
      </c>
      <c r="AL22" s="30">
        <v>46017</v>
      </c>
      <c r="AM22" s="30">
        <v>46018</v>
      </c>
      <c r="AN22" s="30">
        <v>46019</v>
      </c>
      <c r="AO22" s="30">
        <v>46020</v>
      </c>
      <c r="AP22" s="30">
        <v>46021</v>
      </c>
      <c r="AQ22" s="30">
        <v>46022</v>
      </c>
      <c r="AR22" s="30">
        <v>46023</v>
      </c>
      <c r="AS22" s="30">
        <v>46024</v>
      </c>
      <c r="AT22" s="30">
        <v>46025</v>
      </c>
      <c r="AU22" s="30">
        <v>46026</v>
      </c>
      <c r="AV22" s="30">
        <v>46027</v>
      </c>
      <c r="AW22" s="30">
        <v>46028</v>
      </c>
      <c r="AX22" s="30">
        <v>46029</v>
      </c>
    </row>
    <row r="23" spans="1:50" ht="25.5" customHeight="1">
      <c r="A23" s="22">
        <f t="shared" si="0"/>
        <v>19</v>
      </c>
      <c r="B23" s="22" t="str">
        <f t="shared" si="1"/>
        <v>Live</v>
      </c>
      <c r="C23" s="23"/>
      <c r="D23" s="23"/>
      <c r="E23" s="13" t="s">
        <v>30</v>
      </c>
      <c r="F23" s="13" t="s">
        <v>211</v>
      </c>
      <c r="G23" s="24" t="s">
        <v>589</v>
      </c>
      <c r="H23" s="13" t="s">
        <v>204</v>
      </c>
      <c r="I23" s="31" t="s">
        <v>568</v>
      </c>
      <c r="J23" s="31" t="s">
        <v>569</v>
      </c>
      <c r="K23" s="31" t="s">
        <v>570</v>
      </c>
      <c r="L23" s="13" t="s">
        <v>285</v>
      </c>
      <c r="M23" s="13" t="s">
        <v>206</v>
      </c>
      <c r="N23" s="22"/>
      <c r="O23" s="13" t="s">
        <v>207</v>
      </c>
      <c r="P23" s="13" t="s">
        <v>40</v>
      </c>
      <c r="Q23" s="13" t="s">
        <v>196</v>
      </c>
      <c r="R23" s="22" t="s">
        <v>208</v>
      </c>
      <c r="S23" s="26">
        <f t="shared" si="2"/>
        <v>1</v>
      </c>
      <c r="T23" s="27">
        <f t="shared" si="3"/>
        <v>46029</v>
      </c>
      <c r="U23" s="22">
        <f t="shared" ca="1" si="4"/>
        <v>296</v>
      </c>
      <c r="V23" s="13" t="str">
        <f t="shared" si="5"/>
        <v>Live</v>
      </c>
      <c r="W23" s="13" t="str">
        <f>IF(COUNT($AK23:$AX23)=0,"",LOOKUP(2,1/($AK23:$AX23&lt;&gt;""),{"①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>⑭ 고객 라이브 확정 (고객 통보) · Customer Live</v>
      </c>
      <c r="X23" s="22">
        <f t="shared" ca="1" si="6"/>
        <v>13</v>
      </c>
      <c r="Y23" s="22">
        <f>IF($G23="","",COUNTIF('Chase Log'!$B$4:$B$2000,$G23))</f>
        <v>0</v>
      </c>
      <c r="Z23" s="27" t="str">
        <f>IF(N($Y23)=0,"",_xlfn.MAXIFS('Chase Log'!$E$4:$E$2000,'Chase Log'!$B$4:$B$2000,$G23))</f>
        <v/>
      </c>
      <c r="AA23" s="22" t="str">
        <f t="shared" ca="1" si="7"/>
        <v/>
      </c>
      <c r="AB23" s="27" t="str">
        <f>IF($Z23="","",IF(OR(AND($T23&lt;&gt;"",N($T23)&gt;N($Z23)),COUNTIFS('Chase Log'!$B$4:$B$2000,$G23,'Chase Log'!$E$4:$E$2000,$Z23,'Chase Log'!$I$4:$I$2000,"Y")&gt;0),"",IF(_xlfn.MAXIFS('Chase Log'!$J$4:$J$2000,'Chase Log'!$B$4:$B$2000,$G23,'Chase Log'!$E$4:$E$2000,$Z23)=0,"",_xlfn.MAXIFS('Chase Log'!$J$4:$J$2000,'Chase Log'!$B$4:$B$2000,$G23,'Chase Log'!$E$4:$E$2000,$Z23))))</f>
        <v/>
      </c>
      <c r="AC23" s="13" t="str">
        <f ca="1">IF(OR($G23="",N($S23)&gt;=1,$C23="Live",$D23&lt;&gt;""),"",IF(AND($AB23&lt;&gt;"",N($AB23)&gt;0),IF($AB23&lt;TODAY(),"Chase Overdue","Scheduled"),IF(AND($T23&lt;&gt;"",N($U23)&gt;='안내 Guide'!$D$4,OR($AA23="",N($AA23)&gt;='안내 Guide'!$D$4)),"Chase Needed","")))</f>
        <v/>
      </c>
      <c r="AD23" s="28"/>
      <c r="AE23" s="25"/>
      <c r="AF23" s="25" t="s">
        <v>571</v>
      </c>
      <c r="AG23" s="29" t="s">
        <v>572</v>
      </c>
      <c r="AH23" s="25"/>
      <c r="AI23" s="13" t="s">
        <v>516</v>
      </c>
      <c r="AJ23" s="16" t="s">
        <v>552</v>
      </c>
      <c r="AK23" s="30">
        <v>46016</v>
      </c>
      <c r="AL23" s="30">
        <v>46017</v>
      </c>
      <c r="AM23" s="30">
        <v>46018</v>
      </c>
      <c r="AN23" s="30">
        <v>46019</v>
      </c>
      <c r="AO23" s="30">
        <v>46020</v>
      </c>
      <c r="AP23" s="30">
        <v>46021</v>
      </c>
      <c r="AQ23" s="30">
        <v>46022</v>
      </c>
      <c r="AR23" s="30">
        <v>46023</v>
      </c>
      <c r="AS23" s="30">
        <v>46024</v>
      </c>
      <c r="AT23" s="30">
        <v>46025</v>
      </c>
      <c r="AU23" s="30">
        <v>46026</v>
      </c>
      <c r="AV23" s="30">
        <v>46027</v>
      </c>
      <c r="AW23" s="30">
        <v>46028</v>
      </c>
      <c r="AX23" s="30">
        <v>46029</v>
      </c>
    </row>
    <row r="24" spans="1:50" ht="25.5" customHeight="1">
      <c r="A24" s="22">
        <f t="shared" si="0"/>
        <v>20</v>
      </c>
      <c r="B24" s="22" t="str">
        <f t="shared" si="1"/>
        <v>Live</v>
      </c>
      <c r="C24" s="23" t="s">
        <v>11</v>
      </c>
      <c r="D24" s="23"/>
      <c r="E24" s="13" t="s">
        <v>31</v>
      </c>
      <c r="F24" s="13" t="s">
        <v>176</v>
      </c>
      <c r="G24" s="24" t="s">
        <v>573</v>
      </c>
      <c r="H24" s="13" t="s">
        <v>284</v>
      </c>
      <c r="I24" s="31" t="s">
        <v>569</v>
      </c>
      <c r="J24" s="31" t="s">
        <v>568</v>
      </c>
      <c r="K24" s="31" t="s">
        <v>570</v>
      </c>
      <c r="L24" s="13" t="s">
        <v>285</v>
      </c>
      <c r="M24" s="13" t="s">
        <v>257</v>
      </c>
      <c r="N24" s="22" t="s">
        <v>160</v>
      </c>
      <c r="O24" s="13" t="s">
        <v>187</v>
      </c>
      <c r="P24" s="13" t="s">
        <v>40</v>
      </c>
      <c r="Q24" s="13" t="s">
        <v>188</v>
      </c>
      <c r="R24" s="22" t="s">
        <v>208</v>
      </c>
      <c r="S24" s="26">
        <f t="shared" si="2"/>
        <v>0</v>
      </c>
      <c r="T24" s="27" t="str">
        <f t="shared" si="3"/>
        <v/>
      </c>
      <c r="U24" s="22" t="str">
        <f t="shared" ca="1" si="4"/>
        <v/>
      </c>
      <c r="V24" s="13" t="str">
        <f t="shared" si="5"/>
        <v>No Record</v>
      </c>
      <c r="W24" s="13" t="str">
        <f>IF(COUNT($AK24:$AX24)=0,"",LOOKUP(2,1/($AK24:$AX24&lt;&gt;""),{"① 파이프라인 시작 · Pipeline Start","② 제안·소개 발송 · Proposal Sent","③ NDA 발송 · NDA Sent","④ NDA 체결 · NDA Signed","⑤ 계약 체결 · Contract Signed","⑥ SLA 확정 · SLA Finalized","⑦ 개발 착수 예정 · Kickoff Planned","⑧ 개발 착수 · SPEC/DEV 키 · 크리덴셜 · Kickoff / Credential","⑨ 인증 · Certification","⑩ 라이브 테스트 · Live Test","⑪ 개발 완료 예정 · Dev Complete Planned","⑫ 라이브 키 오픈 (OMH 측) · Live Key Open","⑬ 첫 예약 · First Booking","⑭ 고객 라이브 확정 (고객 통보) · Customer Live"}))</f>
        <v/>
      </c>
      <c r="X24" s="22" t="str">
        <f t="shared" ca="1" si="6"/>
        <v/>
      </c>
      <c r="Y24" s="22">
        <f>IF($G24="","",COUNTIF('Chase Log'!$B$4:$B$2000,$G24))</f>
        <v>0</v>
      </c>
      <c r="Z24" s="27" t="str">
        <f>IF(N($Y24)=0,"",_xlfn.MAXIFS('Chase Log'!$E$4:$E$2000,'Chase Log'!$B$4:$B$2000,$G24))</f>
        <v/>
      </c>
      <c r="AA24" s="22" t="str">
        <f t="shared" ca="1" si="7"/>
        <v/>
      </c>
      <c r="AB24" s="27" t="str">
        <f>IF($Z24="","",IF(OR(AND($T24&lt;&gt;"",N($T24)&gt;N($Z24)),COUNTIFS('Chase Log'!$B$4:$B$2000,$G24,'Chase Log'!$E$4:$E$2000,$Z24,'Chase Log'!$I$4:$I$2000,"Y")&gt;0),"",IF(_xlfn.MAXIFS('Chase Log'!$J$4:$J$2000,'Chase Log'!$B$4:$B$2000,$G24,'Chase Log'!$E$4:$E$2000,$Z24)=0,"",_xlfn.MAXIFS('Chase Log'!$J$4:$J$2000,'Chase Log'!$B$4:$B$2000,$G24,'Chase Log'!$E$4:$E$2000,$Z24))))</f>
        <v/>
      </c>
      <c r="AC24" s="13" t="str">
        <f ca="1">IF(OR($G24="",N($S24)&gt;=1,$C24="Live",$D24&lt;&gt;""),"",IF(AND($AB24&lt;&gt;"",N($AB24)&gt;0),IF($AB24&lt;TODAY(),"Chase Overdue","Scheduled"),IF(AND($T24&lt;&gt;"",N($U24)&gt;='안내 Guide'!$D$4,OR($AA24="",N($AA24)&gt;='안내 Guide'!$D$4)),"Chase Needed","")))</f>
        <v/>
      </c>
      <c r="AD24" s="28"/>
      <c r="AE24" s="25"/>
      <c r="AF24" s="25"/>
      <c r="AG24" s="29"/>
      <c r="AH24" s="25"/>
      <c r="AI24" s="13"/>
      <c r="AJ24" s="16" t="s">
        <v>590</v>
      </c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</row>
  </sheetData>
  <autoFilter ref="A4:AX24" xr:uid="{00000000-0009-0000-0000-000005000000}"/>
  <mergeCells count="5">
    <mergeCell ref="S3:AC3"/>
    <mergeCell ref="A3:R3"/>
    <mergeCell ref="AK3:AX3"/>
    <mergeCell ref="AD3:AJ3"/>
    <mergeCell ref="E1:N1"/>
  </mergeCells>
  <phoneticPr fontId="37" type="noConversion"/>
  <conditionalFormatting sqref="A5:AJ400">
    <cfRule type="expression" dxfId="21" priority="35">
      <formula>AND($G5&lt;&gt;"",MOD(ROW(),2)=0)</formula>
    </cfRule>
  </conditionalFormatting>
  <conditionalFormatting sqref="A5:AX400">
    <cfRule type="expression" dxfId="20" priority="34">
      <formula>$D5&lt;&gt;""</formula>
    </cfRule>
  </conditionalFormatting>
  <conditionalFormatting sqref="B5:B400">
    <cfRule type="cellIs" dxfId="19" priority="1" operator="equal">
      <formula>"Live"</formula>
    </cfRule>
    <cfRule type="cellIs" dxfId="18" priority="2" operator="equal">
      <formula>"Partially Live"</formula>
    </cfRule>
    <cfRule type="cellIs" dxfId="17" priority="3" operator="equal">
      <formula>"Pending Live"</formula>
    </cfRule>
    <cfRule type="cellIs" dxfId="16" priority="4" operator="equal">
      <formula>"Testing"</formula>
    </cfRule>
    <cfRule type="cellIs" dxfId="15" priority="5" operator="equal">
      <formula>"In Development"</formula>
    </cfRule>
    <cfRule type="cellIs" dxfId="14" priority="6" operator="equal">
      <formula>"NDA/Contract"</formula>
    </cfRule>
    <cfRule type="cellIs" dxfId="13" priority="7" operator="equal">
      <formula>"Pipeline"</formula>
    </cfRule>
    <cfRule type="cellIs" dxfId="12" priority="8" operator="equal">
      <formula>"Contact"</formula>
    </cfRule>
  </conditionalFormatting>
  <conditionalFormatting sqref="I5:K400">
    <cfRule type="expression" dxfId="11" priority="15">
      <formula>LEFT(I5,2)="완료"</formula>
    </cfRule>
    <cfRule type="expression" dxfId="10" priority="16">
      <formula>LEFT(I5,3)="라이브"</formula>
    </cfRule>
    <cfRule type="expression" dxfId="9" priority="17">
      <formula>LEFT(I5,2)="일부"</formula>
    </cfRule>
    <cfRule type="expression" dxfId="8" priority="18">
      <formula>LEFT(I5,2)="진행"</formula>
    </cfRule>
    <cfRule type="expression" dxfId="7" priority="19">
      <formula>LEFT(I5,2)="개발"</formula>
    </cfRule>
    <cfRule type="expression" dxfId="6" priority="20">
      <formula>LEFT(I5,3)="테스트"</formula>
    </cfRule>
  </conditionalFormatting>
  <conditionalFormatting sqref="S5:S400">
    <cfRule type="dataBar" priority="33">
      <dataBar>
        <cfvo type="num" val="0"/>
        <cfvo type="num" val="1"/>
        <color rgb="FF5B9BD5"/>
      </dataBar>
    </cfRule>
  </conditionalFormatting>
  <conditionalFormatting sqref="V5:V400">
    <cfRule type="cellIs" dxfId="5" priority="9" operator="equal">
      <formula>"Stalled 90d+"</formula>
    </cfRule>
    <cfRule type="cellIs" dxfId="4" priority="10" operator="equal">
      <formula>"Stalled 60d+"</formula>
    </cfRule>
    <cfRule type="cellIs" dxfId="3" priority="11" operator="equal">
      <formula>"Stalled 30d+"</formula>
    </cfRule>
  </conditionalFormatting>
  <conditionalFormatting sqref="AC5:AC400">
    <cfRule type="cellIs" dxfId="2" priority="12" operator="equal">
      <formula>"Chase Overdue"</formula>
    </cfRule>
    <cfRule type="cellIs" dxfId="1" priority="13" operator="equal">
      <formula>"Chase Needed"</formula>
    </cfRule>
    <cfRule type="cellIs" dxfId="0" priority="14" operator="equal">
      <formula>"Scheduled"</formula>
    </cfRule>
  </conditionalFormatting>
  <dataValidations count="2">
    <dataValidation type="list" allowBlank="1" sqref="D5:D400" xr:uid="{00000000-0002-0000-0500-000000000000}">
      <formula1>"Hold,Dropped"</formula1>
    </dataValidation>
    <dataValidation type="list" allowBlank="1" sqref="C5:C400" xr:uid="{00000000-0002-0000-0500-000001000000}">
      <formula1>"Live,Partially Live,Pending Live,Testing,In Development,NDA/Contract,Pipeline,Contact"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0"/>
  <sheetViews>
    <sheetView workbookViewId="0">
      <pane xSplit="2" ySplit="3" topLeftCell="C30" activePane="bottomRight" state="frozen"/>
      <selection pane="bottomRight"/>
      <selection pane="bottomLeft"/>
      <selection pane="topRight"/>
    </sheetView>
  </sheetViews>
  <sheetFormatPr defaultRowHeight="14.45"/>
  <cols>
    <col min="1" max="1" width="5" customWidth="1"/>
    <col min="2" max="2" width="22" customWidth="1"/>
    <col min="3" max="3" width="16" customWidth="1"/>
    <col min="4" max="4" width="22" customWidth="1"/>
    <col min="5" max="5" width="12" customWidth="1"/>
    <col min="6" max="6" width="10" customWidth="1"/>
    <col min="7" max="7" width="18" customWidth="1"/>
    <col min="8" max="8" width="40" customWidth="1"/>
    <col min="9" max="9" width="9" customWidth="1"/>
    <col min="10" max="10" width="12" customWidth="1"/>
    <col min="11" max="11" width="20" customWidth="1"/>
  </cols>
  <sheetData>
    <row r="1" spans="1:11" ht="16.5">
      <c r="A1" s="32" t="s">
        <v>591</v>
      </c>
    </row>
    <row r="2" spans="1:11">
      <c r="A2" s="2" t="s">
        <v>592</v>
      </c>
    </row>
    <row r="3" spans="1:11" ht="32.1" customHeight="1">
      <c r="A3" s="4" t="s">
        <v>86</v>
      </c>
      <c r="B3" s="4" t="s">
        <v>48</v>
      </c>
      <c r="C3" s="4" t="s">
        <v>593</v>
      </c>
      <c r="D3" s="4" t="s">
        <v>594</v>
      </c>
      <c r="E3" s="4" t="s">
        <v>595</v>
      </c>
      <c r="F3" s="4" t="s">
        <v>596</v>
      </c>
      <c r="G3" s="4" t="s">
        <v>597</v>
      </c>
      <c r="H3" s="4" t="s">
        <v>598</v>
      </c>
      <c r="I3" s="4" t="s">
        <v>599</v>
      </c>
      <c r="J3" s="4" t="s">
        <v>600</v>
      </c>
      <c r="K3" s="4" t="s">
        <v>601</v>
      </c>
    </row>
    <row r="4" spans="1:11" ht="24">
      <c r="A4" s="33">
        <f t="shared" ref="A4:A28" si="0">IF($B4="","",ROW()-3)</f>
        <v>1</v>
      </c>
      <c r="B4" s="31" t="s">
        <v>154</v>
      </c>
      <c r="C4" s="31" t="s">
        <v>159</v>
      </c>
      <c r="D4" s="31" t="s">
        <v>602</v>
      </c>
      <c r="E4" s="28">
        <v>46300</v>
      </c>
      <c r="F4" s="31"/>
      <c r="G4" s="31"/>
      <c r="H4" s="31" t="s">
        <v>603</v>
      </c>
      <c r="I4" s="31" t="s">
        <v>604</v>
      </c>
      <c r="J4" s="28"/>
      <c r="K4" s="31" t="s">
        <v>605</v>
      </c>
    </row>
    <row r="5" spans="1:11" ht="24">
      <c r="A5" s="33">
        <f t="shared" si="0"/>
        <v>2</v>
      </c>
      <c r="B5" s="31" t="s">
        <v>170</v>
      </c>
      <c r="C5" s="31" t="s">
        <v>159</v>
      </c>
      <c r="D5" s="31" t="s">
        <v>606</v>
      </c>
      <c r="E5" s="28">
        <v>46300</v>
      </c>
      <c r="F5" s="31"/>
      <c r="G5" s="31"/>
      <c r="H5" s="31" t="s">
        <v>603</v>
      </c>
      <c r="I5" s="31" t="s">
        <v>604</v>
      </c>
      <c r="J5" s="28"/>
      <c r="K5" s="31" t="s">
        <v>605</v>
      </c>
    </row>
    <row r="6" spans="1:11">
      <c r="A6" s="33">
        <f t="shared" si="0"/>
        <v>3</v>
      </c>
      <c r="B6" s="31" t="s">
        <v>220</v>
      </c>
      <c r="C6" s="31" t="s">
        <v>215</v>
      </c>
      <c r="D6" s="31" t="s">
        <v>607</v>
      </c>
      <c r="E6" s="28">
        <v>46300</v>
      </c>
      <c r="F6" s="31"/>
      <c r="G6" s="31"/>
      <c r="H6" s="31" t="s">
        <v>603</v>
      </c>
      <c r="I6" s="31" t="s">
        <v>604</v>
      </c>
      <c r="J6" s="28"/>
      <c r="K6" s="31" t="s">
        <v>45</v>
      </c>
    </row>
    <row r="7" spans="1:11">
      <c r="A7" s="33">
        <f t="shared" si="0"/>
        <v>4</v>
      </c>
      <c r="B7" s="31" t="s">
        <v>553</v>
      </c>
      <c r="C7" s="31" t="s">
        <v>215</v>
      </c>
      <c r="D7" s="31" t="s">
        <v>607</v>
      </c>
      <c r="E7" s="28">
        <v>46300</v>
      </c>
      <c r="F7" s="31"/>
      <c r="G7" s="31"/>
      <c r="H7" s="31" t="s">
        <v>603</v>
      </c>
      <c r="I7" s="31" t="s">
        <v>604</v>
      </c>
      <c r="J7" s="28"/>
      <c r="K7" s="31" t="s">
        <v>45</v>
      </c>
    </row>
    <row r="8" spans="1:11">
      <c r="A8" s="33">
        <f t="shared" si="0"/>
        <v>5</v>
      </c>
      <c r="B8" s="31" t="s">
        <v>212</v>
      </c>
      <c r="C8" s="31" t="s">
        <v>215</v>
      </c>
      <c r="D8" s="31" t="s">
        <v>607</v>
      </c>
      <c r="E8" s="28">
        <v>46300</v>
      </c>
      <c r="F8" s="31"/>
      <c r="G8" s="31"/>
      <c r="H8" s="31" t="s">
        <v>603</v>
      </c>
      <c r="I8" s="31" t="s">
        <v>604</v>
      </c>
      <c r="J8" s="28"/>
      <c r="K8" s="31" t="s">
        <v>45</v>
      </c>
    </row>
    <row r="9" spans="1:11" ht="24">
      <c r="A9" s="33">
        <f t="shared" si="0"/>
        <v>6</v>
      </c>
      <c r="B9" s="31" t="s">
        <v>295</v>
      </c>
      <c r="C9" s="31" t="s">
        <v>206</v>
      </c>
      <c r="D9" s="31" t="s">
        <v>608</v>
      </c>
      <c r="E9" s="28">
        <v>46300</v>
      </c>
      <c r="F9" s="31"/>
      <c r="G9" s="31"/>
      <c r="H9" s="31" t="s">
        <v>603</v>
      </c>
      <c r="I9" s="31" t="s">
        <v>604</v>
      </c>
      <c r="J9" s="28"/>
      <c r="K9" s="31" t="s">
        <v>39</v>
      </c>
    </row>
    <row r="10" spans="1:11">
      <c r="A10" s="33">
        <f t="shared" si="0"/>
        <v>7</v>
      </c>
      <c r="B10" s="31" t="s">
        <v>65</v>
      </c>
      <c r="C10" s="31" t="s">
        <v>206</v>
      </c>
      <c r="D10" s="31" t="s">
        <v>607</v>
      </c>
      <c r="E10" s="28">
        <v>46300</v>
      </c>
      <c r="F10" s="31"/>
      <c r="G10" s="31"/>
      <c r="H10" s="31" t="s">
        <v>603</v>
      </c>
      <c r="I10" s="31" t="s">
        <v>604</v>
      </c>
      <c r="J10" s="28"/>
      <c r="K10" s="31" t="s">
        <v>45</v>
      </c>
    </row>
    <row r="11" spans="1:11">
      <c r="A11" s="33">
        <f t="shared" si="0"/>
        <v>8</v>
      </c>
      <c r="B11" s="31" t="s">
        <v>542</v>
      </c>
      <c r="C11" s="31" t="s">
        <v>206</v>
      </c>
      <c r="D11" s="31" t="s">
        <v>609</v>
      </c>
      <c r="E11" s="28">
        <v>46300</v>
      </c>
      <c r="F11" s="31"/>
      <c r="G11" s="31"/>
      <c r="H11" s="31" t="s">
        <v>603</v>
      </c>
      <c r="I11" s="31" t="s">
        <v>604</v>
      </c>
      <c r="J11" s="28"/>
      <c r="K11" s="31" t="s">
        <v>45</v>
      </c>
    </row>
    <row r="12" spans="1:11" ht="36">
      <c r="A12" s="33">
        <f t="shared" si="0"/>
        <v>9</v>
      </c>
      <c r="B12" s="31" t="s">
        <v>70</v>
      </c>
      <c r="C12" s="31" t="s">
        <v>206</v>
      </c>
      <c r="D12" s="31" t="s">
        <v>610</v>
      </c>
      <c r="E12" s="28">
        <v>46300</v>
      </c>
      <c r="F12" s="31"/>
      <c r="G12" s="31"/>
      <c r="H12" s="31" t="s">
        <v>603</v>
      </c>
      <c r="I12" s="31" t="s">
        <v>604</v>
      </c>
      <c r="J12" s="28"/>
      <c r="K12" s="31" t="s">
        <v>45</v>
      </c>
    </row>
    <row r="13" spans="1:11">
      <c r="A13" s="33">
        <f t="shared" si="0"/>
        <v>10</v>
      </c>
      <c r="B13" s="31" t="s">
        <v>55</v>
      </c>
      <c r="C13" s="31" t="s">
        <v>206</v>
      </c>
      <c r="D13" s="31" t="s">
        <v>607</v>
      </c>
      <c r="E13" s="28">
        <v>46300</v>
      </c>
      <c r="F13" s="31"/>
      <c r="G13" s="31"/>
      <c r="H13" s="31" t="s">
        <v>603</v>
      </c>
      <c r="I13" s="31" t="s">
        <v>604</v>
      </c>
      <c r="J13" s="28"/>
      <c r="K13" s="31" t="s">
        <v>39</v>
      </c>
    </row>
    <row r="14" spans="1:11" ht="36">
      <c r="A14" s="33">
        <f t="shared" si="0"/>
        <v>11</v>
      </c>
      <c r="B14" s="31" t="s">
        <v>58</v>
      </c>
      <c r="C14" s="31" t="s">
        <v>206</v>
      </c>
      <c r="D14" s="31" t="s">
        <v>610</v>
      </c>
      <c r="E14" s="28">
        <v>46300</v>
      </c>
      <c r="F14" s="31"/>
      <c r="G14" s="31"/>
      <c r="H14" s="31" t="s">
        <v>603</v>
      </c>
      <c r="I14" s="31" t="s">
        <v>604</v>
      </c>
      <c r="J14" s="28"/>
      <c r="K14" s="31" t="s">
        <v>39</v>
      </c>
    </row>
    <row r="15" spans="1:11">
      <c r="A15" s="33">
        <f t="shared" si="0"/>
        <v>12</v>
      </c>
      <c r="B15" s="31" t="s">
        <v>54</v>
      </c>
      <c r="C15" s="31" t="s">
        <v>206</v>
      </c>
      <c r="D15" s="31" t="s">
        <v>607</v>
      </c>
      <c r="E15" s="28">
        <v>46300</v>
      </c>
      <c r="F15" s="31"/>
      <c r="G15" s="31"/>
      <c r="H15" s="31" t="s">
        <v>603</v>
      </c>
      <c r="I15" s="31" t="s">
        <v>604</v>
      </c>
      <c r="J15" s="28"/>
      <c r="K15" s="31" t="s">
        <v>39</v>
      </c>
    </row>
    <row r="16" spans="1:11">
      <c r="A16" s="33">
        <f t="shared" si="0"/>
        <v>13</v>
      </c>
      <c r="B16" s="31" t="s">
        <v>57</v>
      </c>
      <c r="C16" s="31" t="s">
        <v>206</v>
      </c>
      <c r="D16" s="31" t="s">
        <v>607</v>
      </c>
      <c r="E16" s="28">
        <v>46300</v>
      </c>
      <c r="F16" s="31"/>
      <c r="G16" s="31"/>
      <c r="H16" s="31" t="s">
        <v>603</v>
      </c>
      <c r="I16" s="31" t="s">
        <v>604</v>
      </c>
      <c r="J16" s="28"/>
      <c r="K16" s="31" t="s">
        <v>39</v>
      </c>
    </row>
    <row r="17" spans="1:11">
      <c r="A17" s="33">
        <f t="shared" si="0"/>
        <v>14</v>
      </c>
      <c r="B17" s="31" t="s">
        <v>59</v>
      </c>
      <c r="C17" s="31" t="s">
        <v>206</v>
      </c>
      <c r="D17" s="31" t="s">
        <v>611</v>
      </c>
      <c r="E17" s="28">
        <v>46300</v>
      </c>
      <c r="F17" s="31"/>
      <c r="G17" s="31"/>
      <c r="H17" s="31" t="s">
        <v>603</v>
      </c>
      <c r="I17" s="31" t="s">
        <v>604</v>
      </c>
      <c r="J17" s="28"/>
      <c r="K17" s="31" t="s">
        <v>45</v>
      </c>
    </row>
    <row r="18" spans="1:11">
      <c r="A18" s="33">
        <f t="shared" si="0"/>
        <v>15</v>
      </c>
      <c r="B18" s="31" t="s">
        <v>307</v>
      </c>
      <c r="C18" s="31" t="s">
        <v>206</v>
      </c>
      <c r="D18" s="31" t="s">
        <v>602</v>
      </c>
      <c r="E18" s="28">
        <v>46300</v>
      </c>
      <c r="F18" s="31"/>
      <c r="G18" s="31"/>
      <c r="H18" s="31" t="s">
        <v>603</v>
      </c>
      <c r="I18" s="31" t="s">
        <v>604</v>
      </c>
      <c r="J18" s="28"/>
      <c r="K18" s="31" t="s">
        <v>39</v>
      </c>
    </row>
    <row r="19" spans="1:11">
      <c r="A19" s="33">
        <f t="shared" si="0"/>
        <v>16</v>
      </c>
      <c r="B19" s="31" t="s">
        <v>310</v>
      </c>
      <c r="C19" s="31" t="s">
        <v>206</v>
      </c>
      <c r="D19" s="31" t="s">
        <v>602</v>
      </c>
      <c r="E19" s="28">
        <v>46300</v>
      </c>
      <c r="F19" s="31"/>
      <c r="G19" s="31"/>
      <c r="H19" s="31" t="s">
        <v>603</v>
      </c>
      <c r="I19" s="31" t="s">
        <v>604</v>
      </c>
      <c r="J19" s="28"/>
      <c r="K19" s="31" t="s">
        <v>39</v>
      </c>
    </row>
    <row r="20" spans="1:11" ht="36">
      <c r="A20" s="33">
        <f t="shared" si="0"/>
        <v>17</v>
      </c>
      <c r="B20" s="31" t="s">
        <v>67</v>
      </c>
      <c r="C20" s="31" t="s">
        <v>206</v>
      </c>
      <c r="D20" s="31" t="s">
        <v>610</v>
      </c>
      <c r="E20" s="28">
        <v>46300</v>
      </c>
      <c r="F20" s="31"/>
      <c r="G20" s="31"/>
      <c r="H20" s="31" t="s">
        <v>603</v>
      </c>
      <c r="I20" s="31" t="s">
        <v>604</v>
      </c>
      <c r="J20" s="28"/>
      <c r="K20" s="31" t="s">
        <v>39</v>
      </c>
    </row>
    <row r="21" spans="1:11" ht="36">
      <c r="A21" s="33">
        <f t="shared" si="0"/>
        <v>18</v>
      </c>
      <c r="B21" s="31" t="s">
        <v>69</v>
      </c>
      <c r="C21" s="31" t="s">
        <v>206</v>
      </c>
      <c r="D21" s="31" t="s">
        <v>610</v>
      </c>
      <c r="E21" s="28">
        <v>46300</v>
      </c>
      <c r="F21" s="31"/>
      <c r="G21" s="31"/>
      <c r="H21" s="31" t="s">
        <v>603</v>
      </c>
      <c r="I21" s="31" t="s">
        <v>604</v>
      </c>
      <c r="J21" s="28"/>
      <c r="K21" s="31" t="s">
        <v>39</v>
      </c>
    </row>
    <row r="22" spans="1:11">
      <c r="A22" s="33">
        <f t="shared" si="0"/>
        <v>19</v>
      </c>
      <c r="B22" s="31" t="s">
        <v>62</v>
      </c>
      <c r="C22" s="31" t="s">
        <v>206</v>
      </c>
      <c r="D22" s="31" t="s">
        <v>609</v>
      </c>
      <c r="E22" s="28">
        <v>46300</v>
      </c>
      <c r="F22" s="31"/>
      <c r="G22" s="31"/>
      <c r="H22" s="31" t="s">
        <v>603</v>
      </c>
      <c r="I22" s="31" t="s">
        <v>604</v>
      </c>
      <c r="J22" s="28"/>
      <c r="K22" s="31" t="s">
        <v>45</v>
      </c>
    </row>
    <row r="23" spans="1:11">
      <c r="A23" s="33">
        <f t="shared" si="0"/>
        <v>20</v>
      </c>
      <c r="B23" s="31" t="s">
        <v>61</v>
      </c>
      <c r="C23" s="31" t="s">
        <v>206</v>
      </c>
      <c r="D23" s="31" t="s">
        <v>607</v>
      </c>
      <c r="E23" s="28">
        <v>46300</v>
      </c>
      <c r="F23" s="31"/>
      <c r="G23" s="31"/>
      <c r="H23" s="31" t="s">
        <v>603</v>
      </c>
      <c r="I23" s="31" t="s">
        <v>604</v>
      </c>
      <c r="J23" s="28"/>
      <c r="K23" s="31" t="s">
        <v>39</v>
      </c>
    </row>
    <row r="24" spans="1:11" ht="36">
      <c r="A24" s="33">
        <f t="shared" si="0"/>
        <v>21</v>
      </c>
      <c r="B24" s="31" t="s">
        <v>311</v>
      </c>
      <c r="C24" s="31" t="s">
        <v>206</v>
      </c>
      <c r="D24" s="31" t="s">
        <v>610</v>
      </c>
      <c r="E24" s="28">
        <v>46300</v>
      </c>
      <c r="F24" s="31"/>
      <c r="G24" s="31"/>
      <c r="H24" s="31" t="s">
        <v>603</v>
      </c>
      <c r="I24" s="31" t="s">
        <v>604</v>
      </c>
      <c r="J24" s="28"/>
      <c r="K24" s="31" t="s">
        <v>42</v>
      </c>
    </row>
    <row r="25" spans="1:11">
      <c r="A25" s="33">
        <f t="shared" si="0"/>
        <v>22</v>
      </c>
      <c r="B25" s="31" t="s">
        <v>560</v>
      </c>
      <c r="C25" s="31" t="s">
        <v>206</v>
      </c>
      <c r="D25" s="31" t="s">
        <v>607</v>
      </c>
      <c r="E25" s="28">
        <v>46300</v>
      </c>
      <c r="F25" s="31"/>
      <c r="G25" s="31"/>
      <c r="H25" s="31" t="s">
        <v>603</v>
      </c>
      <c r="I25" s="31" t="s">
        <v>604</v>
      </c>
      <c r="J25" s="28"/>
      <c r="K25" s="31" t="s">
        <v>45</v>
      </c>
    </row>
    <row r="26" spans="1:11" ht="24">
      <c r="A26" s="33">
        <f t="shared" si="0"/>
        <v>23</v>
      </c>
      <c r="B26" s="31" t="s">
        <v>549</v>
      </c>
      <c r="C26" s="31" t="s">
        <v>257</v>
      </c>
      <c r="D26" s="31" t="s">
        <v>611</v>
      </c>
      <c r="E26" s="28">
        <v>46300</v>
      </c>
      <c r="F26" s="31"/>
      <c r="G26" s="31"/>
      <c r="H26" s="31" t="s">
        <v>603</v>
      </c>
      <c r="I26" s="31" t="s">
        <v>604</v>
      </c>
      <c r="J26" s="28"/>
      <c r="K26" s="31" t="s">
        <v>605</v>
      </c>
    </row>
    <row r="27" spans="1:11" ht="24">
      <c r="A27" s="33">
        <f t="shared" si="0"/>
        <v>24</v>
      </c>
      <c r="B27" s="31" t="s">
        <v>64</v>
      </c>
      <c r="C27" s="31" t="s">
        <v>257</v>
      </c>
      <c r="D27" s="31" t="s">
        <v>607</v>
      </c>
      <c r="E27" s="28">
        <v>46300</v>
      </c>
      <c r="F27" s="31"/>
      <c r="G27" s="31"/>
      <c r="H27" s="31" t="s">
        <v>603</v>
      </c>
      <c r="I27" s="31" t="s">
        <v>604</v>
      </c>
      <c r="J27" s="28"/>
      <c r="K27" s="31" t="s">
        <v>605</v>
      </c>
    </row>
    <row r="28" spans="1:11" ht="24">
      <c r="A28" s="33">
        <f t="shared" si="0"/>
        <v>25</v>
      </c>
      <c r="B28" s="31" t="s">
        <v>65</v>
      </c>
      <c r="C28" s="31" t="s">
        <v>257</v>
      </c>
      <c r="D28" s="31" t="s">
        <v>607</v>
      </c>
      <c r="E28" s="28">
        <v>46300</v>
      </c>
      <c r="F28" s="31"/>
      <c r="G28" s="31"/>
      <c r="H28" s="31" t="s">
        <v>603</v>
      </c>
      <c r="I28" s="31" t="s">
        <v>604</v>
      </c>
      <c r="J28" s="28"/>
      <c r="K28" s="31" t="s">
        <v>605</v>
      </c>
    </row>
    <row r="29" spans="1:11">
      <c r="A29">
        <v>26</v>
      </c>
      <c r="B29" t="s">
        <v>364</v>
      </c>
      <c r="C29" t="s">
        <v>612</v>
      </c>
      <c r="E29" s="68">
        <v>46295</v>
      </c>
      <c r="F29" t="s">
        <v>613</v>
      </c>
      <c r="G29" t="s">
        <v>614</v>
      </c>
      <c r="H29" t="s">
        <v>615</v>
      </c>
      <c r="I29" t="s">
        <v>604</v>
      </c>
      <c r="J29" s="68">
        <v>46302</v>
      </c>
      <c r="K29" t="s">
        <v>42</v>
      </c>
    </row>
    <row r="30" spans="1:11">
      <c r="A30">
        <v>27</v>
      </c>
      <c r="B30" t="s">
        <v>251</v>
      </c>
      <c r="C30" t="s">
        <v>252</v>
      </c>
      <c r="E30" s="68">
        <v>46303</v>
      </c>
      <c r="F30" t="s">
        <v>613</v>
      </c>
      <c r="G30" t="s">
        <v>616</v>
      </c>
      <c r="H30" t="s">
        <v>615</v>
      </c>
      <c r="I30" t="s">
        <v>604</v>
      </c>
      <c r="J30" s="68">
        <v>46310</v>
      </c>
      <c r="K30" t="s">
        <v>41</v>
      </c>
    </row>
    <row r="31" spans="1:11">
      <c r="A31">
        <v>28</v>
      </c>
      <c r="B31" t="s">
        <v>230</v>
      </c>
      <c r="C31" t="s">
        <v>215</v>
      </c>
      <c r="E31" s="68">
        <v>46304</v>
      </c>
      <c r="F31" t="s">
        <v>613</v>
      </c>
      <c r="G31" t="s">
        <v>617</v>
      </c>
      <c r="H31" t="s">
        <v>615</v>
      </c>
      <c r="I31" t="s">
        <v>604</v>
      </c>
      <c r="J31" s="68">
        <v>46311</v>
      </c>
      <c r="K31" t="s">
        <v>40</v>
      </c>
    </row>
    <row r="32" spans="1:11">
      <c r="A32">
        <v>29</v>
      </c>
      <c r="B32" t="s">
        <v>526</v>
      </c>
      <c r="C32" t="s">
        <v>206</v>
      </c>
      <c r="D32" t="s">
        <v>618</v>
      </c>
      <c r="E32" s="68">
        <v>46312</v>
      </c>
      <c r="F32" t="s">
        <v>613</v>
      </c>
      <c r="G32" t="s">
        <v>619</v>
      </c>
      <c r="H32" t="s">
        <v>615</v>
      </c>
      <c r="I32" t="s">
        <v>604</v>
      </c>
      <c r="J32" s="68">
        <v>46319</v>
      </c>
      <c r="K32" t="s">
        <v>45</v>
      </c>
    </row>
    <row r="33" spans="1:11">
      <c r="A33">
        <v>30</v>
      </c>
      <c r="B33" t="s">
        <v>560</v>
      </c>
      <c r="C33" t="s">
        <v>206</v>
      </c>
      <c r="D33" t="s">
        <v>620</v>
      </c>
      <c r="E33" s="68">
        <v>46317</v>
      </c>
      <c r="F33" t="s">
        <v>613</v>
      </c>
      <c r="G33" t="s">
        <v>621</v>
      </c>
      <c r="H33" t="s">
        <v>615</v>
      </c>
      <c r="I33" t="s">
        <v>604</v>
      </c>
      <c r="J33" s="68">
        <v>46324</v>
      </c>
      <c r="K33" t="s">
        <v>41</v>
      </c>
    </row>
    <row r="34" spans="1:11">
      <c r="A34">
        <v>31</v>
      </c>
      <c r="B34" t="s">
        <v>538</v>
      </c>
      <c r="C34" t="s">
        <v>206</v>
      </c>
      <c r="D34" t="s">
        <v>622</v>
      </c>
      <c r="E34" s="68">
        <v>46317</v>
      </c>
      <c r="F34" t="s">
        <v>613</v>
      </c>
      <c r="G34" t="s">
        <v>623</v>
      </c>
      <c r="H34" t="s">
        <v>615</v>
      </c>
      <c r="I34" t="s">
        <v>604</v>
      </c>
      <c r="J34" s="68">
        <v>46324</v>
      </c>
      <c r="K34" t="s">
        <v>41</v>
      </c>
    </row>
    <row r="35" spans="1:11">
      <c r="A35">
        <v>32</v>
      </c>
      <c r="B35" t="s">
        <v>330</v>
      </c>
      <c r="C35" t="s">
        <v>206</v>
      </c>
      <c r="D35" t="s">
        <v>624</v>
      </c>
      <c r="E35" s="68">
        <v>46318</v>
      </c>
      <c r="F35" t="s">
        <v>613</v>
      </c>
      <c r="G35" t="s">
        <v>625</v>
      </c>
      <c r="H35" t="s">
        <v>615</v>
      </c>
      <c r="I35" t="s">
        <v>604</v>
      </c>
      <c r="J35" s="68">
        <v>46325</v>
      </c>
      <c r="K35" t="s">
        <v>40</v>
      </c>
    </row>
    <row r="36" spans="1:11">
      <c r="A36">
        <v>33</v>
      </c>
      <c r="B36" t="s">
        <v>381</v>
      </c>
      <c r="C36" t="s">
        <v>612</v>
      </c>
      <c r="E36" s="68">
        <v>46320</v>
      </c>
      <c r="F36" t="s">
        <v>613</v>
      </c>
      <c r="G36" t="s">
        <v>626</v>
      </c>
      <c r="H36" t="s">
        <v>615</v>
      </c>
      <c r="I36" t="s">
        <v>604</v>
      </c>
      <c r="J36" s="68">
        <v>46327</v>
      </c>
      <c r="K36" t="s">
        <v>42</v>
      </c>
    </row>
    <row r="37" spans="1:11">
      <c r="A37">
        <v>34</v>
      </c>
      <c r="B37" t="s">
        <v>565</v>
      </c>
      <c r="C37" t="s">
        <v>257</v>
      </c>
      <c r="E37" s="68">
        <v>46321</v>
      </c>
      <c r="F37" t="s">
        <v>613</v>
      </c>
      <c r="G37" t="s">
        <v>627</v>
      </c>
      <c r="H37" t="s">
        <v>615</v>
      </c>
      <c r="I37" t="s">
        <v>604</v>
      </c>
      <c r="J37" s="68">
        <v>46328</v>
      </c>
      <c r="K37" t="s">
        <v>39</v>
      </c>
    </row>
    <row r="38" spans="1:11">
      <c r="A38">
        <v>35</v>
      </c>
      <c r="B38" t="s">
        <v>542</v>
      </c>
      <c r="C38" t="s">
        <v>206</v>
      </c>
      <c r="D38" t="s">
        <v>628</v>
      </c>
      <c r="E38" s="68">
        <v>46321</v>
      </c>
      <c r="F38" t="s">
        <v>613</v>
      </c>
      <c r="G38" t="s">
        <v>629</v>
      </c>
      <c r="H38" t="s">
        <v>615</v>
      </c>
      <c r="I38" t="s">
        <v>604</v>
      </c>
      <c r="J38" s="68">
        <v>46328</v>
      </c>
      <c r="K38" t="s">
        <v>41</v>
      </c>
    </row>
    <row r="39" spans="1:11">
      <c r="A39">
        <v>36</v>
      </c>
      <c r="B39" t="s">
        <v>65</v>
      </c>
      <c r="C39" t="s">
        <v>206</v>
      </c>
      <c r="D39" t="s">
        <v>620</v>
      </c>
      <c r="E39" s="68">
        <v>46321</v>
      </c>
      <c r="F39" t="s">
        <v>613</v>
      </c>
      <c r="G39" t="s">
        <v>630</v>
      </c>
      <c r="H39" t="s">
        <v>615</v>
      </c>
      <c r="I39" t="s">
        <v>604</v>
      </c>
      <c r="J39" s="68">
        <v>46328</v>
      </c>
      <c r="K39" t="s">
        <v>40</v>
      </c>
    </row>
    <row r="40" spans="1:11">
      <c r="A40">
        <v>37</v>
      </c>
      <c r="B40" t="s">
        <v>530</v>
      </c>
      <c r="C40" t="s">
        <v>206</v>
      </c>
      <c r="D40" t="s">
        <v>618</v>
      </c>
      <c r="E40" s="68">
        <v>46321</v>
      </c>
      <c r="F40" t="s">
        <v>613</v>
      </c>
      <c r="G40" t="s">
        <v>631</v>
      </c>
      <c r="H40" t="s">
        <v>615</v>
      </c>
      <c r="I40" t="s">
        <v>604</v>
      </c>
      <c r="J40" s="68">
        <v>46328</v>
      </c>
      <c r="K40" t="s">
        <v>40</v>
      </c>
    </row>
    <row r="41" spans="1:11">
      <c r="A41">
        <v>38</v>
      </c>
      <c r="B41" t="s">
        <v>456</v>
      </c>
      <c r="C41" t="s">
        <v>206</v>
      </c>
      <c r="D41" t="s">
        <v>618</v>
      </c>
      <c r="E41" s="68">
        <v>46322</v>
      </c>
      <c r="F41" t="s">
        <v>613</v>
      </c>
      <c r="G41" t="s">
        <v>632</v>
      </c>
      <c r="H41" t="s">
        <v>615</v>
      </c>
      <c r="I41" t="s">
        <v>604</v>
      </c>
      <c r="J41" s="68">
        <v>46329</v>
      </c>
      <c r="K41" t="s">
        <v>42</v>
      </c>
    </row>
    <row r="42" spans="1:11">
      <c r="A42">
        <v>39</v>
      </c>
      <c r="B42" t="s">
        <v>177</v>
      </c>
      <c r="C42" t="s">
        <v>633</v>
      </c>
      <c r="E42" s="68">
        <v>46322</v>
      </c>
      <c r="F42" t="s">
        <v>613</v>
      </c>
      <c r="G42" t="s">
        <v>634</v>
      </c>
      <c r="H42" t="s">
        <v>615</v>
      </c>
      <c r="I42" t="s">
        <v>604</v>
      </c>
      <c r="J42" s="68">
        <v>46329</v>
      </c>
      <c r="K42" t="s">
        <v>41</v>
      </c>
    </row>
    <row r="43" spans="1:11">
      <c r="A43">
        <v>40</v>
      </c>
      <c r="B43" t="s">
        <v>565</v>
      </c>
      <c r="C43" t="s">
        <v>257</v>
      </c>
      <c r="E43" s="68">
        <v>46324</v>
      </c>
      <c r="F43" t="s">
        <v>613</v>
      </c>
      <c r="G43" t="s">
        <v>627</v>
      </c>
      <c r="H43" t="s">
        <v>615</v>
      </c>
      <c r="I43" t="s">
        <v>604</v>
      </c>
      <c r="J43" s="68">
        <v>46331</v>
      </c>
      <c r="K43" t="s">
        <v>39</v>
      </c>
    </row>
    <row r="44" spans="1:11">
      <c r="A44">
        <v>41</v>
      </c>
      <c r="B44" t="s">
        <v>251</v>
      </c>
      <c r="C44" t="s">
        <v>252</v>
      </c>
      <c r="E44" s="68">
        <v>46324</v>
      </c>
      <c r="F44" t="s">
        <v>613</v>
      </c>
      <c r="G44" t="s">
        <v>616</v>
      </c>
      <c r="H44" t="s">
        <v>615</v>
      </c>
      <c r="I44" t="s">
        <v>604</v>
      </c>
      <c r="J44" s="68">
        <v>46331</v>
      </c>
      <c r="K44" t="s">
        <v>41</v>
      </c>
    </row>
    <row r="45" spans="1:11">
      <c r="A45">
        <v>42</v>
      </c>
      <c r="B45" t="s">
        <v>65</v>
      </c>
      <c r="C45" t="s">
        <v>206</v>
      </c>
      <c r="D45" t="s">
        <v>620</v>
      </c>
      <c r="E45" s="68">
        <v>46324</v>
      </c>
      <c r="F45" t="s">
        <v>613</v>
      </c>
      <c r="G45" t="s">
        <v>630</v>
      </c>
      <c r="H45" t="s">
        <v>615</v>
      </c>
      <c r="I45" t="s">
        <v>604</v>
      </c>
      <c r="J45" s="68">
        <v>46331</v>
      </c>
      <c r="K45" t="s">
        <v>40</v>
      </c>
    </row>
    <row r="46" spans="1:11">
      <c r="A46">
        <v>43</v>
      </c>
      <c r="B46" t="s">
        <v>565</v>
      </c>
      <c r="C46" t="s">
        <v>257</v>
      </c>
      <c r="E46" s="68">
        <v>46325</v>
      </c>
      <c r="F46" t="s">
        <v>613</v>
      </c>
      <c r="G46" t="s">
        <v>627</v>
      </c>
      <c r="H46" t="s">
        <v>615</v>
      </c>
      <c r="I46" t="s">
        <v>604</v>
      </c>
      <c r="J46" s="68">
        <v>46332</v>
      </c>
      <c r="K46" t="s">
        <v>39</v>
      </c>
    </row>
    <row r="47" spans="1:11">
      <c r="A47">
        <v>44</v>
      </c>
      <c r="B47" t="s">
        <v>526</v>
      </c>
      <c r="C47" t="s">
        <v>206</v>
      </c>
      <c r="D47" t="s">
        <v>618</v>
      </c>
      <c r="E47" s="68">
        <v>46325</v>
      </c>
      <c r="F47" t="s">
        <v>613</v>
      </c>
      <c r="G47" t="s">
        <v>619</v>
      </c>
      <c r="H47" t="s">
        <v>615</v>
      </c>
      <c r="I47" t="s">
        <v>604</v>
      </c>
      <c r="J47" s="68">
        <v>46332</v>
      </c>
      <c r="K47" t="s">
        <v>45</v>
      </c>
    </row>
    <row r="48" spans="1:11">
      <c r="A48">
        <v>45</v>
      </c>
      <c r="B48" t="s">
        <v>251</v>
      </c>
      <c r="C48" t="s">
        <v>252</v>
      </c>
      <c r="E48" s="68">
        <v>46325</v>
      </c>
      <c r="F48" t="s">
        <v>613</v>
      </c>
      <c r="G48" t="s">
        <v>635</v>
      </c>
      <c r="H48" t="s">
        <v>615</v>
      </c>
      <c r="I48" t="s">
        <v>604</v>
      </c>
      <c r="J48" s="68">
        <v>46332</v>
      </c>
      <c r="K48" t="s">
        <v>41</v>
      </c>
    </row>
    <row r="49" spans="1:11">
      <c r="A49">
        <v>46</v>
      </c>
      <c r="B49" t="s">
        <v>526</v>
      </c>
      <c r="C49" t="s">
        <v>206</v>
      </c>
      <c r="D49" t="s">
        <v>618</v>
      </c>
      <c r="E49" s="68">
        <v>46296</v>
      </c>
      <c r="F49" t="s">
        <v>613</v>
      </c>
      <c r="G49" t="s">
        <v>636</v>
      </c>
      <c r="H49" t="s">
        <v>615</v>
      </c>
      <c r="I49" t="s">
        <v>637</v>
      </c>
      <c r="J49" s="68"/>
      <c r="K49" t="s">
        <v>45</v>
      </c>
    </row>
    <row r="50" spans="1:11">
      <c r="A50">
        <v>47</v>
      </c>
      <c r="B50" t="s">
        <v>299</v>
      </c>
      <c r="C50" t="s">
        <v>206</v>
      </c>
      <c r="D50" t="s">
        <v>638</v>
      </c>
      <c r="E50" s="68">
        <v>46296</v>
      </c>
      <c r="F50" t="s">
        <v>613</v>
      </c>
      <c r="G50" t="s">
        <v>639</v>
      </c>
      <c r="H50" t="s">
        <v>615</v>
      </c>
      <c r="I50" t="s">
        <v>604</v>
      </c>
      <c r="J50" s="68">
        <v>46303</v>
      </c>
      <c r="K50" t="s">
        <v>40</v>
      </c>
    </row>
    <row r="51" spans="1:11">
      <c r="A51">
        <v>48</v>
      </c>
      <c r="B51" t="s">
        <v>560</v>
      </c>
      <c r="C51" t="s">
        <v>206</v>
      </c>
      <c r="D51" t="s">
        <v>620</v>
      </c>
      <c r="E51" s="68">
        <v>46296</v>
      </c>
      <c r="F51" t="s">
        <v>613</v>
      </c>
      <c r="G51" t="s">
        <v>621</v>
      </c>
      <c r="H51" t="s">
        <v>615</v>
      </c>
      <c r="I51" t="s">
        <v>604</v>
      </c>
      <c r="J51" s="68">
        <v>46303</v>
      </c>
      <c r="K51" t="s">
        <v>41</v>
      </c>
    </row>
    <row r="52" spans="1:11">
      <c r="A52">
        <v>49</v>
      </c>
      <c r="B52" t="s">
        <v>538</v>
      </c>
      <c r="C52" t="s">
        <v>206</v>
      </c>
      <c r="D52" t="s">
        <v>622</v>
      </c>
      <c r="E52" s="68">
        <v>46296</v>
      </c>
      <c r="F52" t="s">
        <v>613</v>
      </c>
      <c r="G52" t="s">
        <v>640</v>
      </c>
      <c r="H52" t="s">
        <v>615</v>
      </c>
      <c r="I52" t="s">
        <v>604</v>
      </c>
      <c r="J52" s="68">
        <v>46303</v>
      </c>
      <c r="K52" t="s">
        <v>41</v>
      </c>
    </row>
    <row r="53" spans="1:11">
      <c r="A53">
        <v>50</v>
      </c>
      <c r="B53" t="s">
        <v>530</v>
      </c>
      <c r="C53" t="s">
        <v>206</v>
      </c>
      <c r="D53" t="s">
        <v>618</v>
      </c>
      <c r="E53" s="68">
        <v>46296</v>
      </c>
      <c r="F53" t="s">
        <v>613</v>
      </c>
      <c r="G53" t="s">
        <v>641</v>
      </c>
      <c r="H53" t="s">
        <v>615</v>
      </c>
      <c r="I53" t="s">
        <v>637</v>
      </c>
      <c r="J53" s="68"/>
      <c r="K53" t="s">
        <v>40</v>
      </c>
    </row>
    <row r="54" spans="1:11">
      <c r="A54">
        <v>51</v>
      </c>
      <c r="B54" t="s">
        <v>251</v>
      </c>
      <c r="C54" t="s">
        <v>252</v>
      </c>
      <c r="E54" s="68">
        <v>46296</v>
      </c>
      <c r="F54" t="s">
        <v>613</v>
      </c>
      <c r="G54" t="s">
        <v>635</v>
      </c>
      <c r="H54" t="s">
        <v>615</v>
      </c>
      <c r="I54" t="s">
        <v>604</v>
      </c>
      <c r="J54" s="68">
        <v>46303</v>
      </c>
      <c r="K54" t="s">
        <v>41</v>
      </c>
    </row>
    <row r="55" spans="1:11">
      <c r="A55">
        <v>52</v>
      </c>
      <c r="B55" t="s">
        <v>415</v>
      </c>
      <c r="C55" t="s">
        <v>612</v>
      </c>
      <c r="E55" s="68">
        <v>46297</v>
      </c>
      <c r="F55" t="s">
        <v>613</v>
      </c>
      <c r="G55" t="s">
        <v>642</v>
      </c>
      <c r="H55" t="s">
        <v>615</v>
      </c>
      <c r="I55" t="s">
        <v>604</v>
      </c>
      <c r="J55" s="68">
        <v>46304</v>
      </c>
      <c r="K55" t="s">
        <v>40</v>
      </c>
    </row>
    <row r="56" spans="1:11">
      <c r="A56">
        <v>53</v>
      </c>
      <c r="B56" t="s">
        <v>299</v>
      </c>
      <c r="C56" t="s">
        <v>206</v>
      </c>
      <c r="D56" t="s">
        <v>638</v>
      </c>
      <c r="E56" s="68">
        <v>46297</v>
      </c>
      <c r="F56" t="s">
        <v>613</v>
      </c>
      <c r="G56" t="s">
        <v>639</v>
      </c>
      <c r="H56" t="s">
        <v>615</v>
      </c>
      <c r="I56" t="s">
        <v>604</v>
      </c>
      <c r="J56" s="68">
        <v>46304</v>
      </c>
      <c r="K56" t="s">
        <v>40</v>
      </c>
    </row>
    <row r="57" spans="1:11">
      <c r="A57">
        <v>54</v>
      </c>
      <c r="B57" t="s">
        <v>542</v>
      </c>
      <c r="C57" t="s">
        <v>206</v>
      </c>
      <c r="D57" t="s">
        <v>628</v>
      </c>
      <c r="E57" s="68">
        <v>46297</v>
      </c>
      <c r="F57" t="s">
        <v>613</v>
      </c>
      <c r="G57" t="s">
        <v>643</v>
      </c>
      <c r="H57" t="s">
        <v>615</v>
      </c>
      <c r="I57" t="s">
        <v>637</v>
      </c>
      <c r="J57" s="68"/>
      <c r="K57" t="s">
        <v>41</v>
      </c>
    </row>
    <row r="58" spans="1:11">
      <c r="A58">
        <v>55</v>
      </c>
      <c r="B58" t="s">
        <v>538</v>
      </c>
      <c r="C58" t="s">
        <v>206</v>
      </c>
      <c r="D58" t="s">
        <v>622</v>
      </c>
      <c r="E58" s="68">
        <v>46297</v>
      </c>
      <c r="F58" t="s">
        <v>613</v>
      </c>
      <c r="G58" t="s">
        <v>644</v>
      </c>
      <c r="H58" t="s">
        <v>615</v>
      </c>
      <c r="I58" t="s">
        <v>604</v>
      </c>
      <c r="J58" s="68">
        <v>46304</v>
      </c>
      <c r="K58" t="s">
        <v>41</v>
      </c>
    </row>
    <row r="59" spans="1:11">
      <c r="A59">
        <v>56</v>
      </c>
      <c r="B59" t="s">
        <v>177</v>
      </c>
      <c r="C59" t="s">
        <v>633</v>
      </c>
      <c r="E59" s="68">
        <v>46297</v>
      </c>
      <c r="F59" t="s">
        <v>613</v>
      </c>
      <c r="G59" t="s">
        <v>645</v>
      </c>
      <c r="H59" t="s">
        <v>615</v>
      </c>
      <c r="I59" t="s">
        <v>637</v>
      </c>
      <c r="J59" s="68"/>
      <c r="K59" t="s">
        <v>41</v>
      </c>
    </row>
    <row r="60" spans="1:11">
      <c r="A60">
        <v>57</v>
      </c>
      <c r="B60" t="s">
        <v>402</v>
      </c>
      <c r="C60" t="s">
        <v>612</v>
      </c>
      <c r="E60" s="68">
        <v>46300</v>
      </c>
      <c r="F60" t="s">
        <v>613</v>
      </c>
      <c r="G60" t="s">
        <v>646</v>
      </c>
      <c r="H60" t="s">
        <v>615</v>
      </c>
      <c r="I60" t="s">
        <v>604</v>
      </c>
      <c r="J60" s="68">
        <v>46307</v>
      </c>
      <c r="K60" t="s">
        <v>40</v>
      </c>
    </row>
    <row r="61" spans="1:11">
      <c r="A61">
        <v>58</v>
      </c>
      <c r="B61" t="s">
        <v>426</v>
      </c>
      <c r="C61" t="s">
        <v>612</v>
      </c>
      <c r="E61" s="68">
        <v>46300</v>
      </c>
      <c r="F61" t="s">
        <v>613</v>
      </c>
      <c r="G61" t="s">
        <v>647</v>
      </c>
      <c r="H61" t="s">
        <v>615</v>
      </c>
      <c r="I61" t="s">
        <v>637</v>
      </c>
      <c r="J61" s="68"/>
      <c r="K61" t="s">
        <v>40</v>
      </c>
    </row>
    <row r="62" spans="1:11">
      <c r="A62">
        <v>59</v>
      </c>
      <c r="B62" t="s">
        <v>413</v>
      </c>
      <c r="C62" t="s">
        <v>612</v>
      </c>
      <c r="E62" s="68">
        <v>46300</v>
      </c>
      <c r="F62" t="s">
        <v>613</v>
      </c>
      <c r="G62" t="s">
        <v>648</v>
      </c>
      <c r="H62" t="s">
        <v>615</v>
      </c>
      <c r="I62" t="s">
        <v>604</v>
      </c>
      <c r="J62" s="68">
        <v>46307</v>
      </c>
      <c r="K62" t="s">
        <v>40</v>
      </c>
    </row>
    <row r="63" spans="1:11">
      <c r="A63">
        <v>60</v>
      </c>
      <c r="B63" t="s">
        <v>414</v>
      </c>
      <c r="C63" t="s">
        <v>612</v>
      </c>
      <c r="E63" s="68">
        <v>46300</v>
      </c>
      <c r="F63" t="s">
        <v>613</v>
      </c>
      <c r="G63" t="s">
        <v>616</v>
      </c>
      <c r="H63" t="s">
        <v>615</v>
      </c>
      <c r="I63" t="s">
        <v>604</v>
      </c>
      <c r="J63" s="68">
        <v>46307</v>
      </c>
      <c r="K63" t="s">
        <v>40</v>
      </c>
    </row>
    <row r="64" spans="1:11">
      <c r="A64">
        <v>61</v>
      </c>
      <c r="B64" t="s">
        <v>418</v>
      </c>
      <c r="C64" t="s">
        <v>612</v>
      </c>
      <c r="E64" s="68">
        <v>46300</v>
      </c>
      <c r="F64" t="s">
        <v>613</v>
      </c>
      <c r="G64" t="s">
        <v>649</v>
      </c>
      <c r="H64" t="s">
        <v>615</v>
      </c>
      <c r="I64" t="s">
        <v>604</v>
      </c>
      <c r="J64" s="68">
        <v>46307</v>
      </c>
      <c r="K64" t="s">
        <v>40</v>
      </c>
    </row>
    <row r="65" spans="1:11">
      <c r="A65">
        <v>62</v>
      </c>
      <c r="B65" t="s">
        <v>330</v>
      </c>
      <c r="C65" t="s">
        <v>206</v>
      </c>
      <c r="D65" t="s">
        <v>624</v>
      </c>
      <c r="E65" s="68">
        <v>46300</v>
      </c>
      <c r="F65" t="s">
        <v>613</v>
      </c>
      <c r="G65" t="s">
        <v>650</v>
      </c>
      <c r="H65" t="s">
        <v>615</v>
      </c>
      <c r="I65" t="s">
        <v>604</v>
      </c>
      <c r="J65" s="68">
        <v>46307</v>
      </c>
      <c r="K65" t="s">
        <v>40</v>
      </c>
    </row>
    <row r="66" spans="1:11">
      <c r="A66">
        <v>63</v>
      </c>
      <c r="B66" t="s">
        <v>430</v>
      </c>
      <c r="C66" t="s">
        <v>612</v>
      </c>
      <c r="E66" s="68">
        <v>46300</v>
      </c>
      <c r="F66" t="s">
        <v>613</v>
      </c>
      <c r="G66" t="s">
        <v>616</v>
      </c>
      <c r="H66" t="s">
        <v>615</v>
      </c>
      <c r="I66" t="s">
        <v>604</v>
      </c>
      <c r="J66" s="68">
        <v>46307</v>
      </c>
      <c r="K66" t="s">
        <v>40</v>
      </c>
    </row>
    <row r="67" spans="1:11">
      <c r="A67">
        <v>64</v>
      </c>
      <c r="B67" t="s">
        <v>419</v>
      </c>
      <c r="C67" t="s">
        <v>612</v>
      </c>
      <c r="E67" s="68">
        <v>46300</v>
      </c>
      <c r="F67" t="s">
        <v>613</v>
      </c>
      <c r="G67" t="s">
        <v>651</v>
      </c>
      <c r="H67" t="s">
        <v>615</v>
      </c>
      <c r="I67" t="s">
        <v>604</v>
      </c>
      <c r="J67" s="68">
        <v>46307</v>
      </c>
      <c r="K67" t="s">
        <v>40</v>
      </c>
    </row>
    <row r="68" spans="1:11">
      <c r="A68">
        <v>65</v>
      </c>
      <c r="B68" t="s">
        <v>420</v>
      </c>
      <c r="C68" t="s">
        <v>612</v>
      </c>
      <c r="E68" s="68">
        <v>46300</v>
      </c>
      <c r="F68" t="s">
        <v>613</v>
      </c>
      <c r="G68" t="s">
        <v>652</v>
      </c>
      <c r="H68" t="s">
        <v>615</v>
      </c>
      <c r="I68" t="s">
        <v>604</v>
      </c>
      <c r="J68" s="68">
        <v>46307</v>
      </c>
      <c r="K68" t="s">
        <v>40</v>
      </c>
    </row>
    <row r="69" spans="1:11">
      <c r="A69">
        <v>66</v>
      </c>
      <c r="B69" t="s">
        <v>265</v>
      </c>
      <c r="C69" t="s">
        <v>653</v>
      </c>
      <c r="E69" s="68">
        <v>46300</v>
      </c>
      <c r="F69" t="s">
        <v>613</v>
      </c>
      <c r="G69" t="s">
        <v>654</v>
      </c>
      <c r="H69" t="s">
        <v>615</v>
      </c>
      <c r="I69" t="s">
        <v>604</v>
      </c>
      <c r="J69" s="68">
        <v>46307</v>
      </c>
      <c r="K69" t="s">
        <v>41</v>
      </c>
    </row>
    <row r="70" spans="1:11">
      <c r="A70">
        <v>67</v>
      </c>
      <c r="B70" t="s">
        <v>433</v>
      </c>
      <c r="C70" t="s">
        <v>612</v>
      </c>
      <c r="E70" s="68">
        <v>46300</v>
      </c>
      <c r="F70" t="s">
        <v>613</v>
      </c>
      <c r="G70" t="s">
        <v>655</v>
      </c>
      <c r="H70" t="s">
        <v>615</v>
      </c>
      <c r="I70" t="s">
        <v>604</v>
      </c>
      <c r="J70" s="68">
        <v>46307</v>
      </c>
      <c r="K70" t="s">
        <v>40</v>
      </c>
    </row>
    <row r="71" spans="1:11">
      <c r="A71">
        <v>68</v>
      </c>
      <c r="B71" t="s">
        <v>421</v>
      </c>
      <c r="C71" t="s">
        <v>612</v>
      </c>
      <c r="E71" s="68">
        <v>46300</v>
      </c>
      <c r="F71" t="s">
        <v>613</v>
      </c>
      <c r="G71" t="s">
        <v>656</v>
      </c>
      <c r="H71" t="s">
        <v>615</v>
      </c>
      <c r="I71" t="s">
        <v>604</v>
      </c>
      <c r="J71" s="68">
        <v>46307</v>
      </c>
      <c r="K71" t="s">
        <v>40</v>
      </c>
    </row>
    <row r="72" spans="1:11">
      <c r="A72">
        <v>69</v>
      </c>
      <c r="B72" t="s">
        <v>434</v>
      </c>
      <c r="C72" t="s">
        <v>612</v>
      </c>
      <c r="E72" s="68">
        <v>46300</v>
      </c>
      <c r="F72" t="s">
        <v>613</v>
      </c>
      <c r="G72" t="s">
        <v>657</v>
      </c>
      <c r="H72" t="s">
        <v>615</v>
      </c>
      <c r="I72" t="s">
        <v>604</v>
      </c>
      <c r="J72" s="68">
        <v>46307</v>
      </c>
      <c r="K72" t="s">
        <v>40</v>
      </c>
    </row>
    <row r="73" spans="1:11">
      <c r="A73">
        <v>70</v>
      </c>
      <c r="B73" t="s">
        <v>422</v>
      </c>
      <c r="C73" t="s">
        <v>612</v>
      </c>
      <c r="E73" s="68">
        <v>46300</v>
      </c>
      <c r="F73" t="s">
        <v>613</v>
      </c>
      <c r="G73" t="s">
        <v>658</v>
      </c>
      <c r="H73" t="s">
        <v>615</v>
      </c>
      <c r="I73" t="s">
        <v>604</v>
      </c>
      <c r="J73" s="68">
        <v>46307</v>
      </c>
      <c r="K73" t="s">
        <v>40</v>
      </c>
    </row>
    <row r="74" spans="1:11">
      <c r="A74">
        <v>71</v>
      </c>
      <c r="B74" t="s">
        <v>423</v>
      </c>
      <c r="C74" t="s">
        <v>612</v>
      </c>
      <c r="E74" s="68">
        <v>46300</v>
      </c>
      <c r="F74" t="s">
        <v>613</v>
      </c>
      <c r="G74" t="s">
        <v>659</v>
      </c>
      <c r="H74" t="s">
        <v>615</v>
      </c>
      <c r="I74" t="s">
        <v>604</v>
      </c>
      <c r="J74" s="68">
        <v>46307</v>
      </c>
      <c r="K74" t="s">
        <v>40</v>
      </c>
    </row>
    <row r="75" spans="1:11">
      <c r="A75">
        <v>72</v>
      </c>
      <c r="B75" t="s">
        <v>270</v>
      </c>
      <c r="C75" t="s">
        <v>653</v>
      </c>
      <c r="E75" s="68">
        <v>46300</v>
      </c>
      <c r="F75" t="s">
        <v>613</v>
      </c>
      <c r="G75" t="s">
        <v>660</v>
      </c>
      <c r="H75" t="s">
        <v>615</v>
      </c>
      <c r="I75" t="s">
        <v>604</v>
      </c>
      <c r="J75" s="68">
        <v>46307</v>
      </c>
      <c r="K75" t="s">
        <v>40</v>
      </c>
    </row>
    <row r="76" spans="1:11">
      <c r="A76">
        <v>73</v>
      </c>
      <c r="B76" t="s">
        <v>349</v>
      </c>
      <c r="C76" t="s">
        <v>206</v>
      </c>
      <c r="E76" s="68">
        <v>46300</v>
      </c>
      <c r="F76" t="s">
        <v>613</v>
      </c>
      <c r="G76" t="s">
        <v>661</v>
      </c>
      <c r="H76" t="s">
        <v>615</v>
      </c>
      <c r="I76" t="s">
        <v>604</v>
      </c>
      <c r="J76" s="68">
        <v>46307</v>
      </c>
      <c r="K76" t="s">
        <v>40</v>
      </c>
    </row>
    <row r="77" spans="1:11">
      <c r="A77">
        <v>74</v>
      </c>
      <c r="B77" t="s">
        <v>424</v>
      </c>
      <c r="C77" t="s">
        <v>612</v>
      </c>
      <c r="E77" s="68">
        <v>46300</v>
      </c>
      <c r="F77" t="s">
        <v>613</v>
      </c>
      <c r="G77" t="s">
        <v>662</v>
      </c>
      <c r="H77" t="s">
        <v>615</v>
      </c>
      <c r="I77" t="s">
        <v>604</v>
      </c>
      <c r="J77" s="68">
        <v>46307</v>
      </c>
      <c r="K77" t="s">
        <v>40</v>
      </c>
    </row>
    <row r="78" spans="1:11">
      <c r="A78">
        <v>75</v>
      </c>
      <c r="B78" t="s">
        <v>435</v>
      </c>
      <c r="C78" t="s">
        <v>612</v>
      </c>
      <c r="E78" s="68">
        <v>46300</v>
      </c>
      <c r="F78" t="s">
        <v>613</v>
      </c>
      <c r="G78" t="s">
        <v>663</v>
      </c>
      <c r="H78" t="s">
        <v>615</v>
      </c>
      <c r="I78" t="s">
        <v>604</v>
      </c>
      <c r="J78" s="68">
        <v>46307</v>
      </c>
      <c r="K78" t="s">
        <v>40</v>
      </c>
    </row>
    <row r="79" spans="1:11">
      <c r="A79">
        <v>76</v>
      </c>
      <c r="B79" t="s">
        <v>59</v>
      </c>
      <c r="C79" t="s">
        <v>206</v>
      </c>
      <c r="D79" t="s">
        <v>664</v>
      </c>
      <c r="E79" s="68">
        <v>46301</v>
      </c>
      <c r="F79" t="s">
        <v>613</v>
      </c>
      <c r="G79" t="s">
        <v>665</v>
      </c>
      <c r="H79" t="s">
        <v>615</v>
      </c>
      <c r="I79" t="s">
        <v>604</v>
      </c>
      <c r="J79" s="68">
        <v>46308</v>
      </c>
      <c r="K79" t="s">
        <v>41</v>
      </c>
    </row>
    <row r="80" spans="1:11">
      <c r="A80">
        <v>77</v>
      </c>
      <c r="B80" t="s">
        <v>352</v>
      </c>
      <c r="C80" t="s">
        <v>206</v>
      </c>
      <c r="E80" s="68">
        <v>46301</v>
      </c>
      <c r="F80" t="s">
        <v>613</v>
      </c>
      <c r="G80" t="s">
        <v>666</v>
      </c>
      <c r="H80" t="s">
        <v>615</v>
      </c>
      <c r="I80" t="s">
        <v>604</v>
      </c>
      <c r="J80" s="68">
        <v>46308</v>
      </c>
      <c r="K80" t="s">
        <v>40</v>
      </c>
    </row>
    <row r="81" spans="1:11">
      <c r="A81">
        <v>78</v>
      </c>
      <c r="B81" t="s">
        <v>230</v>
      </c>
      <c r="C81" t="s">
        <v>215</v>
      </c>
      <c r="E81" s="68">
        <v>46301</v>
      </c>
      <c r="F81" t="s">
        <v>613</v>
      </c>
      <c r="G81" t="s">
        <v>617</v>
      </c>
      <c r="H81" t="s">
        <v>615</v>
      </c>
      <c r="I81" t="s">
        <v>604</v>
      </c>
      <c r="J81" s="68">
        <v>46308</v>
      </c>
      <c r="K81" t="s">
        <v>40</v>
      </c>
    </row>
    <row r="82" spans="1:11">
      <c r="A82">
        <v>79</v>
      </c>
      <c r="B82" t="s">
        <v>581</v>
      </c>
      <c r="C82" t="s">
        <v>667</v>
      </c>
      <c r="E82" s="68">
        <v>46301</v>
      </c>
      <c r="F82" t="s">
        <v>613</v>
      </c>
      <c r="G82" t="s">
        <v>668</v>
      </c>
      <c r="H82" t="s">
        <v>615</v>
      </c>
      <c r="I82" t="s">
        <v>604</v>
      </c>
      <c r="J82" s="68">
        <v>46308</v>
      </c>
      <c r="K82" t="s">
        <v>41</v>
      </c>
    </row>
    <row r="83" spans="1:11">
      <c r="A83">
        <v>80</v>
      </c>
      <c r="B83" t="s">
        <v>274</v>
      </c>
      <c r="C83" t="s">
        <v>653</v>
      </c>
      <c r="E83" s="68">
        <v>46301</v>
      </c>
      <c r="F83" t="s">
        <v>613</v>
      </c>
      <c r="G83" t="s">
        <v>669</v>
      </c>
      <c r="H83" t="s">
        <v>615</v>
      </c>
      <c r="I83" t="s">
        <v>637</v>
      </c>
      <c r="J83" s="68"/>
      <c r="K83" t="s">
        <v>41</v>
      </c>
    </row>
    <row r="84" spans="1:11">
      <c r="A84">
        <v>81</v>
      </c>
      <c r="B84" t="s">
        <v>405</v>
      </c>
      <c r="C84" t="s">
        <v>612</v>
      </c>
      <c r="E84" s="68">
        <v>46302</v>
      </c>
      <c r="F84" t="s">
        <v>613</v>
      </c>
      <c r="G84" t="s">
        <v>670</v>
      </c>
      <c r="H84" t="s">
        <v>615</v>
      </c>
      <c r="I84" t="s">
        <v>604</v>
      </c>
      <c r="J84" s="68">
        <v>46309</v>
      </c>
      <c r="K84" t="s">
        <v>40</v>
      </c>
    </row>
    <row r="85" spans="1:11">
      <c r="A85">
        <v>82</v>
      </c>
      <c r="B85" t="s">
        <v>230</v>
      </c>
      <c r="C85" t="s">
        <v>215</v>
      </c>
      <c r="E85" s="68">
        <v>46302</v>
      </c>
      <c r="F85" t="s">
        <v>613</v>
      </c>
      <c r="G85" t="s">
        <v>617</v>
      </c>
      <c r="H85" t="s">
        <v>615</v>
      </c>
      <c r="I85" t="s">
        <v>604</v>
      </c>
      <c r="J85" s="68">
        <v>46309</v>
      </c>
      <c r="K85" t="s">
        <v>40</v>
      </c>
    </row>
    <row r="86" spans="1:11">
      <c r="A86">
        <v>83</v>
      </c>
      <c r="B86" t="s">
        <v>560</v>
      </c>
      <c r="C86" t="s">
        <v>206</v>
      </c>
      <c r="D86" t="s">
        <v>620</v>
      </c>
      <c r="E86" s="68">
        <v>46302</v>
      </c>
      <c r="F86" t="s">
        <v>613</v>
      </c>
      <c r="G86" t="s">
        <v>621</v>
      </c>
      <c r="H86" t="s">
        <v>615</v>
      </c>
      <c r="I86" t="s">
        <v>604</v>
      </c>
      <c r="J86" s="68">
        <v>46309</v>
      </c>
      <c r="K86" t="s">
        <v>41</v>
      </c>
    </row>
    <row r="87" spans="1:11">
      <c r="A87">
        <v>84</v>
      </c>
      <c r="B87" t="s">
        <v>542</v>
      </c>
      <c r="C87" t="s">
        <v>206</v>
      </c>
      <c r="D87" t="s">
        <v>628</v>
      </c>
      <c r="E87" s="68">
        <v>46302</v>
      </c>
      <c r="F87" t="s">
        <v>613</v>
      </c>
      <c r="G87" t="s">
        <v>643</v>
      </c>
      <c r="H87" t="s">
        <v>615</v>
      </c>
      <c r="I87" t="s">
        <v>637</v>
      </c>
      <c r="J87" s="68"/>
      <c r="K87" t="s">
        <v>41</v>
      </c>
    </row>
    <row r="88" spans="1:11">
      <c r="A88">
        <v>85</v>
      </c>
      <c r="B88" t="s">
        <v>256</v>
      </c>
      <c r="C88" t="s">
        <v>257</v>
      </c>
      <c r="E88" s="68">
        <v>46302</v>
      </c>
      <c r="F88" t="s">
        <v>613</v>
      </c>
      <c r="G88" t="s">
        <v>671</v>
      </c>
      <c r="H88" t="s">
        <v>615</v>
      </c>
      <c r="I88" t="s">
        <v>604</v>
      </c>
      <c r="J88" s="68">
        <v>46309</v>
      </c>
      <c r="K88" t="s">
        <v>41</v>
      </c>
    </row>
    <row r="89" spans="1:11">
      <c r="A89">
        <v>86</v>
      </c>
      <c r="B89" t="s">
        <v>274</v>
      </c>
      <c r="C89" t="s">
        <v>653</v>
      </c>
      <c r="E89" s="68">
        <v>46302</v>
      </c>
      <c r="F89" t="s">
        <v>613</v>
      </c>
      <c r="G89" t="s">
        <v>669</v>
      </c>
      <c r="H89" t="s">
        <v>615</v>
      </c>
      <c r="I89" t="s">
        <v>604</v>
      </c>
      <c r="J89" s="68">
        <v>46309</v>
      </c>
      <c r="K89" t="s">
        <v>41</v>
      </c>
    </row>
    <row r="90" spans="1:11">
      <c r="A90">
        <v>87</v>
      </c>
      <c r="B90" t="s">
        <v>526</v>
      </c>
      <c r="C90" t="s">
        <v>206</v>
      </c>
      <c r="D90" t="s">
        <v>618</v>
      </c>
      <c r="E90" s="68">
        <v>46303</v>
      </c>
      <c r="F90" t="s">
        <v>613</v>
      </c>
      <c r="G90" t="s">
        <v>636</v>
      </c>
      <c r="H90" t="s">
        <v>615</v>
      </c>
      <c r="I90" t="s">
        <v>637</v>
      </c>
      <c r="J90" s="68"/>
      <c r="K90" t="s">
        <v>45</v>
      </c>
    </row>
    <row r="91" spans="1:11">
      <c r="A91">
        <v>88</v>
      </c>
      <c r="B91" t="s">
        <v>230</v>
      </c>
      <c r="C91" t="s">
        <v>215</v>
      </c>
      <c r="E91" s="68">
        <v>46303</v>
      </c>
      <c r="F91" t="s">
        <v>613</v>
      </c>
      <c r="G91" t="s">
        <v>617</v>
      </c>
      <c r="H91" t="s">
        <v>615</v>
      </c>
      <c r="I91" t="s">
        <v>604</v>
      </c>
      <c r="J91" s="68">
        <v>46310</v>
      </c>
      <c r="K91" t="s">
        <v>40</v>
      </c>
    </row>
    <row r="92" spans="1:11">
      <c r="A92">
        <v>89</v>
      </c>
      <c r="B92" t="s">
        <v>154</v>
      </c>
      <c r="C92" t="s">
        <v>159</v>
      </c>
      <c r="D92" t="s">
        <v>672</v>
      </c>
      <c r="E92" s="68">
        <v>46303</v>
      </c>
      <c r="F92" t="s">
        <v>613</v>
      </c>
      <c r="G92" t="s">
        <v>673</v>
      </c>
      <c r="H92" t="s">
        <v>615</v>
      </c>
      <c r="I92" t="s">
        <v>604</v>
      </c>
      <c r="J92" s="68">
        <v>46310</v>
      </c>
      <c r="K92" t="s">
        <v>41</v>
      </c>
    </row>
    <row r="93" spans="1:11">
      <c r="A93">
        <v>90</v>
      </c>
      <c r="B93" t="s">
        <v>381</v>
      </c>
      <c r="C93" t="s">
        <v>612</v>
      </c>
      <c r="E93" s="68">
        <v>46303</v>
      </c>
      <c r="F93" t="s">
        <v>613</v>
      </c>
      <c r="G93" t="s">
        <v>626</v>
      </c>
      <c r="H93" t="s">
        <v>615</v>
      </c>
      <c r="I93" t="s">
        <v>637</v>
      </c>
      <c r="J93" s="68"/>
      <c r="K93" t="s">
        <v>42</v>
      </c>
    </row>
    <row r="94" spans="1:11">
      <c r="A94">
        <v>91</v>
      </c>
      <c r="B94" t="s">
        <v>530</v>
      </c>
      <c r="C94" t="s">
        <v>206</v>
      </c>
      <c r="D94" t="s">
        <v>618</v>
      </c>
      <c r="E94" s="68">
        <v>46303</v>
      </c>
      <c r="F94" t="s">
        <v>613</v>
      </c>
      <c r="G94" t="s">
        <v>674</v>
      </c>
      <c r="H94" t="s">
        <v>615</v>
      </c>
      <c r="I94" t="s">
        <v>637</v>
      </c>
      <c r="J94" s="68"/>
      <c r="K94" t="s">
        <v>40</v>
      </c>
    </row>
    <row r="95" spans="1:11">
      <c r="A95">
        <v>92</v>
      </c>
      <c r="B95" t="s">
        <v>526</v>
      </c>
      <c r="C95" t="s">
        <v>206</v>
      </c>
      <c r="D95" t="s">
        <v>618</v>
      </c>
      <c r="E95" s="68">
        <v>46304</v>
      </c>
      <c r="F95" t="s">
        <v>613</v>
      </c>
      <c r="G95" t="s">
        <v>636</v>
      </c>
      <c r="H95" t="s">
        <v>615</v>
      </c>
      <c r="I95" t="s">
        <v>637</v>
      </c>
      <c r="J95" s="68"/>
      <c r="K95" t="s">
        <v>45</v>
      </c>
    </row>
    <row r="96" spans="1:11">
      <c r="A96">
        <v>93</v>
      </c>
      <c r="B96" t="s">
        <v>560</v>
      </c>
      <c r="C96" t="s">
        <v>206</v>
      </c>
      <c r="D96" t="s">
        <v>620</v>
      </c>
      <c r="E96" s="68">
        <v>46304</v>
      </c>
      <c r="F96" t="s">
        <v>613</v>
      </c>
      <c r="G96" t="s">
        <v>621</v>
      </c>
      <c r="H96" t="s">
        <v>615</v>
      </c>
      <c r="I96" t="s">
        <v>604</v>
      </c>
      <c r="J96" s="68">
        <v>46311</v>
      </c>
      <c r="K96" t="s">
        <v>41</v>
      </c>
    </row>
    <row r="97" spans="1:11">
      <c r="A97">
        <v>94</v>
      </c>
      <c r="B97" t="s">
        <v>542</v>
      </c>
      <c r="C97" t="s">
        <v>206</v>
      </c>
      <c r="D97" t="s">
        <v>628</v>
      </c>
      <c r="E97" s="68">
        <v>46304</v>
      </c>
      <c r="F97" t="s">
        <v>613</v>
      </c>
      <c r="G97" t="s">
        <v>643</v>
      </c>
      <c r="H97" t="s">
        <v>615</v>
      </c>
      <c r="I97" t="s">
        <v>637</v>
      </c>
      <c r="J97" s="68"/>
      <c r="K97" t="s">
        <v>41</v>
      </c>
    </row>
    <row r="98" spans="1:11">
      <c r="A98">
        <v>95</v>
      </c>
      <c r="B98" t="s">
        <v>560</v>
      </c>
      <c r="C98" t="s">
        <v>206</v>
      </c>
      <c r="D98" t="s">
        <v>620</v>
      </c>
      <c r="E98" s="68">
        <v>46307</v>
      </c>
      <c r="F98" t="s">
        <v>613</v>
      </c>
      <c r="G98" t="s">
        <v>621</v>
      </c>
      <c r="H98" t="s">
        <v>615</v>
      </c>
      <c r="I98" t="s">
        <v>604</v>
      </c>
      <c r="J98" s="68">
        <v>46314</v>
      </c>
      <c r="K98" t="s">
        <v>41</v>
      </c>
    </row>
    <row r="99" spans="1:11">
      <c r="A99">
        <v>96</v>
      </c>
      <c r="B99" t="s">
        <v>526</v>
      </c>
      <c r="C99" t="s">
        <v>206</v>
      </c>
      <c r="D99" t="s">
        <v>618</v>
      </c>
      <c r="E99" s="68">
        <v>46308</v>
      </c>
      <c r="F99" t="s">
        <v>613</v>
      </c>
      <c r="G99" t="s">
        <v>675</v>
      </c>
      <c r="H99" t="s">
        <v>615</v>
      </c>
      <c r="I99" t="s">
        <v>637</v>
      </c>
      <c r="J99" s="68"/>
      <c r="K99" t="s">
        <v>45</v>
      </c>
    </row>
    <row r="100" spans="1:11">
      <c r="A100">
        <v>97</v>
      </c>
      <c r="B100" t="s">
        <v>530</v>
      </c>
      <c r="C100" t="s">
        <v>206</v>
      </c>
      <c r="D100" t="s">
        <v>618</v>
      </c>
      <c r="E100" s="68">
        <v>46308</v>
      </c>
      <c r="F100" t="s">
        <v>613</v>
      </c>
      <c r="G100" t="s">
        <v>674</v>
      </c>
      <c r="H100" t="s">
        <v>615</v>
      </c>
      <c r="I100" t="s">
        <v>637</v>
      </c>
      <c r="J100" s="68"/>
      <c r="K100" t="s">
        <v>40</v>
      </c>
    </row>
    <row r="101" spans="1:11">
      <c r="A101">
        <v>98</v>
      </c>
      <c r="B101" t="s">
        <v>526</v>
      </c>
      <c r="C101" t="s">
        <v>206</v>
      </c>
      <c r="D101" t="s">
        <v>618</v>
      </c>
      <c r="E101" s="68">
        <v>46309</v>
      </c>
      <c r="F101" t="s">
        <v>613</v>
      </c>
      <c r="G101" t="s">
        <v>675</v>
      </c>
      <c r="H101" t="s">
        <v>615</v>
      </c>
      <c r="I101" t="s">
        <v>637</v>
      </c>
      <c r="J101" s="68"/>
      <c r="K101" t="s">
        <v>45</v>
      </c>
    </row>
    <row r="102" spans="1:11">
      <c r="A102">
        <v>99</v>
      </c>
      <c r="B102" t="s">
        <v>542</v>
      </c>
      <c r="C102" t="s">
        <v>206</v>
      </c>
      <c r="D102" t="s">
        <v>628</v>
      </c>
      <c r="E102" s="68">
        <v>46309</v>
      </c>
      <c r="F102" t="s">
        <v>613</v>
      </c>
      <c r="G102" t="s">
        <v>643</v>
      </c>
      <c r="H102" t="s">
        <v>615</v>
      </c>
      <c r="I102" t="s">
        <v>637</v>
      </c>
      <c r="J102" s="68"/>
      <c r="K102" t="s">
        <v>41</v>
      </c>
    </row>
    <row r="103" spans="1:11">
      <c r="A103">
        <v>100</v>
      </c>
      <c r="B103" t="s">
        <v>530</v>
      </c>
      <c r="C103" t="s">
        <v>206</v>
      </c>
      <c r="D103" t="s">
        <v>618</v>
      </c>
      <c r="E103" s="68">
        <v>46309</v>
      </c>
      <c r="F103" t="s">
        <v>613</v>
      </c>
      <c r="G103" t="s">
        <v>631</v>
      </c>
      <c r="H103" t="s">
        <v>615</v>
      </c>
      <c r="I103" t="s">
        <v>637</v>
      </c>
      <c r="J103" s="68"/>
      <c r="K103" t="s">
        <v>40</v>
      </c>
    </row>
    <row r="104" spans="1:11">
      <c r="A104">
        <v>101</v>
      </c>
      <c r="B104" t="s">
        <v>251</v>
      </c>
      <c r="C104" t="s">
        <v>252</v>
      </c>
      <c r="E104" s="68">
        <v>46309</v>
      </c>
      <c r="F104" t="s">
        <v>613</v>
      </c>
      <c r="G104" t="s">
        <v>676</v>
      </c>
      <c r="H104" t="s">
        <v>615</v>
      </c>
      <c r="I104" t="s">
        <v>604</v>
      </c>
      <c r="J104" s="68">
        <v>46316</v>
      </c>
      <c r="K104" t="s">
        <v>41</v>
      </c>
    </row>
    <row r="105" spans="1:11">
      <c r="A105">
        <v>102</v>
      </c>
      <c r="B105" t="s">
        <v>405</v>
      </c>
      <c r="C105" t="s">
        <v>612</v>
      </c>
      <c r="E105" s="68">
        <v>46313</v>
      </c>
      <c r="F105" t="s">
        <v>613</v>
      </c>
      <c r="G105" t="s">
        <v>670</v>
      </c>
      <c r="H105" t="s">
        <v>615</v>
      </c>
      <c r="I105" t="s">
        <v>604</v>
      </c>
      <c r="J105" s="68">
        <v>46320</v>
      </c>
      <c r="K105" t="s">
        <v>40</v>
      </c>
    </row>
    <row r="106" spans="1:11">
      <c r="A106">
        <v>103</v>
      </c>
      <c r="B106" t="s">
        <v>330</v>
      </c>
      <c r="C106" t="s">
        <v>206</v>
      </c>
      <c r="D106" t="s">
        <v>624</v>
      </c>
      <c r="E106" s="68">
        <v>46313</v>
      </c>
      <c r="F106" t="s">
        <v>613</v>
      </c>
      <c r="G106" t="s">
        <v>650</v>
      </c>
      <c r="H106" t="s">
        <v>615</v>
      </c>
      <c r="I106" t="s">
        <v>604</v>
      </c>
      <c r="J106" s="68">
        <v>46320</v>
      </c>
      <c r="K106" t="s">
        <v>40</v>
      </c>
    </row>
    <row r="107" spans="1:11">
      <c r="A107">
        <v>104</v>
      </c>
      <c r="B107" t="s">
        <v>560</v>
      </c>
      <c r="C107" t="s">
        <v>206</v>
      </c>
      <c r="D107" t="s">
        <v>620</v>
      </c>
      <c r="E107" s="68">
        <v>46313</v>
      </c>
      <c r="F107" t="s">
        <v>613</v>
      </c>
      <c r="G107" t="s">
        <v>677</v>
      </c>
      <c r="H107" t="s">
        <v>615</v>
      </c>
      <c r="I107" t="s">
        <v>604</v>
      </c>
      <c r="J107" s="68">
        <v>46320</v>
      </c>
      <c r="K107" t="s">
        <v>41</v>
      </c>
    </row>
    <row r="108" spans="1:11">
      <c r="A108">
        <v>105</v>
      </c>
      <c r="B108" t="s">
        <v>542</v>
      </c>
      <c r="C108" t="s">
        <v>206</v>
      </c>
      <c r="D108" t="s">
        <v>628</v>
      </c>
      <c r="E108" s="68">
        <v>46313</v>
      </c>
      <c r="F108" t="s">
        <v>613</v>
      </c>
      <c r="G108" t="s">
        <v>643</v>
      </c>
      <c r="H108" t="s">
        <v>615</v>
      </c>
      <c r="I108" t="s">
        <v>637</v>
      </c>
      <c r="J108" s="68"/>
      <c r="K108" t="s">
        <v>41</v>
      </c>
    </row>
    <row r="109" spans="1:11">
      <c r="A109">
        <v>106</v>
      </c>
      <c r="B109" t="s">
        <v>292</v>
      </c>
      <c r="C109" t="s">
        <v>257</v>
      </c>
      <c r="E109" s="68">
        <v>46314</v>
      </c>
      <c r="F109" t="s">
        <v>613</v>
      </c>
      <c r="G109" t="s">
        <v>678</v>
      </c>
      <c r="H109" t="s">
        <v>615</v>
      </c>
      <c r="I109" t="s">
        <v>604</v>
      </c>
      <c r="J109" s="68">
        <v>46321</v>
      </c>
    </row>
    <row r="110" spans="1:11">
      <c r="A110">
        <v>107</v>
      </c>
      <c r="B110" t="s">
        <v>565</v>
      </c>
      <c r="C110" t="s">
        <v>257</v>
      </c>
      <c r="E110" s="68">
        <v>46314</v>
      </c>
      <c r="F110" t="s">
        <v>613</v>
      </c>
      <c r="G110" t="s">
        <v>627</v>
      </c>
      <c r="H110" t="s">
        <v>615</v>
      </c>
      <c r="I110" t="s">
        <v>604</v>
      </c>
      <c r="J110" s="68">
        <v>46321</v>
      </c>
      <c r="K110" t="s">
        <v>39</v>
      </c>
    </row>
    <row r="111" spans="1:11">
      <c r="A111">
        <v>108</v>
      </c>
      <c r="B111" t="s">
        <v>64</v>
      </c>
      <c r="C111" t="s">
        <v>257</v>
      </c>
      <c r="D111" t="s">
        <v>620</v>
      </c>
      <c r="E111" s="68">
        <v>46314</v>
      </c>
      <c r="F111" t="s">
        <v>613</v>
      </c>
      <c r="G111" t="s">
        <v>679</v>
      </c>
      <c r="H111" t="s">
        <v>615</v>
      </c>
      <c r="I111" t="s">
        <v>637</v>
      </c>
      <c r="J111" s="68"/>
      <c r="K111" t="s">
        <v>40</v>
      </c>
    </row>
    <row r="112" spans="1:11">
      <c r="A112">
        <v>109</v>
      </c>
      <c r="B112" t="s">
        <v>381</v>
      </c>
      <c r="C112" t="s">
        <v>612</v>
      </c>
      <c r="E112" s="68">
        <v>46314</v>
      </c>
      <c r="F112" t="s">
        <v>613</v>
      </c>
      <c r="G112" t="s">
        <v>680</v>
      </c>
      <c r="H112" t="s">
        <v>615</v>
      </c>
      <c r="I112" t="s">
        <v>604</v>
      </c>
      <c r="J112" s="68">
        <v>46321</v>
      </c>
      <c r="K112" t="s">
        <v>42</v>
      </c>
    </row>
    <row r="113" spans="1:11">
      <c r="A113">
        <v>110</v>
      </c>
      <c r="B113" t="s">
        <v>65</v>
      </c>
      <c r="C113" t="s">
        <v>206</v>
      </c>
      <c r="D113" t="s">
        <v>620</v>
      </c>
      <c r="E113" s="68">
        <v>46314</v>
      </c>
      <c r="F113" t="s">
        <v>613</v>
      </c>
      <c r="G113" t="s">
        <v>681</v>
      </c>
      <c r="H113" t="s">
        <v>615</v>
      </c>
      <c r="I113" t="s">
        <v>604</v>
      </c>
      <c r="J113" s="68">
        <v>46321</v>
      </c>
      <c r="K113" t="s">
        <v>40</v>
      </c>
    </row>
    <row r="114" spans="1:11">
      <c r="A114">
        <v>111</v>
      </c>
      <c r="B114" t="s">
        <v>565</v>
      </c>
      <c r="C114" t="s">
        <v>257</v>
      </c>
      <c r="E114" s="68">
        <v>46315</v>
      </c>
      <c r="F114" t="s">
        <v>613</v>
      </c>
      <c r="G114" t="s">
        <v>627</v>
      </c>
      <c r="H114" t="s">
        <v>615</v>
      </c>
      <c r="I114" t="s">
        <v>604</v>
      </c>
      <c r="J114" s="68">
        <v>46322</v>
      </c>
      <c r="K114" t="s">
        <v>39</v>
      </c>
    </row>
    <row r="115" spans="1:11">
      <c r="A115">
        <v>112</v>
      </c>
      <c r="B115" t="s">
        <v>212</v>
      </c>
      <c r="C115" t="s">
        <v>215</v>
      </c>
      <c r="D115" t="s">
        <v>620</v>
      </c>
      <c r="E115" s="68">
        <v>46315</v>
      </c>
      <c r="F115" t="s">
        <v>613</v>
      </c>
      <c r="G115" t="s">
        <v>682</v>
      </c>
      <c r="H115" t="s">
        <v>615</v>
      </c>
      <c r="I115" t="s">
        <v>604</v>
      </c>
      <c r="J115" s="68">
        <v>46322</v>
      </c>
      <c r="K115" t="s">
        <v>41</v>
      </c>
    </row>
    <row r="116" spans="1:11">
      <c r="A116">
        <v>113</v>
      </c>
      <c r="B116" t="s">
        <v>538</v>
      </c>
      <c r="C116" t="s">
        <v>206</v>
      </c>
      <c r="D116" t="s">
        <v>622</v>
      </c>
      <c r="E116" s="68">
        <v>46315</v>
      </c>
      <c r="F116" t="s">
        <v>613</v>
      </c>
      <c r="G116" t="s">
        <v>623</v>
      </c>
      <c r="H116" t="s">
        <v>615</v>
      </c>
      <c r="I116" t="s">
        <v>604</v>
      </c>
      <c r="J116" s="68">
        <v>46322</v>
      </c>
      <c r="K116" t="s">
        <v>41</v>
      </c>
    </row>
    <row r="117" spans="1:11">
      <c r="A117">
        <v>114</v>
      </c>
      <c r="B117" t="s">
        <v>256</v>
      </c>
      <c r="C117" t="s">
        <v>257</v>
      </c>
      <c r="E117" s="68">
        <v>46315</v>
      </c>
      <c r="F117" t="s">
        <v>613</v>
      </c>
      <c r="G117" t="s">
        <v>671</v>
      </c>
      <c r="H117" t="s">
        <v>615</v>
      </c>
      <c r="I117" t="s">
        <v>604</v>
      </c>
      <c r="J117" s="68">
        <v>46322</v>
      </c>
      <c r="K117" t="s">
        <v>41</v>
      </c>
    </row>
    <row r="118" spans="1:11">
      <c r="A118">
        <v>115</v>
      </c>
      <c r="B118" t="s">
        <v>270</v>
      </c>
      <c r="C118" t="s">
        <v>653</v>
      </c>
      <c r="E118" s="68">
        <v>46317</v>
      </c>
      <c r="F118" t="s">
        <v>613</v>
      </c>
      <c r="G118" t="s">
        <v>683</v>
      </c>
      <c r="H118" t="s">
        <v>615</v>
      </c>
      <c r="I118" t="s">
        <v>604</v>
      </c>
      <c r="J118" s="68">
        <v>46324</v>
      </c>
      <c r="K118" t="s">
        <v>40</v>
      </c>
    </row>
    <row r="119" spans="1:11">
      <c r="A119">
        <v>116</v>
      </c>
      <c r="B119" t="s">
        <v>440</v>
      </c>
      <c r="C119" t="s">
        <v>612</v>
      </c>
      <c r="E119" s="68">
        <v>46318</v>
      </c>
      <c r="F119" t="s">
        <v>613</v>
      </c>
      <c r="G119" t="s">
        <v>684</v>
      </c>
      <c r="H119" t="s">
        <v>615</v>
      </c>
      <c r="I119" t="s">
        <v>637</v>
      </c>
      <c r="J119" s="68"/>
      <c r="K119" t="s">
        <v>40</v>
      </c>
    </row>
    <row r="120" spans="1:11">
      <c r="A120">
        <v>117</v>
      </c>
      <c r="B120" t="s">
        <v>530</v>
      </c>
      <c r="C120" t="s">
        <v>206</v>
      </c>
      <c r="D120" t="s">
        <v>618</v>
      </c>
      <c r="E120" s="68">
        <v>46318</v>
      </c>
      <c r="F120" t="s">
        <v>613</v>
      </c>
      <c r="G120" t="s">
        <v>685</v>
      </c>
      <c r="H120" t="s">
        <v>615</v>
      </c>
      <c r="I120" t="s">
        <v>604</v>
      </c>
      <c r="J120" s="68">
        <v>46325</v>
      </c>
      <c r="K120" t="s">
        <v>40</v>
      </c>
    </row>
    <row r="121" spans="1:11">
      <c r="A121">
        <v>118</v>
      </c>
      <c r="B121" t="s">
        <v>542</v>
      </c>
      <c r="C121" t="s">
        <v>206</v>
      </c>
      <c r="D121" t="s">
        <v>628</v>
      </c>
      <c r="E121" s="68">
        <v>46320</v>
      </c>
      <c r="F121" t="s">
        <v>613</v>
      </c>
      <c r="G121" t="s">
        <v>629</v>
      </c>
      <c r="H121" t="s">
        <v>615</v>
      </c>
      <c r="I121" t="s">
        <v>637</v>
      </c>
      <c r="J121" s="68"/>
      <c r="K121" t="s">
        <v>41</v>
      </c>
    </row>
    <row r="122" spans="1:11">
      <c r="A122">
        <v>119</v>
      </c>
      <c r="B122" t="s">
        <v>530</v>
      </c>
      <c r="C122" t="s">
        <v>206</v>
      </c>
      <c r="D122" t="s">
        <v>618</v>
      </c>
      <c r="E122" s="68">
        <v>46320</v>
      </c>
      <c r="F122" t="s">
        <v>613</v>
      </c>
      <c r="G122" t="s">
        <v>686</v>
      </c>
      <c r="H122" t="s">
        <v>615</v>
      </c>
      <c r="I122" t="s">
        <v>604</v>
      </c>
      <c r="J122" s="68">
        <v>46327</v>
      </c>
      <c r="K122" t="s">
        <v>40</v>
      </c>
    </row>
    <row r="123" spans="1:11">
      <c r="A123">
        <v>120</v>
      </c>
      <c r="B123" t="s">
        <v>177</v>
      </c>
      <c r="C123" t="s">
        <v>633</v>
      </c>
      <c r="E123" s="68">
        <v>46320</v>
      </c>
      <c r="F123" t="s">
        <v>613</v>
      </c>
      <c r="G123" t="s">
        <v>634</v>
      </c>
      <c r="H123" t="s">
        <v>615</v>
      </c>
      <c r="I123" t="s">
        <v>637</v>
      </c>
      <c r="J123" s="68"/>
      <c r="K123" t="s">
        <v>41</v>
      </c>
    </row>
    <row r="124" spans="1:11">
      <c r="A124">
        <v>121</v>
      </c>
      <c r="B124" t="s">
        <v>212</v>
      </c>
      <c r="C124" t="s">
        <v>215</v>
      </c>
      <c r="D124" t="s">
        <v>620</v>
      </c>
      <c r="E124" s="68">
        <v>46321</v>
      </c>
      <c r="F124" t="s">
        <v>613</v>
      </c>
      <c r="G124" t="s">
        <v>687</v>
      </c>
      <c r="H124" t="s">
        <v>615</v>
      </c>
      <c r="I124" t="s">
        <v>604</v>
      </c>
      <c r="J124" s="68">
        <v>46328</v>
      </c>
      <c r="K124" t="s">
        <v>41</v>
      </c>
    </row>
    <row r="125" spans="1:11">
      <c r="A125">
        <v>122</v>
      </c>
      <c r="B125" t="s">
        <v>270</v>
      </c>
      <c r="C125" t="s">
        <v>653</v>
      </c>
      <c r="E125" s="68">
        <v>46321</v>
      </c>
      <c r="F125" t="s">
        <v>613</v>
      </c>
      <c r="G125" t="s">
        <v>688</v>
      </c>
      <c r="H125" t="s">
        <v>615</v>
      </c>
      <c r="I125" t="s">
        <v>604</v>
      </c>
      <c r="J125" s="68">
        <v>46328</v>
      </c>
      <c r="K125" t="s">
        <v>40</v>
      </c>
    </row>
    <row r="126" spans="1:11">
      <c r="A126">
        <v>123</v>
      </c>
      <c r="B126" t="s">
        <v>292</v>
      </c>
      <c r="C126" t="s">
        <v>257</v>
      </c>
      <c r="E126" s="68">
        <v>46322</v>
      </c>
      <c r="F126" t="s">
        <v>613</v>
      </c>
      <c r="G126" t="s">
        <v>640</v>
      </c>
      <c r="H126" t="s">
        <v>615</v>
      </c>
      <c r="I126" t="s">
        <v>604</v>
      </c>
      <c r="J126" s="68">
        <v>46329</v>
      </c>
    </row>
    <row r="127" spans="1:11">
      <c r="A127">
        <v>124</v>
      </c>
      <c r="B127" t="s">
        <v>440</v>
      </c>
      <c r="C127" t="s">
        <v>612</v>
      </c>
      <c r="E127" s="68">
        <v>46322</v>
      </c>
      <c r="F127" t="s">
        <v>613</v>
      </c>
      <c r="G127" t="s">
        <v>684</v>
      </c>
      <c r="H127" t="s">
        <v>615</v>
      </c>
      <c r="I127" t="s">
        <v>637</v>
      </c>
      <c r="J127" s="68"/>
      <c r="K127" t="s">
        <v>40</v>
      </c>
    </row>
    <row r="128" spans="1:11">
      <c r="A128">
        <v>125</v>
      </c>
      <c r="B128" t="s">
        <v>256</v>
      </c>
      <c r="C128" t="s">
        <v>257</v>
      </c>
      <c r="E128" s="68">
        <v>46322</v>
      </c>
      <c r="F128" t="s">
        <v>613</v>
      </c>
      <c r="G128" t="s">
        <v>671</v>
      </c>
      <c r="H128" t="s">
        <v>615</v>
      </c>
      <c r="I128" t="s">
        <v>604</v>
      </c>
      <c r="J128" s="68">
        <v>46329</v>
      </c>
      <c r="K128" t="s">
        <v>41</v>
      </c>
    </row>
    <row r="129" spans="1:11">
      <c r="A129">
        <v>126</v>
      </c>
      <c r="B129" t="s">
        <v>292</v>
      </c>
      <c r="C129" t="s">
        <v>257</v>
      </c>
      <c r="E129" s="68">
        <v>46323</v>
      </c>
      <c r="F129" t="s">
        <v>613</v>
      </c>
      <c r="G129" t="s">
        <v>640</v>
      </c>
      <c r="H129" t="s">
        <v>615</v>
      </c>
      <c r="I129" t="s">
        <v>604</v>
      </c>
      <c r="J129" s="68">
        <v>46330</v>
      </c>
    </row>
    <row r="130" spans="1:11">
      <c r="A130">
        <v>127</v>
      </c>
      <c r="B130" t="s">
        <v>261</v>
      </c>
      <c r="C130" t="s">
        <v>653</v>
      </c>
      <c r="E130" s="68">
        <v>46323</v>
      </c>
      <c r="F130" t="s">
        <v>613</v>
      </c>
      <c r="G130" t="s">
        <v>689</v>
      </c>
      <c r="H130" t="s">
        <v>615</v>
      </c>
      <c r="I130" t="s">
        <v>604</v>
      </c>
      <c r="J130" s="68">
        <v>46330</v>
      </c>
      <c r="K130" t="s">
        <v>41</v>
      </c>
    </row>
    <row r="131" spans="1:11">
      <c r="A131">
        <v>128</v>
      </c>
      <c r="B131" t="s">
        <v>246</v>
      </c>
      <c r="C131" t="s">
        <v>215</v>
      </c>
      <c r="E131" s="68">
        <v>46323</v>
      </c>
      <c r="F131" t="s">
        <v>613</v>
      </c>
      <c r="G131" t="s">
        <v>690</v>
      </c>
      <c r="H131" t="s">
        <v>615</v>
      </c>
      <c r="I131" t="s">
        <v>604</v>
      </c>
      <c r="J131" s="68">
        <v>46330</v>
      </c>
      <c r="K131" t="s">
        <v>41</v>
      </c>
    </row>
    <row r="132" spans="1:11">
      <c r="A132">
        <v>129</v>
      </c>
      <c r="B132" t="s">
        <v>521</v>
      </c>
      <c r="C132" t="s">
        <v>206</v>
      </c>
      <c r="D132" t="s">
        <v>618</v>
      </c>
      <c r="E132" s="68">
        <v>46323</v>
      </c>
      <c r="F132" t="s">
        <v>613</v>
      </c>
      <c r="G132" t="s">
        <v>691</v>
      </c>
      <c r="H132" t="s">
        <v>615</v>
      </c>
      <c r="I132" t="s">
        <v>604</v>
      </c>
      <c r="J132" s="68">
        <v>46330</v>
      </c>
      <c r="K132" t="s">
        <v>39</v>
      </c>
    </row>
    <row r="133" spans="1:11">
      <c r="A133">
        <v>130</v>
      </c>
      <c r="B133" t="s">
        <v>256</v>
      </c>
      <c r="C133" t="s">
        <v>257</v>
      </c>
      <c r="E133" s="68">
        <v>46323</v>
      </c>
      <c r="F133" t="s">
        <v>613</v>
      </c>
      <c r="G133" t="s">
        <v>671</v>
      </c>
      <c r="H133" t="s">
        <v>615</v>
      </c>
      <c r="I133" t="s">
        <v>604</v>
      </c>
      <c r="J133" s="68">
        <v>46330</v>
      </c>
      <c r="K133" t="s">
        <v>41</v>
      </c>
    </row>
    <row r="134" spans="1:11">
      <c r="A134">
        <v>131</v>
      </c>
      <c r="B134" t="s">
        <v>553</v>
      </c>
      <c r="C134" t="s">
        <v>215</v>
      </c>
      <c r="D134" t="s">
        <v>620</v>
      </c>
      <c r="E134" s="68">
        <v>46323</v>
      </c>
      <c r="F134" t="s">
        <v>613</v>
      </c>
      <c r="G134" t="s">
        <v>692</v>
      </c>
      <c r="H134" t="s">
        <v>615</v>
      </c>
      <c r="I134" t="s">
        <v>604</v>
      </c>
      <c r="J134" s="68">
        <v>46330</v>
      </c>
      <c r="K134" t="s">
        <v>41</v>
      </c>
    </row>
    <row r="135" spans="1:11">
      <c r="A135">
        <v>132</v>
      </c>
      <c r="B135" t="s">
        <v>64</v>
      </c>
      <c r="C135" t="s">
        <v>257</v>
      </c>
      <c r="D135" t="s">
        <v>620</v>
      </c>
      <c r="E135" s="68">
        <v>46324</v>
      </c>
      <c r="F135" t="s">
        <v>613</v>
      </c>
      <c r="G135" t="s">
        <v>693</v>
      </c>
      <c r="H135" t="s">
        <v>615</v>
      </c>
      <c r="I135" t="s">
        <v>604</v>
      </c>
      <c r="J135" s="68">
        <v>46331</v>
      </c>
      <c r="K135" t="s">
        <v>40</v>
      </c>
    </row>
    <row r="136" spans="1:11">
      <c r="A136">
        <v>133</v>
      </c>
      <c r="B136" t="s">
        <v>490</v>
      </c>
      <c r="C136" t="s">
        <v>206</v>
      </c>
      <c r="D136" t="s">
        <v>618</v>
      </c>
      <c r="E136" s="68">
        <v>46324</v>
      </c>
      <c r="F136" t="s">
        <v>613</v>
      </c>
      <c r="G136" t="s">
        <v>694</v>
      </c>
      <c r="H136" t="s">
        <v>615</v>
      </c>
      <c r="I136" t="s">
        <v>604</v>
      </c>
      <c r="J136" s="68">
        <v>46331</v>
      </c>
      <c r="K136" t="s">
        <v>39</v>
      </c>
    </row>
    <row r="137" spans="1:11">
      <c r="A137">
        <v>134</v>
      </c>
      <c r="B137" t="s">
        <v>440</v>
      </c>
      <c r="C137" t="s">
        <v>612</v>
      </c>
      <c r="E137" s="68">
        <v>46324</v>
      </c>
      <c r="F137" t="s">
        <v>613</v>
      </c>
      <c r="G137" t="s">
        <v>695</v>
      </c>
      <c r="H137" t="s">
        <v>615</v>
      </c>
      <c r="I137" t="s">
        <v>637</v>
      </c>
      <c r="J137" s="68"/>
      <c r="K137" t="s">
        <v>40</v>
      </c>
    </row>
    <row r="138" spans="1:11">
      <c r="A138">
        <v>135</v>
      </c>
      <c r="B138" t="s">
        <v>270</v>
      </c>
      <c r="C138" t="s">
        <v>653</v>
      </c>
      <c r="E138" s="68">
        <v>46324</v>
      </c>
      <c r="F138" t="s">
        <v>613</v>
      </c>
      <c r="G138" t="s">
        <v>696</v>
      </c>
      <c r="H138" t="s">
        <v>615</v>
      </c>
      <c r="I138" t="s">
        <v>604</v>
      </c>
      <c r="J138" s="68">
        <v>46331</v>
      </c>
      <c r="K138" t="s">
        <v>40</v>
      </c>
    </row>
    <row r="139" spans="1:11">
      <c r="A139">
        <v>136</v>
      </c>
      <c r="B139" t="s">
        <v>463</v>
      </c>
      <c r="C139" t="s">
        <v>206</v>
      </c>
      <c r="D139" t="s">
        <v>618</v>
      </c>
      <c r="E139" s="68">
        <v>46324</v>
      </c>
      <c r="F139" t="s">
        <v>613</v>
      </c>
      <c r="G139" t="s">
        <v>697</v>
      </c>
      <c r="H139" t="s">
        <v>615</v>
      </c>
      <c r="I139" t="s">
        <v>604</v>
      </c>
      <c r="J139" s="68">
        <v>46331</v>
      </c>
      <c r="K139" t="s">
        <v>42</v>
      </c>
    </row>
    <row r="140" spans="1:11">
      <c r="A140">
        <v>137</v>
      </c>
      <c r="B140" t="s">
        <v>440</v>
      </c>
      <c r="C140" t="s">
        <v>612</v>
      </c>
      <c r="E140" s="68">
        <v>46325</v>
      </c>
      <c r="F140" t="s">
        <v>613</v>
      </c>
      <c r="G140" t="s">
        <v>684</v>
      </c>
      <c r="H140" t="s">
        <v>615</v>
      </c>
      <c r="I140" t="s">
        <v>604</v>
      </c>
      <c r="J140" s="68">
        <v>46332</v>
      </c>
      <c r="K140" t="s">
        <v>40</v>
      </c>
    </row>
  </sheetData>
  <autoFilter ref="A3:K28" xr:uid="{00000000-0009-0000-0000-000006000000}"/>
  <phoneticPr fontId="3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5"/>
  <cols>
    <col min="1" max="1" width="2" customWidth="1"/>
    <col min="2" max="2" width="30" customWidth="1"/>
    <col min="3" max="4" width="75" customWidth="1"/>
  </cols>
  <sheetData>
    <row r="1" spans="1:4" ht="18.95">
      <c r="A1" s="34" t="s">
        <v>698</v>
      </c>
    </row>
    <row r="3" spans="1:4">
      <c r="B3" s="35" t="s">
        <v>699</v>
      </c>
      <c r="C3" s="35" t="s">
        <v>700</v>
      </c>
      <c r="D3" s="35" t="s">
        <v>701</v>
      </c>
    </row>
    <row r="4" spans="1:4" ht="20.100000000000001" customHeight="1">
      <c r="B4" s="36" t="s">
        <v>702</v>
      </c>
      <c r="C4" s="37" t="s">
        <v>703</v>
      </c>
      <c r="D4" s="38">
        <v>7</v>
      </c>
    </row>
    <row r="5" spans="1:4" ht="45.95" customHeight="1">
      <c r="B5" s="36" t="s">
        <v>704</v>
      </c>
      <c r="C5" s="39" t="s">
        <v>705</v>
      </c>
      <c r="D5" s="39" t="s">
        <v>706</v>
      </c>
    </row>
    <row r="6" spans="1:4" ht="45.95" customHeight="1">
      <c r="B6" s="36" t="s">
        <v>12</v>
      </c>
      <c r="C6" s="39" t="s">
        <v>707</v>
      </c>
      <c r="D6" s="39" t="s">
        <v>708</v>
      </c>
    </row>
    <row r="7" spans="1:4" ht="45.95" customHeight="1">
      <c r="B7" s="36" t="s">
        <v>709</v>
      </c>
      <c r="C7" s="39" t="s">
        <v>710</v>
      </c>
      <c r="D7" s="39" t="s">
        <v>711</v>
      </c>
    </row>
    <row r="8" spans="1:4" ht="45.95" customHeight="1">
      <c r="B8" s="36" t="s">
        <v>712</v>
      </c>
      <c r="C8" s="39" t="s">
        <v>713</v>
      </c>
      <c r="D8" s="39" t="s">
        <v>714</v>
      </c>
    </row>
    <row r="9" spans="1:4" ht="45.95" customHeight="1">
      <c r="B9" s="36" t="s">
        <v>715</v>
      </c>
      <c r="C9" s="39" t="s">
        <v>716</v>
      </c>
      <c r="D9" s="39" t="s">
        <v>717</v>
      </c>
    </row>
    <row r="10" spans="1:4" ht="45.95" customHeight="1">
      <c r="B10" s="36" t="s">
        <v>718</v>
      </c>
      <c r="C10" s="39" t="s">
        <v>719</v>
      </c>
      <c r="D10" s="39" t="s">
        <v>720</v>
      </c>
    </row>
    <row r="11" spans="1:4" ht="45.95" customHeight="1">
      <c r="B11" s="36" t="s">
        <v>721</v>
      </c>
      <c r="C11" s="39" t="s">
        <v>722</v>
      </c>
      <c r="D11" s="39" t="s">
        <v>723</v>
      </c>
    </row>
    <row r="12" spans="1:4" ht="45.95" customHeight="1">
      <c r="B12" s="36" t="s">
        <v>724</v>
      </c>
      <c r="C12" s="39" t="s">
        <v>725</v>
      </c>
      <c r="D12" s="39" t="s">
        <v>726</v>
      </c>
    </row>
    <row r="13" spans="1:4" ht="45.95" customHeight="1">
      <c r="B13" s="36" t="s">
        <v>727</v>
      </c>
      <c r="C13" s="39" t="s">
        <v>728</v>
      </c>
      <c r="D13" s="39" t="s">
        <v>729</v>
      </c>
    </row>
    <row r="14" spans="1:4" ht="45.95" customHeight="1">
      <c r="B14" s="36" t="s">
        <v>730</v>
      </c>
      <c r="C14" s="39" t="s">
        <v>731</v>
      </c>
      <c r="D14" s="39" t="s">
        <v>732</v>
      </c>
    </row>
    <row r="15" spans="1:4" ht="45.95" customHeight="1">
      <c r="B15" s="36" t="s">
        <v>733</v>
      </c>
      <c r="C15" s="39" t="s">
        <v>734</v>
      </c>
      <c r="D15" s="39" t="s">
        <v>735</v>
      </c>
    </row>
  </sheetData>
  <phoneticPr fontId="3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Park Changbae (Aiden)</cp:lastModifiedBy>
  <cp:revision/>
  <dcterms:created xsi:type="dcterms:W3CDTF">2026-10-19T01:32:22Z</dcterms:created>
  <dcterms:modified xsi:type="dcterms:W3CDTF">2026-10-30T09:12:49Z</dcterms:modified>
  <cp:category/>
  <cp:contentStatus/>
</cp:coreProperties>
</file>