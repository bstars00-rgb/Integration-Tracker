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522" documentId="13_ncr:1_{0F904C33-17B9-4CDF-A4CC-3C44E91FED1A}" xr6:coauthVersionLast="47" xr6:coauthVersionMax="47" xr10:uidLastSave="{1737F35F-67EF-422F-9C6C-A2543543F46A}"/>
  <bookViews>
    <workbookView xWindow="-38400" yWindow="0" windowWidth="29250" windowHeight="15480" firstSheet="1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B10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J9" i="9"/>
  <c r="B9" i="9"/>
  <c r="E4" i="9"/>
  <c r="K8" i="9" s="1"/>
  <c r="K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Y10" i="6"/>
  <c r="Z10" i="6" s="1"/>
  <c r="AA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V56" i="5"/>
  <c r="W56" i="5" s="1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V17" i="3"/>
  <c r="W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V15" i="3"/>
  <c r="W15" i="3" s="1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V11" i="3"/>
  <c r="W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V5" i="3"/>
  <c r="W5" i="3" s="1"/>
  <c r="X5" i="3" s="1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X11" i="3" l="1"/>
  <c r="Z11" i="3" s="1"/>
  <c r="Y11" i="3"/>
  <c r="Y17" i="3"/>
  <c r="X17" i="3"/>
  <c r="L8" i="9"/>
  <c r="L7" i="9" s="1"/>
  <c r="K6" i="9"/>
  <c r="R9" i="5"/>
  <c r="S9" i="5" s="1"/>
  <c r="B9" i="5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AC15" i="6" s="1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91" i="5"/>
  <c r="U91" i="5"/>
  <c r="AB9" i="6"/>
  <c r="B23" i="6"/>
  <c r="U23" i="6"/>
  <c r="Y6" i="3"/>
  <c r="R14" i="3"/>
  <c r="S17" i="3"/>
  <c r="B17" i="3"/>
  <c r="R50" i="5"/>
  <c r="R17" i="3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17" i="3" l="1"/>
  <c r="Z22" i="5"/>
  <c r="AC5" i="2"/>
  <c r="AC19" i="6"/>
  <c r="M8" i="9"/>
  <c r="M7" i="9" s="1"/>
  <c r="L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A2" i="5" l="1"/>
  <c r="V22" i="1"/>
  <c r="N8" i="9"/>
  <c r="N7" i="9" s="1"/>
  <c r="M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O8" i="9" l="1"/>
  <c r="O7" i="9" s="1"/>
  <c r="N6" i="9"/>
  <c r="U18" i="1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I7" i="9" s="1"/>
  <c r="AH6" i="9"/>
  <c r="AJ8" i="9" l="1"/>
  <c r="AI6" i="9"/>
  <c r="AJ6" i="9" l="1"/>
  <c r="AJ7" i="9"/>
</calcChain>
</file>

<file path=xl/sharedStrings.xml><?xml version="1.0" encoding="utf-8"?>
<sst xmlns="http://schemas.openxmlformats.org/spreadsheetml/2006/main" count="2706" uniqueCount="672">
  <si>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</si>
  <si>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</si>
  <si>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</si>
  <si>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</si>
  <si>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</si>
  <si>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</si>
  <si>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</si>
  <si>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</si>
  <si>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</si>
  <si>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</si>
  <si>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</si>
  <si>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</si>
  <si>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</si>
  <si>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</si>
  <si>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</si>
  <si>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</si>
  <si>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</si>
  <si>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</si>
  <si>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</si>
  <si>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</si>
  <si>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</si>
  <si>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</si>
  <si>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</si>
  <si>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</si>
  <si>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</si>
  <si>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</si>
  <si>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</si>
  <si>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</si>
  <si>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</si>
  <si>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</si>
  <si>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</si>
  <si>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</si>
  <si>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</si>
  <si>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</si>
  <si>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</si>
  <si>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</si>
  <si>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</si>
  <si>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</si>
  <si>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</si>
  <si>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</si>
  <si>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</si>
  <si>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</si>
  <si>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</si>
  <si>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</si>
  <si>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</si>
  <si>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</si>
  <si>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</si>
  <si>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</si>
  <si>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</si>
  <si>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</si>
  <si>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</si>
  <si>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</si>
  <si>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</si>
  <si>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</si>
  <si>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</si>
  <si>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</si>
  <si>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</si>
  <si>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</si>
  <si>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</si>
  <si>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</si>
  <si>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</si>
  <si>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</si>
  <si>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</si>
  <si>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</si>
  <si>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</si>
  <si>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</si>
  <si>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</si>
  <si>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</si>
  <si>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</si>
  <si>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</si>
  <si>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</si>
  <si>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</si>
  <si>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</si>
  <si>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</si>
  <si>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</si>
  <si>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</si>
  <si>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</si>
  <si>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</si>
  <si>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</si>
  <si>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</si>
  <si>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</si>
  <si>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</si>
  <si>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</si>
  <si>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</si>
  <si>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</si>
  <si>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</si>
  <si>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</si>
  <si>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</si>
  <si>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업체코드
Vendor Code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</si>
  <si>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</si>
  <si>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</si>
  <si>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</si>
  <si>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</si>
  <si>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</si>
  <si>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</si>
  <si>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</si>
  <si>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ABC Travel Service</t>
  </si>
  <si>
    <t>Tan</t>
  </si>
  <si>
    <t>STAYLAH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</si>
  <si>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</si>
  <si>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</si>
  <si>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</si>
  <si>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</si>
  <si>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</si>
  <si>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</si>
  <si>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</si>
  <si>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</si>
  <si>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</si>
  <si>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</si>
  <si>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</si>
  <si>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</si>
  <si>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</si>
  <si>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</si>
  <si>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</si>
  <si>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</si>
  <si>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</si>
  <si>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</si>
  <si>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</si>
  <si>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</si>
  <si>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</si>
  <si>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</si>
  <si>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</si>
  <si>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</si>
  <si>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</si>
  <si>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</si>
  <si>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</si>
  <si>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</si>
  <si>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</si>
  <si>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</si>
  <si>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</si>
  <si>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</si>
  <si>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</si>
  <si>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</si>
  <si>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</si>
  <si>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</si>
  <si>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</si>
  <si>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</si>
  <si>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</si>
  <si>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</si>
  <si>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</si>
  <si>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</si>
  <si>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</si>
  <si>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</si>
  <si>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</si>
  <si>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</si>
  <si>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</si>
  <si>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</si>
  <si>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</si>
  <si>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</si>
  <si>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</si>
  <si>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</si>
  <si>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</si>
  <si>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</si>
  <si>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</si>
  <si>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</si>
  <si>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</si>
  <si>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</si>
  <si>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</si>
  <si>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</si>
  <si>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</si>
  <si>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</si>
  <si>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</si>
  <si>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</si>
  <si>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</si>
  <si>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</si>
  <si>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</si>
  <si>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</si>
  <si>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</si>
  <si>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</si>
  <si>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</si>
  <si>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</si>
  <si>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</si>
  <si>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</si>
  <si>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</si>
  <si>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</si>
  <si>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</si>
  <si>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</si>
  <si>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</si>
  <si>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</si>
  <si>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</si>
  <si>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</si>
  <si>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</si>
  <si>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</si>
  <si>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</si>
  <si>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</si>
  <si>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</si>
  <si>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</si>
  <si>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</si>
  <si>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</si>
  <si>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</si>
  <si>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</si>
  <si>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</si>
  <si>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</si>
  <si>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</si>
  <si>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</si>
  <si>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</si>
  <si>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</si>
  <si>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</si>
  <si>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</si>
  <si>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</si>
  <si>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</si>
  <si>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</si>
  <si>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</si>
  <si>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</si>
  <si>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</si>
  <si>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</si>
  <si>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</si>
  <si>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</si>
  <si>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</si>
  <si>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</si>
  <si>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</si>
  <si>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</si>
  <si>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</si>
  <si>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</si>
  <si>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</si>
  <si>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</si>
  <si>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</si>
  <si>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</si>
  <si>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</si>
  <si>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</si>
  <si>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</si>
  <si>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</si>
  <si>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</si>
  <si>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</si>
  <si>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</si>
  <si>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</si>
  <si>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</si>
  <si>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</si>
  <si>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</si>
  <si>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</si>
  <si>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</si>
  <si>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</si>
  <si>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</si>
  <si>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</si>
  <si>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</si>
  <si>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</si>
  <si>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</si>
  <si>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</si>
  <si>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</si>
  <si>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</si>
  <si>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</si>
  <si>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</si>
  <si>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</si>
  <si>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</si>
  <si>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</si>
  <si>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</si>
  <si>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</si>
  <si>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</si>
  <si>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</si>
  <si>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</si>
  <si>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</si>
  <si>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</si>
  <si>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</si>
  <si>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</si>
  <si>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</si>
  <si>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</si>
  <si>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</si>
  <si>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</si>
  <si>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</si>
  <si>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</si>
  <si>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</si>
  <si>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</si>
  <si>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</si>
  <si>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</si>
  <si>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</si>
  <si>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</si>
  <si>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</si>
  <si>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</si>
  <si>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</si>
  <si>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</si>
  <si>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</si>
  <si>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</si>
  <si>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</si>
  <si>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</si>
  <si>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</si>
  <si>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</si>
  <si>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</si>
  <si>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</si>
  <si>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</si>
  <si>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</si>
  <si>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</si>
  <si>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</si>
  <si>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</si>
  <si>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</si>
  <si>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</si>
  <si>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</si>
  <si>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</si>
  <si>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</si>
  <si>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</si>
  <si>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</si>
  <si>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</si>
  <si>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</si>
  <si>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Live</t>
    <phoneticPr fontId="37" type="noConversion"/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</si>
  <si>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</si>
  <si>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</si>
  <si>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</si>
  <si>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</si>
  <si>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</si>
  <si>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</si>
  <si>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</si>
  <si>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</si>
  <si>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</si>
  <si>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</si>
  <si>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</si>
  <si>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</si>
  <si>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</si>
  <si>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</si>
  <si>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</si>
  <si>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</si>
  <si>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</si>
  <si>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</si>
  <si>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</si>
  <si>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</si>
  <si>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</si>
  <si>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</si>
  <si>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</si>
  <si>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</si>
  <si>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</si>
  <si>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</si>
  <si>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</si>
  <si>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</si>
  <si>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</si>
  <si>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</si>
  <si>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</si>
  <si>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</si>
  <si>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</si>
  <si>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</si>
  <si>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</si>
  <si>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</si>
  <si>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</si>
  <si>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</si>
  <si>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</si>
  <si>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</si>
  <si>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</si>
  <si>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</si>
  <si>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</si>
  <si>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</si>
  <si>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</si>
  <si>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</si>
  <si>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</si>
  <si>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</si>
  <si>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</si>
  <si>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</si>
  <si>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</si>
  <si>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</si>
  <si>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</si>
  <si>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</si>
  <si>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</si>
  <si>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</si>
  <si>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</si>
  <si>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</si>
  <si>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</si>
  <si>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</si>
  <si>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</si>
  <si>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</si>
  <si>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</si>
  <si>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</si>
  <si>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</si>
  <si>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</si>
  <si>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</si>
  <si>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</si>
  <si>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</si>
  <si>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</si>
  <si>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</si>
  <si>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</si>
  <si>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</si>
  <si>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</si>
  <si>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</si>
  <si>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</si>
  <si>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</si>
  <si>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</si>
  <si>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</si>
  <si>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</si>
  <si>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</si>
  <si>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</si>
  <si>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</si>
  <si>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</si>
  <si>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</si>
  <si>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</si>
  <si>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</si>
  <si>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</si>
  <si>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</si>
  <si>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</si>
  <si>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</si>
  <si>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</si>
  <si>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</si>
  <si>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</si>
  <si>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</si>
  <si>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</si>
  <si>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</si>
  <si>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</si>
  <si>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</si>
  <si>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</si>
  <si>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</si>
  <si>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</si>
  <si>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</si>
  <si>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</si>
  <si>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</si>
  <si>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</si>
  <si>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</si>
  <si>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</si>
  <si>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</si>
  <si>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</si>
  <si>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</si>
  <si>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</si>
  <si>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</si>
  <si>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</si>
  <si>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</si>
  <si>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</si>
  <si>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</si>
  <si>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</si>
  <si>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</si>
  <si>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</si>
  <si>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</si>
  <si>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</si>
  <si>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</si>
  <si>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</si>
  <si>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</si>
  <si>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</si>
  <si>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</si>
  <si>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</si>
  <si>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</si>
  <si>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</si>
  <si>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</si>
  <si>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</si>
  <si>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</si>
  <si>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</si>
  <si>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</si>
  <si>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</si>
  <si>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</si>
  <si>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</si>
  <si>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</si>
  <si>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</si>
  <si>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</si>
  <si>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</si>
  <si>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</si>
  <si>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</si>
  <si>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</si>
  <si>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</si>
  <si>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</si>
  <si>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</si>
  <si>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</si>
  <si>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</si>
  <si>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</si>
  <si>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</si>
  <si>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</si>
  <si>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</si>
  <si>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</si>
  <si>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</si>
  <si>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</si>
  <si>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</si>
  <si>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</si>
  <si>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</si>
  <si>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</si>
  <si>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</si>
  <si>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</si>
  <si>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</si>
  <si>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</si>
  <si>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</si>
  <si>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</si>
  <si>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</si>
  <si>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</si>
  <si>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</si>
  <si>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</si>
  <si>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</si>
  <si>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</si>
  <si>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</si>
  <si>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</si>
  <si>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</si>
  <si>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</si>
  <si>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</si>
  <si>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</si>
  <si>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</si>
  <si>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</si>
  <si>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</si>
  <si>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</si>
  <si>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</si>
  <si>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</si>
  <si>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</si>
  <si>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</si>
  <si>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</si>
  <si>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</si>
  <si>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</si>
  <si>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</si>
  <si>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</si>
  <si>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</si>
  <si>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</si>
  <si>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</si>
  <si>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</si>
  <si>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</si>
  <si>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</si>
  <si>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</si>
  <si>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</si>
  <si>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</si>
  <si>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</si>
  <si>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</si>
  <si>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</si>
  <si>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</si>
  <si>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</si>
  <si>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</si>
  <si>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</si>
  <si>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</si>
  <si>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</si>
  <si>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</si>
  <si>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</si>
  <si>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</si>
  <si>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</si>
  <si>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</si>
  <si>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</si>
  <si>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</si>
  <si>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</si>
  <si>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</si>
  <si>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</si>
  <si>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</si>
  <si>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</si>
  <si>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</si>
  <si>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</si>
  <si>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</si>
  <si>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</si>
  <si>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</si>
  <si>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</si>
  <si>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</si>
  <si>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</si>
  <si>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</si>
  <si>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</si>
  <si>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</si>
  <si>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</si>
  <si>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</si>
  <si>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</si>
  <si>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</si>
  <si>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</si>
  <si>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</si>
  <si>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</si>
  <si>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</si>
  <si>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</si>
  <si>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</si>
  <si>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</si>
  <si>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</si>
  <si>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</si>
  <si>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</si>
  <si>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</si>
  <si>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</si>
  <si>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</si>
  <si>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</si>
  <si>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</si>
  <si>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</si>
  <si>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</si>
  <si>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</si>
  <si>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</si>
  <si>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</si>
  <si>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</si>
  <si>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</si>
  <si>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</si>
  <si>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</si>
  <si>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</si>
  <si>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</si>
  <si>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</si>
  <si>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</si>
  <si>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</si>
  <si>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</si>
  <si>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</si>
  <si>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</si>
  <si>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</si>
  <si>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</si>
  <si>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</si>
  <si>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</si>
  <si>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</si>
  <si>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</si>
  <si>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</si>
  <si>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</si>
  <si>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</si>
  <si>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</si>
  <si>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</si>
  <si>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</si>
  <si>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</si>
  <si>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</si>
  <si>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</si>
  <si>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</si>
  <si>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</si>
  <si>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</si>
  <si>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</si>
  <si>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</si>
  <si>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</si>
  <si>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</si>
  <si>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</si>
  <si>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</si>
  <si>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</si>
  <si>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</si>
  <si>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</si>
  <si>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</si>
  <si>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</si>
  <si>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</si>
  <si>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</si>
  <si>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</si>
  <si>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</si>
  <si>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</si>
  <si>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</si>
  <si>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</si>
  <si>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</si>
  <si>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</si>
  <si>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</si>
  <si>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</si>
  <si>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</si>
  <si>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</si>
  <si>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</si>
  <si>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</si>
  <si>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</si>
  <si>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</si>
  <si>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</si>
  <si>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</si>
  <si>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</si>
  <si>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OMH Supply</t>
  </si>
  <si>
    <t>Email</t>
  </si>
  <si>
    <t>Daniel @ Giftronaut</t>
  </si>
  <si>
    <t>메일 활동 자동 기록 (auto from mailbox)</t>
  </si>
  <si>
    <t>info</t>
  </si>
  <si>
    <t>Kim Hee Jun</t>
  </si>
  <si>
    <t>⑭ 고객 라이브 확정 (고객 통보) · Customer Live</t>
  </si>
  <si>
    <t>Garg, Kshitij (Agoda)</t>
  </si>
  <si>
    <t>NDA 체결 · NDA Signed</t>
  </si>
  <si>
    <t>Sara El Kadiri</t>
  </si>
  <si>
    <t>개발 착수 · SPEC/DEV 키 · 크리덴셜 · Kickoff / Credential</t>
  </si>
  <si>
    <t>Kevin Ow</t>
  </si>
  <si>
    <t>제안·소개 발송 · Proposal Sent</t>
  </si>
  <si>
    <t>vivek.kumar3</t>
  </si>
  <si>
    <t>Anne</t>
  </si>
  <si>
    <t>Chloe Lee</t>
  </si>
  <si>
    <t>SLA 확정 · SLA Finalized</t>
  </si>
  <si>
    <t>Isabelle Kim</t>
  </si>
  <si>
    <t>cassey.liestyo</t>
  </si>
  <si>
    <t>Traveloka Atlas Provider Portal</t>
  </si>
  <si>
    <t>sales_management MRT</t>
  </si>
  <si>
    <t>Switch vendors</t>
  </si>
  <si>
    <t>Boney Mittal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</si>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</sst>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/d"/>
  </numFmts>
  <fonts count="47">
    <font>
      <sz val="11"/>
      <color theme="1"/>
      <name val="Calibri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Calibri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Calibri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7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14" fontId="0" fillId="0" borderId="0" xfId="0" applyNumberFormat="1"/>
    <xf numFmtId="0" fontId="24" fillId="10" borderId="0" xfId="0" applyFont="1" applyFill="1" applyAlignment="1">
      <alignment horizontal="center" vertical="center" wrapText="1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3" fillId="17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E03131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  <dxf>
      <fill>
        <patternFill patternType="solid">
          <fgColor indexed="64"/>
          <bgColor rgb="FFFFD8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topLeftCell="A9" workbookViewId="0"/>
  </sheetViews>
  <sheetFormatPr defaultRowHeight="14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3.1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2026-10-29  ·  카테고리 시트에서 자동 집계 · auto-counted from the category sheets  ·  데이터 Data: SharePoint API Dev Tracker (19 Oct) + OMH-CRM (18 Oct)</v>
      </c>
    </row>
    <row r="4" spans="2:21" ht="30" customHeight="1">
      <c r="B4" s="79" t="s">
        <v>1</v>
      </c>
      <c r="C4" s="88"/>
      <c r="D4" s="79" t="s">
        <v>2</v>
      </c>
      <c r="E4" s="88"/>
      <c r="F4" s="79" t="s">
        <v>3</v>
      </c>
      <c r="G4" s="88"/>
      <c r="H4" s="79" t="s">
        <v>4</v>
      </c>
      <c r="I4" s="88"/>
      <c r="J4" s="79" t="s">
        <v>5</v>
      </c>
      <c r="K4" s="88"/>
      <c r="L4" s="79" t="s">
        <v>6</v>
      </c>
      <c r="M4" s="88"/>
      <c r="N4" s="79" t="s">
        <v>7</v>
      </c>
      <c r="O4" s="88"/>
    </row>
    <row r="5" spans="2:21">
      <c r="B5" s="80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8"/>
      <c r="D5" s="81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34</v>
      </c>
      <c r="E5" s="88"/>
      <c r="F5" s="82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8"/>
      <c r="H5" s="76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88"/>
      <c r="J5" s="77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88"/>
      <c r="L5" s="74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8"/>
      <c r="N5" s="78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27</v>
      </c>
      <c r="O5" s="88"/>
    </row>
    <row r="6" spans="2:21"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</row>
    <row r="8" spans="2:21" ht="15.95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23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27</v>
      </c>
    </row>
    <row r="13" spans="2:21">
      <c r="B13" s="5" t="s">
        <v>25</v>
      </c>
      <c r="C13" s="6">
        <f>COUNTIF('우리가 공급사 OMH Supply'!$B$5:$B$399,"Live")</f>
        <v>30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2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34</v>
      </c>
      <c r="D15" s="10">
        <f t="shared" si="1"/>
        <v>0</v>
      </c>
      <c r="E15" s="10">
        <f t="shared" si="1"/>
        <v>2</v>
      </c>
      <c r="F15" s="10">
        <f t="shared" si="1"/>
        <v>3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63</v>
      </c>
      <c r="T18" s="10">
        <f t="shared" si="2"/>
        <v>16</v>
      </c>
      <c r="U18" s="10">
        <f t="shared" si="2"/>
        <v>102</v>
      </c>
    </row>
    <row r="20" spans="15:23" ht="15.95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23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25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12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6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7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2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 ht="15.95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75" t="s">
        <v>53</v>
      </c>
      <c r="I36" s="89"/>
      <c r="J36" s="89"/>
      <c r="K36" s="89"/>
      <c r="L36" s="89"/>
      <c r="M36" s="90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73"/>
      <c r="I37" s="89"/>
      <c r="J37" s="89"/>
      <c r="K37" s="89"/>
      <c r="L37" s="89"/>
      <c r="M37" s="90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73" t="s">
        <v>56</v>
      </c>
      <c r="I38" s="89"/>
      <c r="J38" s="89"/>
      <c r="K38" s="89"/>
      <c r="L38" s="89"/>
      <c r="M38" s="90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73"/>
      <c r="I39" s="89"/>
      <c r="J39" s="89"/>
      <c r="K39" s="89"/>
      <c r="L39" s="89"/>
      <c r="M39" s="90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73"/>
      <c r="I40" s="89"/>
      <c r="J40" s="89"/>
      <c r="K40" s="89"/>
      <c r="L40" s="89"/>
      <c r="M40" s="90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73" t="s">
        <v>60</v>
      </c>
      <c r="I41" s="89"/>
      <c r="J41" s="89"/>
      <c r="K41" s="89"/>
      <c r="L41" s="89"/>
      <c r="M41" s="90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73"/>
      <c r="I42" s="89"/>
      <c r="J42" s="89"/>
      <c r="K42" s="89"/>
      <c r="L42" s="89"/>
      <c r="M42" s="90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73" t="s">
        <v>63</v>
      </c>
      <c r="I43" s="89"/>
      <c r="J43" s="89"/>
      <c r="K43" s="89"/>
      <c r="L43" s="89"/>
      <c r="M43" s="90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73"/>
      <c r="I44" s="89"/>
      <c r="J44" s="89"/>
      <c r="K44" s="89"/>
      <c r="L44" s="89"/>
      <c r="M44" s="90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73" t="s">
        <v>66</v>
      </c>
      <c r="I45" s="89"/>
      <c r="J45" s="89"/>
      <c r="K45" s="89"/>
      <c r="L45" s="89"/>
      <c r="M45" s="90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73" t="s">
        <v>66</v>
      </c>
      <c r="I46" s="89"/>
      <c r="J46" s="89"/>
      <c r="K46" s="89"/>
      <c r="L46" s="89"/>
      <c r="M46" s="90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73" t="s">
        <v>68</v>
      </c>
      <c r="I47" s="89"/>
      <c r="J47" s="89"/>
      <c r="K47" s="89"/>
      <c r="L47" s="89"/>
      <c r="M47" s="90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73"/>
      <c r="I48" s="89"/>
      <c r="J48" s="89"/>
      <c r="K48" s="89"/>
      <c r="L48" s="89"/>
      <c r="M48" s="90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73" t="s">
        <v>71</v>
      </c>
      <c r="I49" s="89"/>
      <c r="J49" s="89"/>
      <c r="K49" s="89"/>
      <c r="L49" s="89"/>
      <c r="M49" s="90"/>
    </row>
  </sheetData>
  <mergeCells count="28"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J58"/>
  <sheetViews>
    <sheetView showGridLines="0" tabSelected="1" workbookViewId="0">
      <pane xSplit="10" ySplit="8" topLeftCell="K9" activePane="bottomRight" state="frozen"/>
      <selection pane="bottomRight" activeCell="C12" sqref="C12"/>
      <selection pane="bottomLeft"/>
      <selection pane="topRight"/>
    </sheetView>
  </sheetViews>
  <sheetFormatPr defaultColWidth="9" defaultRowHeight="14.45"/>
  <cols>
    <col min="1" max="1" width="1.5703125" style="42" customWidth="1"/>
    <col min="2" max="2" width="5.42578125" style="42" customWidth="1"/>
    <col min="3" max="3" width="16.28515625" style="42" customWidth="1"/>
    <col min="4" max="4" width="13.42578125" style="42" customWidth="1"/>
    <col min="5" max="5" width="13.85546875" style="42" customWidth="1"/>
    <col min="6" max="8" width="13" style="42" customWidth="1"/>
    <col min="9" max="9" width="7.42578125" style="42" customWidth="1"/>
    <col min="10" max="10" width="13" style="42" customWidth="1"/>
    <col min="11" max="36" width="6" style="42" customWidth="1"/>
    <col min="37" max="160" width="2.42578125" style="43" customWidth="1"/>
    <col min="161" max="16384" width="9" style="43"/>
  </cols>
  <sheetData>
    <row r="1" spans="2:36" ht="23.1">
      <c r="B1" s="63" t="s">
        <v>72</v>
      </c>
    </row>
    <row r="2" spans="2:36">
      <c r="B2" s="64" t="str">
        <f ca="1">"오늘 Today "&amp;TEXT(TODAY(),"yyyy-mm-dd")&amp;"  ·  주 단위 간트 · 날짜는 해당 주의 아무 날짜나 입력해도 그 주에 표시됩니다 · Weekly view – any date in the week works"</f>
        <v>오늘 Today 2026-10-29  ·  주 단위 간트 · 날짜는 해당 주의 아무 날짜나 입력해도 그 주에 표시됩니다 · Weekly view – any date in the week works</v>
      </c>
    </row>
    <row r="4" spans="2:36" ht="17.25" customHeight="1">
      <c r="B4" s="69" t="s">
        <v>73</v>
      </c>
      <c r="C4" s="69"/>
      <c r="D4"/>
      <c r="E4" s="70">
        <f ca="1">EOMONTH(TODAY(),-2)+1</f>
        <v>46266</v>
      </c>
      <c r="F4" s="44" t="s">
        <v>74</v>
      </c>
      <c r="J4" s="71" t="s">
        <v>75</v>
      </c>
      <c r="K4" s="71"/>
      <c r="L4" s="45"/>
      <c r="M4" s="65" t="s">
        <v>76</v>
      </c>
      <c r="N4" s="46"/>
      <c r="O4" s="47"/>
      <c r="P4" s="65" t="s">
        <v>77</v>
      </c>
      <c r="Q4" s="46"/>
      <c r="R4" s="48"/>
      <c r="S4" s="65" t="s">
        <v>78</v>
      </c>
      <c r="T4" s="46"/>
      <c r="U4" s="49"/>
      <c r="V4" s="65" t="s">
        <v>79</v>
      </c>
      <c r="W4" s="46"/>
      <c r="X4" s="50"/>
      <c r="Y4" s="65" t="s">
        <v>80</v>
      </c>
      <c r="Z4" s="46"/>
    </row>
    <row r="5" spans="2:36" ht="17.25" customHeight="1">
      <c r="B5" s="69"/>
      <c r="C5" s="69"/>
      <c r="D5"/>
      <c r="E5" s="70"/>
      <c r="J5" s="71"/>
      <c r="K5" s="71"/>
      <c r="L5" s="45"/>
      <c r="M5" s="65" t="s">
        <v>81</v>
      </c>
      <c r="O5" s="47"/>
      <c r="P5" s="65" t="s">
        <v>82</v>
      </c>
      <c r="R5" s="48"/>
      <c r="S5" s="65" t="s">
        <v>83</v>
      </c>
      <c r="U5" s="49"/>
      <c r="V5" s="65" t="s">
        <v>84</v>
      </c>
      <c r="X5" s="50"/>
      <c r="Y5" s="65" t="s">
        <v>85</v>
      </c>
    </row>
    <row r="6" spans="2:36" ht="15.75" customHeight="1">
      <c r="B6" s="72" t="s">
        <v>86</v>
      </c>
      <c r="C6" s="72" t="s">
        <v>87</v>
      </c>
      <c r="D6" s="72" t="s">
        <v>88</v>
      </c>
      <c r="E6" s="72" t="s">
        <v>89</v>
      </c>
      <c r="F6" s="72" t="s">
        <v>90</v>
      </c>
      <c r="G6" s="72" t="s">
        <v>91</v>
      </c>
      <c r="H6" s="72" t="s">
        <v>92</v>
      </c>
      <c r="I6" s="72" t="s">
        <v>93</v>
      </c>
      <c r="J6" s="72" t="s">
        <v>94</v>
      </c>
      <c r="K6" s="51" t="str">
        <f ca="1">TEXT(K8,"yyyy-mm")</f>
        <v>2026-08</v>
      </c>
      <c r="L6" s="51" t="str">
        <f ca="1">IF(MONTH(L8)&lt;&gt;MONTH(K8),TEXT(L8,"yyyy-mm"),"")</f>
        <v>2026-09</v>
      </c>
      <c r="M6" s="51" t="str">
        <f t="shared" ref="M6:AJ6" ca="1" si="0">IF(MONTH(M8)&lt;&gt;MONTH(L8),TEXT(M8,"yyyy-mm"),"")</f>
        <v/>
      </c>
      <c r="N6" s="51" t="str">
        <f t="shared" ca="1" si="0"/>
        <v/>
      </c>
      <c r="O6" s="51" t="str">
        <f t="shared" ca="1" si="0"/>
        <v/>
      </c>
      <c r="P6" s="51" t="str">
        <f t="shared" ca="1" si="0"/>
        <v>2026-10</v>
      </c>
      <c r="Q6" s="51" t="str">
        <f t="shared" ca="1" si="0"/>
        <v/>
      </c>
      <c r="R6" s="51" t="str">
        <f t="shared" ca="1" si="0"/>
        <v/>
      </c>
      <c r="S6" s="51" t="str">
        <f t="shared" ca="1" si="0"/>
        <v/>
      </c>
      <c r="T6" s="51" t="str">
        <f t="shared" ca="1" si="0"/>
        <v>2026-11</v>
      </c>
      <c r="U6" s="51" t="str">
        <f t="shared" ca="1" si="0"/>
        <v/>
      </c>
      <c r="V6" s="51" t="str">
        <f t="shared" ca="1" si="0"/>
        <v/>
      </c>
      <c r="W6" s="51" t="str">
        <f t="shared" ca="1" si="0"/>
        <v/>
      </c>
      <c r="X6" s="51" t="str">
        <f t="shared" ca="1" si="0"/>
        <v/>
      </c>
      <c r="Y6" s="51" t="str">
        <f t="shared" ca="1" si="0"/>
        <v>2026-12</v>
      </c>
      <c r="Z6" s="51" t="str">
        <f t="shared" ca="1" si="0"/>
        <v/>
      </c>
      <c r="AA6" s="51" t="str">
        <f t="shared" ca="1" si="0"/>
        <v/>
      </c>
      <c r="AB6" s="51" t="str">
        <f t="shared" ca="1" si="0"/>
        <v/>
      </c>
      <c r="AC6" s="51" t="str">
        <f t="shared" ca="1" si="0"/>
        <v>2027-01</v>
      </c>
      <c r="AD6" s="51" t="str">
        <f t="shared" ca="1" si="0"/>
        <v/>
      </c>
      <c r="AE6" s="51" t="str">
        <f t="shared" ca="1" si="0"/>
        <v/>
      </c>
      <c r="AF6" s="51" t="str">
        <f t="shared" ca="1" si="0"/>
        <v/>
      </c>
      <c r="AG6" s="51" t="str">
        <f t="shared" ca="1" si="0"/>
        <v>2027-02</v>
      </c>
      <c r="AH6" s="51" t="str">
        <f t="shared" ca="1" si="0"/>
        <v/>
      </c>
      <c r="AI6" s="51" t="str">
        <f t="shared" ca="1" si="0"/>
        <v/>
      </c>
      <c r="AJ6" s="51" t="str">
        <f t="shared" ca="1" si="0"/>
        <v/>
      </c>
    </row>
    <row r="7" spans="2:36" ht="15.75" customHeight="1">
      <c r="B7" s="72"/>
      <c r="C7" s="72"/>
      <c r="D7" s="72"/>
      <c r="E7" s="72"/>
      <c r="F7" s="72"/>
      <c r="G7" s="72"/>
      <c r="H7" s="72"/>
      <c r="I7" s="72"/>
      <c r="J7" s="72"/>
      <c r="K7" s="51" t="str">
        <f ca="1">INT((DAY(K8)-1)/7)+1&amp;"주"</f>
        <v>5주</v>
      </c>
      <c r="L7" s="51" t="str">
        <f t="shared" ref="L7:AJ7" ca="1" si="1">INT((DAY(L8)-1)/7)+1&amp;"주"</f>
        <v>1주</v>
      </c>
      <c r="M7" s="51" t="str">
        <f t="shared" ca="1" si="1"/>
        <v>2주</v>
      </c>
      <c r="N7" s="51" t="str">
        <f t="shared" ca="1" si="1"/>
        <v>3주</v>
      </c>
      <c r="O7" s="51" t="str">
        <f t="shared" ca="1" si="1"/>
        <v>4주</v>
      </c>
      <c r="P7" s="51" t="str">
        <f t="shared" ca="1" si="1"/>
        <v>1주</v>
      </c>
      <c r="Q7" s="51" t="str">
        <f t="shared" ca="1" si="1"/>
        <v>2주</v>
      </c>
      <c r="R7" s="51" t="str">
        <f t="shared" ca="1" si="1"/>
        <v>3주</v>
      </c>
      <c r="S7" s="51" t="str">
        <f t="shared" ca="1" si="1"/>
        <v>4주</v>
      </c>
      <c r="T7" s="51" t="str">
        <f t="shared" ca="1" si="1"/>
        <v>1주</v>
      </c>
      <c r="U7" s="51" t="str">
        <f t="shared" ca="1" si="1"/>
        <v>2주</v>
      </c>
      <c r="V7" s="51" t="str">
        <f t="shared" ca="1" si="1"/>
        <v>3주</v>
      </c>
      <c r="W7" s="51" t="str">
        <f t="shared" ca="1" si="1"/>
        <v>4주</v>
      </c>
      <c r="X7" s="51" t="str">
        <f t="shared" ca="1" si="1"/>
        <v>5주</v>
      </c>
      <c r="Y7" s="51" t="str">
        <f t="shared" ca="1" si="1"/>
        <v>1주</v>
      </c>
      <c r="Z7" s="51" t="str">
        <f t="shared" ca="1" si="1"/>
        <v>2주</v>
      </c>
      <c r="AA7" s="51" t="str">
        <f t="shared" ca="1" si="1"/>
        <v>3주</v>
      </c>
      <c r="AB7" s="51" t="str">
        <f t="shared" ca="1" si="1"/>
        <v>4주</v>
      </c>
      <c r="AC7" s="51" t="str">
        <f t="shared" ca="1" si="1"/>
        <v>1주</v>
      </c>
      <c r="AD7" s="51" t="str">
        <f t="shared" ca="1" si="1"/>
        <v>2주</v>
      </c>
      <c r="AE7" s="51" t="str">
        <f t="shared" ca="1" si="1"/>
        <v>3주</v>
      </c>
      <c r="AF7" s="51" t="str">
        <f t="shared" ca="1" si="1"/>
        <v>4주</v>
      </c>
      <c r="AG7" s="51" t="str">
        <f t="shared" ca="1" si="1"/>
        <v>1주</v>
      </c>
      <c r="AH7" s="51" t="str">
        <f t="shared" ca="1" si="1"/>
        <v>2주</v>
      </c>
      <c r="AI7" s="51" t="str">
        <f t="shared" ca="1" si="1"/>
        <v>3주</v>
      </c>
      <c r="AJ7" s="51" t="str">
        <f t="shared" ca="1" si="1"/>
        <v>4주</v>
      </c>
    </row>
    <row r="8" spans="2:36" ht="20.25" customHeight="1">
      <c r="B8" s="72"/>
      <c r="C8" s="72"/>
      <c r="D8" s="72"/>
      <c r="E8" s="72"/>
      <c r="F8" s="72"/>
      <c r="G8" s="72"/>
      <c r="H8" s="72"/>
      <c r="I8" s="72"/>
      <c r="J8" s="72"/>
      <c r="K8" s="52">
        <f ca="1">$E$4-WEEKDAY($E$4,3)</f>
        <v>46265</v>
      </c>
      <c r="L8" s="52">
        <f ca="1">K8+7</f>
        <v>46272</v>
      </c>
      <c r="M8" s="52">
        <f t="shared" ref="M8:AJ8" ca="1" si="2">L8+7</f>
        <v>46279</v>
      </c>
      <c r="N8" s="52">
        <f t="shared" ca="1" si="2"/>
        <v>46286</v>
      </c>
      <c r="O8" s="52">
        <f t="shared" ca="1" si="2"/>
        <v>46293</v>
      </c>
      <c r="P8" s="52">
        <f t="shared" ca="1" si="2"/>
        <v>46300</v>
      </c>
      <c r="Q8" s="52">
        <f t="shared" ca="1" si="2"/>
        <v>46307</v>
      </c>
      <c r="R8" s="52">
        <f t="shared" ca="1" si="2"/>
        <v>46314</v>
      </c>
      <c r="S8" s="52">
        <f t="shared" ca="1" si="2"/>
        <v>46321</v>
      </c>
      <c r="T8" s="52">
        <f t="shared" ca="1" si="2"/>
        <v>46328</v>
      </c>
      <c r="U8" s="52">
        <f t="shared" ca="1" si="2"/>
        <v>46335</v>
      </c>
      <c r="V8" s="52">
        <f t="shared" ca="1" si="2"/>
        <v>46342</v>
      </c>
      <c r="W8" s="52">
        <f t="shared" ca="1" si="2"/>
        <v>46349</v>
      </c>
      <c r="X8" s="52">
        <f t="shared" ca="1" si="2"/>
        <v>46356</v>
      </c>
      <c r="Y8" s="52">
        <f t="shared" ca="1" si="2"/>
        <v>46363</v>
      </c>
      <c r="Z8" s="52">
        <f t="shared" ca="1" si="2"/>
        <v>46370</v>
      </c>
      <c r="AA8" s="52">
        <f t="shared" ca="1" si="2"/>
        <v>46377</v>
      </c>
      <c r="AB8" s="52">
        <f t="shared" ca="1" si="2"/>
        <v>46384</v>
      </c>
      <c r="AC8" s="52">
        <f t="shared" ca="1" si="2"/>
        <v>46391</v>
      </c>
      <c r="AD8" s="52">
        <f t="shared" ca="1" si="2"/>
        <v>46398</v>
      </c>
      <c r="AE8" s="52">
        <f t="shared" ca="1" si="2"/>
        <v>46405</v>
      </c>
      <c r="AF8" s="52">
        <f t="shared" ca="1" si="2"/>
        <v>46412</v>
      </c>
      <c r="AG8" s="52">
        <f t="shared" ca="1" si="2"/>
        <v>46419</v>
      </c>
      <c r="AH8" s="52">
        <f t="shared" ca="1" si="2"/>
        <v>46426</v>
      </c>
      <c r="AI8" s="52">
        <f t="shared" ca="1" si="2"/>
        <v>46433</v>
      </c>
      <c r="AJ8" s="52">
        <f t="shared" ca="1" si="2"/>
        <v>46440</v>
      </c>
    </row>
    <row r="9" spans="2:36" ht="18" customHeight="1">
      <c r="B9" s="53">
        <f>IF(C9="","",ROW()-8)</f>
        <v>1</v>
      </c>
      <c r="C9" s="54" t="s">
        <v>95</v>
      </c>
      <c r="D9" s="66"/>
      <c r="E9" s="54" t="s">
        <v>45</v>
      </c>
      <c r="F9" s="55">
        <v>46322</v>
      </c>
      <c r="G9" s="55">
        <v>46337</v>
      </c>
      <c r="H9" s="55">
        <v>46351</v>
      </c>
      <c r="I9" s="53">
        <f>IF(OR(F9="",G9=""),"",ROUNDUP((G9-F9+1)/7,0))</f>
        <v>3</v>
      </c>
      <c r="J9" s="53" t="str">
        <f ca="1">IF(C9="","",IF(AND(H9&lt;&gt;"",H9&lt;=TODAY()),"라이브 Live",IF(F9="","미정 TBD",IF(TODAY()&lt;F9,"예정 Planned",IF(AND(G9&lt;&gt;"",TODAY()&gt;G9),"지연 Overdue","개발중 In Dev")))))</f>
        <v>개발중 In Dev</v>
      </c>
      <c r="K9" s="56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</row>
    <row r="10" spans="2:36" ht="18" customHeight="1">
      <c r="B10" s="58">
        <f t="shared" ref="B10:B58" si="3">IF(C10="","",ROW()-8)</f>
        <v>2</v>
      </c>
      <c r="C10" s="59" t="s">
        <v>96</v>
      </c>
      <c r="D10" s="67"/>
      <c r="E10" s="59" t="s">
        <v>97</v>
      </c>
      <c r="F10" s="55">
        <v>46357</v>
      </c>
      <c r="G10" s="55">
        <v>46386</v>
      </c>
      <c r="H10" s="60"/>
      <c r="I10" s="53">
        <f t="shared" ref="I10:I58" si="4">IF(OR(F10="",G10=""),"",ROUNDUP((G10-F10+1)/7,0))</f>
        <v>5</v>
      </c>
      <c r="J10" s="58" t="str">
        <f t="shared" ref="J10:J58" ca="1" si="5">IF(C10="","",IF(AND(H10&lt;&gt;"",H10&lt;=TODAY()),"라이브 Live",IF(F10="","미정 TBD",IF(TODAY()&lt;F10,"예정 Planned",IF(AND(G10&lt;&gt;"",TODAY()&gt;G10),"지연 Overdue","개발중 In Dev")))))</f>
        <v>예정 Planned</v>
      </c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</row>
    <row r="11" spans="2:36" ht="18" customHeight="1">
      <c r="B11" s="58">
        <v>3</v>
      </c>
      <c r="C11" s="59" t="s">
        <v>98</v>
      </c>
      <c r="D11" s="67"/>
      <c r="E11" s="59" t="s">
        <v>97</v>
      </c>
      <c r="F11" s="60">
        <v>46328</v>
      </c>
      <c r="G11" s="60">
        <v>46356</v>
      </c>
      <c r="H11" s="60"/>
      <c r="I11" s="53">
        <f t="shared" si="4"/>
        <v>5</v>
      </c>
      <c r="J11" s="58" t="str">
        <f t="shared" ca="1" si="5"/>
        <v>예정 Planned</v>
      </c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</row>
    <row r="12" spans="2:36" ht="18" customHeight="1">
      <c r="B12" s="58">
        <v>4</v>
      </c>
      <c r="C12" s="59"/>
      <c r="D12" s="67"/>
      <c r="E12" s="59"/>
      <c r="F12" s="60"/>
      <c r="G12" s="60"/>
      <c r="H12" s="60"/>
      <c r="I12" s="53" t="str">
        <f t="shared" si="4"/>
        <v/>
      </c>
      <c r="J12" s="58" t="str">
        <f t="shared" ca="1" si="5"/>
        <v/>
      </c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</row>
    <row r="13" spans="2:36" ht="18" customHeight="1">
      <c r="B13" s="58" t="str">
        <f t="shared" si="3"/>
        <v/>
      </c>
      <c r="C13" s="59"/>
      <c r="D13" s="67"/>
      <c r="E13" s="59"/>
      <c r="F13" s="60"/>
      <c r="G13" s="60"/>
      <c r="H13" s="60"/>
      <c r="I13" s="53" t="str">
        <f t="shared" si="4"/>
        <v/>
      </c>
      <c r="J13" s="58" t="str">
        <f t="shared" ca="1" si="5"/>
        <v/>
      </c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</row>
    <row r="14" spans="2:36" ht="18" customHeight="1">
      <c r="B14" s="58" t="str">
        <f t="shared" si="3"/>
        <v/>
      </c>
      <c r="C14" s="59"/>
      <c r="D14" s="67"/>
      <c r="E14" s="59"/>
      <c r="F14" s="60"/>
      <c r="G14" s="60"/>
      <c r="H14" s="60"/>
      <c r="I14" s="53" t="str">
        <f t="shared" si="4"/>
        <v/>
      </c>
      <c r="J14" s="58" t="str">
        <f t="shared" ca="1" si="5"/>
        <v/>
      </c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</row>
    <row r="15" spans="2:36" ht="18" customHeight="1">
      <c r="B15" s="58" t="str">
        <f t="shared" si="3"/>
        <v/>
      </c>
      <c r="C15" s="59"/>
      <c r="D15" s="67"/>
      <c r="E15" s="59"/>
      <c r="F15" s="60"/>
      <c r="G15" s="60"/>
      <c r="H15" s="60"/>
      <c r="I15" s="53" t="str">
        <f t="shared" si="4"/>
        <v/>
      </c>
      <c r="J15" s="58" t="str">
        <f t="shared" ca="1" si="5"/>
        <v/>
      </c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</row>
    <row r="16" spans="2:36" ht="18" customHeight="1">
      <c r="B16" s="58" t="str">
        <f t="shared" si="3"/>
        <v/>
      </c>
      <c r="C16" s="59"/>
      <c r="D16" s="67"/>
      <c r="E16" s="59"/>
      <c r="F16" s="60"/>
      <c r="G16" s="60"/>
      <c r="H16" s="60"/>
      <c r="I16" s="53" t="str">
        <f t="shared" si="4"/>
        <v/>
      </c>
      <c r="J16" s="58" t="str">
        <f t="shared" ca="1" si="5"/>
        <v/>
      </c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</row>
    <row r="17" spans="2:36" ht="18" customHeight="1">
      <c r="B17" s="58" t="str">
        <f t="shared" si="3"/>
        <v/>
      </c>
      <c r="C17" s="59"/>
      <c r="D17" s="67"/>
      <c r="E17" s="59"/>
      <c r="F17" s="60"/>
      <c r="G17" s="60"/>
      <c r="H17" s="60"/>
      <c r="I17" s="53" t="str">
        <f t="shared" si="4"/>
        <v/>
      </c>
      <c r="J17" s="58" t="str">
        <f t="shared" ca="1" si="5"/>
        <v/>
      </c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</row>
    <row r="18" spans="2:36" ht="18" customHeight="1">
      <c r="B18" s="58" t="str">
        <f t="shared" si="3"/>
        <v/>
      </c>
      <c r="C18" s="59"/>
      <c r="D18" s="67"/>
      <c r="E18" s="59"/>
      <c r="F18" s="60"/>
      <c r="G18" s="60"/>
      <c r="H18" s="60"/>
      <c r="I18" s="53" t="str">
        <f t="shared" si="4"/>
        <v/>
      </c>
      <c r="J18" s="58" t="str">
        <f t="shared" ca="1" si="5"/>
        <v/>
      </c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</row>
    <row r="19" spans="2:36" ht="18" customHeight="1">
      <c r="B19" s="58" t="str">
        <f t="shared" si="3"/>
        <v/>
      </c>
      <c r="C19" s="59"/>
      <c r="D19" s="67"/>
      <c r="E19" s="59"/>
      <c r="F19" s="60"/>
      <c r="G19" s="60"/>
      <c r="H19" s="60"/>
      <c r="I19" s="53" t="str">
        <f t="shared" si="4"/>
        <v/>
      </c>
      <c r="J19" s="58" t="str">
        <f t="shared" ca="1" si="5"/>
        <v/>
      </c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</row>
    <row r="20" spans="2:36" ht="18" customHeight="1">
      <c r="B20" s="58" t="str">
        <f t="shared" si="3"/>
        <v/>
      </c>
      <c r="C20" s="59"/>
      <c r="D20" s="67"/>
      <c r="E20" s="59"/>
      <c r="F20" s="60"/>
      <c r="G20" s="60"/>
      <c r="H20" s="60"/>
      <c r="I20" s="53" t="str">
        <f t="shared" si="4"/>
        <v/>
      </c>
      <c r="J20" s="58" t="str">
        <f t="shared" ca="1" si="5"/>
        <v/>
      </c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</row>
    <row r="21" spans="2:36" ht="18" customHeight="1">
      <c r="B21" s="58" t="str">
        <f t="shared" si="3"/>
        <v/>
      </c>
      <c r="C21" s="59"/>
      <c r="D21" s="67"/>
      <c r="E21" s="59"/>
      <c r="F21" s="60"/>
      <c r="G21" s="60"/>
      <c r="H21" s="60"/>
      <c r="I21" s="53" t="str">
        <f t="shared" si="4"/>
        <v/>
      </c>
      <c r="J21" s="58" t="str">
        <f t="shared" ca="1" si="5"/>
        <v/>
      </c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</row>
    <row r="22" spans="2:36" ht="18" customHeight="1">
      <c r="B22" s="58" t="str">
        <f t="shared" si="3"/>
        <v/>
      </c>
      <c r="C22" s="59"/>
      <c r="D22" s="67"/>
      <c r="E22" s="59"/>
      <c r="F22" s="60"/>
      <c r="G22" s="60"/>
      <c r="H22" s="60"/>
      <c r="I22" s="53" t="str">
        <f t="shared" si="4"/>
        <v/>
      </c>
      <c r="J22" s="58" t="str">
        <f t="shared" ca="1" si="5"/>
        <v/>
      </c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</row>
    <row r="23" spans="2:36" ht="18" customHeight="1">
      <c r="B23" s="58" t="str">
        <f t="shared" si="3"/>
        <v/>
      </c>
      <c r="C23" s="59"/>
      <c r="D23" s="67"/>
      <c r="E23" s="59"/>
      <c r="F23" s="60"/>
      <c r="G23" s="60"/>
      <c r="H23" s="60"/>
      <c r="I23" s="53" t="str">
        <f t="shared" si="4"/>
        <v/>
      </c>
      <c r="J23" s="58" t="str">
        <f t="shared" ca="1" si="5"/>
        <v/>
      </c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</row>
    <row r="24" spans="2:36" ht="18" customHeight="1">
      <c r="B24" s="58" t="str">
        <f t="shared" si="3"/>
        <v/>
      </c>
      <c r="C24" s="59"/>
      <c r="D24" s="67"/>
      <c r="E24" s="59"/>
      <c r="F24" s="60"/>
      <c r="G24" s="60"/>
      <c r="H24" s="60"/>
      <c r="I24" s="53" t="str">
        <f t="shared" si="4"/>
        <v/>
      </c>
      <c r="J24" s="58" t="str">
        <f t="shared" ca="1" si="5"/>
        <v/>
      </c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</row>
    <row r="25" spans="2:36" ht="18" customHeight="1">
      <c r="B25" s="58" t="str">
        <f t="shared" si="3"/>
        <v/>
      </c>
      <c r="C25" s="59"/>
      <c r="D25" s="67"/>
      <c r="E25" s="59"/>
      <c r="F25" s="60"/>
      <c r="G25" s="60"/>
      <c r="H25" s="60"/>
      <c r="I25" s="53" t="str">
        <f t="shared" si="4"/>
        <v/>
      </c>
      <c r="J25" s="58" t="str">
        <f t="shared" ca="1" si="5"/>
        <v/>
      </c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</row>
    <row r="26" spans="2:36" ht="18" customHeight="1">
      <c r="B26" s="58" t="str">
        <f t="shared" si="3"/>
        <v/>
      </c>
      <c r="C26" s="59"/>
      <c r="D26" s="67"/>
      <c r="E26" s="59"/>
      <c r="F26" s="60"/>
      <c r="G26" s="60"/>
      <c r="H26" s="60"/>
      <c r="I26" s="53" t="str">
        <f t="shared" si="4"/>
        <v/>
      </c>
      <c r="J26" s="58" t="str">
        <f t="shared" ca="1" si="5"/>
        <v/>
      </c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</row>
    <row r="27" spans="2:36" ht="18" customHeight="1">
      <c r="B27" s="58" t="str">
        <f t="shared" si="3"/>
        <v/>
      </c>
      <c r="C27" s="59"/>
      <c r="D27" s="67"/>
      <c r="E27" s="59"/>
      <c r="F27" s="60"/>
      <c r="G27" s="60"/>
      <c r="H27" s="60"/>
      <c r="I27" s="53" t="str">
        <f t="shared" si="4"/>
        <v/>
      </c>
      <c r="J27" s="58" t="str">
        <f t="shared" ca="1" si="5"/>
        <v/>
      </c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</row>
    <row r="28" spans="2:36" ht="18" customHeight="1">
      <c r="B28" s="58" t="str">
        <f t="shared" si="3"/>
        <v/>
      </c>
      <c r="C28" s="59"/>
      <c r="D28" s="67"/>
      <c r="E28" s="59"/>
      <c r="F28" s="60"/>
      <c r="G28" s="60"/>
      <c r="H28" s="60"/>
      <c r="I28" s="53" t="str">
        <f t="shared" si="4"/>
        <v/>
      </c>
      <c r="J28" s="58" t="str">
        <f t="shared" ca="1" si="5"/>
        <v/>
      </c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</row>
    <row r="29" spans="2:36" ht="18" customHeight="1">
      <c r="B29" s="58" t="str">
        <f t="shared" si="3"/>
        <v/>
      </c>
      <c r="C29" s="59"/>
      <c r="D29" s="67"/>
      <c r="E29" s="59"/>
      <c r="F29" s="60"/>
      <c r="G29" s="60"/>
      <c r="H29" s="60"/>
      <c r="I29" s="53" t="str">
        <f t="shared" si="4"/>
        <v/>
      </c>
      <c r="J29" s="58" t="str">
        <f t="shared" ca="1" si="5"/>
        <v/>
      </c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</row>
    <row r="30" spans="2:36" ht="18" customHeight="1">
      <c r="B30" s="58" t="str">
        <f t="shared" si="3"/>
        <v/>
      </c>
      <c r="C30" s="59"/>
      <c r="D30" s="67"/>
      <c r="E30" s="59"/>
      <c r="F30" s="60"/>
      <c r="G30" s="60"/>
      <c r="H30" s="60"/>
      <c r="I30" s="53" t="str">
        <f t="shared" si="4"/>
        <v/>
      </c>
      <c r="J30" s="58" t="str">
        <f t="shared" ca="1" si="5"/>
        <v/>
      </c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</row>
    <row r="31" spans="2:36" ht="18" customHeight="1">
      <c r="B31" s="58" t="str">
        <f t="shared" si="3"/>
        <v/>
      </c>
      <c r="C31" s="59"/>
      <c r="D31" s="67"/>
      <c r="E31" s="59"/>
      <c r="F31" s="60"/>
      <c r="G31" s="60"/>
      <c r="H31" s="60"/>
      <c r="I31" s="53" t="str">
        <f t="shared" si="4"/>
        <v/>
      </c>
      <c r="J31" s="58" t="str">
        <f t="shared" ca="1" si="5"/>
        <v/>
      </c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</row>
    <row r="32" spans="2:36" ht="18" customHeight="1">
      <c r="B32" s="58" t="str">
        <f t="shared" si="3"/>
        <v/>
      </c>
      <c r="C32" s="59"/>
      <c r="D32" s="67"/>
      <c r="E32" s="59"/>
      <c r="F32" s="60"/>
      <c r="G32" s="60"/>
      <c r="H32" s="60"/>
      <c r="I32" s="53" t="str">
        <f t="shared" si="4"/>
        <v/>
      </c>
      <c r="J32" s="58" t="str">
        <f t="shared" ca="1" si="5"/>
        <v/>
      </c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</row>
    <row r="33" spans="2:36" ht="18" customHeight="1">
      <c r="B33" s="58" t="str">
        <f t="shared" si="3"/>
        <v/>
      </c>
      <c r="C33" s="59"/>
      <c r="D33" s="67"/>
      <c r="E33" s="59"/>
      <c r="F33" s="60"/>
      <c r="G33" s="60"/>
      <c r="H33" s="60"/>
      <c r="I33" s="53" t="str">
        <f t="shared" si="4"/>
        <v/>
      </c>
      <c r="J33" s="58" t="str">
        <f t="shared" ca="1" si="5"/>
        <v/>
      </c>
      <c r="K33" s="61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</row>
    <row r="34" spans="2:36" ht="18" customHeight="1">
      <c r="B34" s="58" t="str">
        <f t="shared" si="3"/>
        <v/>
      </c>
      <c r="C34" s="59"/>
      <c r="D34" s="67"/>
      <c r="E34" s="59"/>
      <c r="F34" s="60"/>
      <c r="G34" s="60"/>
      <c r="H34" s="60"/>
      <c r="I34" s="53" t="str">
        <f t="shared" si="4"/>
        <v/>
      </c>
      <c r="J34" s="58" t="str">
        <f t="shared" ca="1" si="5"/>
        <v/>
      </c>
      <c r="K34" s="61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</row>
    <row r="35" spans="2:36" ht="18" customHeight="1">
      <c r="B35" s="58" t="str">
        <f t="shared" si="3"/>
        <v/>
      </c>
      <c r="C35" s="59"/>
      <c r="D35" s="67"/>
      <c r="E35" s="59"/>
      <c r="F35" s="60"/>
      <c r="G35" s="60"/>
      <c r="H35" s="60"/>
      <c r="I35" s="53" t="str">
        <f t="shared" si="4"/>
        <v/>
      </c>
      <c r="J35" s="58" t="str">
        <f t="shared" ca="1" si="5"/>
        <v/>
      </c>
      <c r="K35" s="61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</row>
    <row r="36" spans="2:36" ht="18" customHeight="1">
      <c r="B36" s="58" t="str">
        <f t="shared" si="3"/>
        <v/>
      </c>
      <c r="C36" s="59"/>
      <c r="D36" s="67"/>
      <c r="E36" s="59"/>
      <c r="F36" s="60"/>
      <c r="G36" s="60"/>
      <c r="H36" s="60"/>
      <c r="I36" s="53" t="str">
        <f t="shared" si="4"/>
        <v/>
      </c>
      <c r="J36" s="58" t="str">
        <f t="shared" ca="1" si="5"/>
        <v/>
      </c>
      <c r="K36" s="61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</row>
    <row r="37" spans="2:36" ht="18" customHeight="1">
      <c r="B37" s="58" t="str">
        <f t="shared" si="3"/>
        <v/>
      </c>
      <c r="C37" s="59"/>
      <c r="D37" s="67"/>
      <c r="E37" s="59"/>
      <c r="F37" s="60"/>
      <c r="G37" s="60"/>
      <c r="H37" s="60"/>
      <c r="I37" s="53" t="str">
        <f t="shared" si="4"/>
        <v/>
      </c>
      <c r="J37" s="58" t="str">
        <f t="shared" ca="1" si="5"/>
        <v/>
      </c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</row>
    <row r="38" spans="2:36" ht="18" customHeight="1">
      <c r="B38" s="58" t="str">
        <f t="shared" si="3"/>
        <v/>
      </c>
      <c r="C38" s="59"/>
      <c r="D38" s="67"/>
      <c r="E38" s="59"/>
      <c r="F38" s="60"/>
      <c r="G38" s="60"/>
      <c r="H38" s="60"/>
      <c r="I38" s="53" t="str">
        <f t="shared" si="4"/>
        <v/>
      </c>
      <c r="J38" s="58" t="str">
        <f t="shared" ca="1" si="5"/>
        <v/>
      </c>
      <c r="K38" s="61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</row>
    <row r="39" spans="2:36" ht="18" customHeight="1">
      <c r="B39" s="58" t="str">
        <f t="shared" si="3"/>
        <v/>
      </c>
      <c r="C39" s="59"/>
      <c r="D39" s="67"/>
      <c r="E39" s="59"/>
      <c r="F39" s="60"/>
      <c r="G39" s="60"/>
      <c r="H39" s="60"/>
      <c r="I39" s="53" t="str">
        <f t="shared" si="4"/>
        <v/>
      </c>
      <c r="J39" s="58" t="str">
        <f t="shared" ca="1" si="5"/>
        <v/>
      </c>
      <c r="K39" s="61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2:36" ht="18" customHeight="1">
      <c r="B40" s="58" t="str">
        <f t="shared" si="3"/>
        <v/>
      </c>
      <c r="C40" s="59"/>
      <c r="D40" s="67"/>
      <c r="E40" s="59"/>
      <c r="F40" s="60"/>
      <c r="G40" s="60"/>
      <c r="H40" s="60"/>
      <c r="I40" s="53" t="str">
        <f t="shared" si="4"/>
        <v/>
      </c>
      <c r="J40" s="58" t="str">
        <f t="shared" ca="1" si="5"/>
        <v/>
      </c>
      <c r="K40" s="61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</row>
    <row r="41" spans="2:36" ht="18" customHeight="1">
      <c r="B41" s="58" t="str">
        <f t="shared" si="3"/>
        <v/>
      </c>
      <c r="C41" s="59"/>
      <c r="D41" s="67"/>
      <c r="E41" s="59"/>
      <c r="F41" s="60"/>
      <c r="G41" s="60"/>
      <c r="H41" s="60"/>
      <c r="I41" s="53" t="str">
        <f t="shared" si="4"/>
        <v/>
      </c>
      <c r="J41" s="58" t="str">
        <f t="shared" ca="1" si="5"/>
        <v/>
      </c>
      <c r="K41" s="61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</row>
    <row r="42" spans="2:36" ht="18" customHeight="1">
      <c r="B42" s="58" t="str">
        <f t="shared" si="3"/>
        <v/>
      </c>
      <c r="C42" s="59"/>
      <c r="D42" s="67"/>
      <c r="E42" s="59"/>
      <c r="F42" s="60"/>
      <c r="G42" s="60"/>
      <c r="H42" s="60"/>
      <c r="I42" s="53" t="str">
        <f t="shared" si="4"/>
        <v/>
      </c>
      <c r="J42" s="58" t="str">
        <f t="shared" ca="1" si="5"/>
        <v/>
      </c>
      <c r="K42" s="61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</row>
    <row r="43" spans="2:36" ht="18" customHeight="1">
      <c r="B43" s="58" t="str">
        <f t="shared" si="3"/>
        <v/>
      </c>
      <c r="C43" s="59"/>
      <c r="D43" s="67"/>
      <c r="E43" s="59"/>
      <c r="F43" s="60"/>
      <c r="G43" s="60"/>
      <c r="H43" s="60"/>
      <c r="I43" s="53" t="str">
        <f t="shared" si="4"/>
        <v/>
      </c>
      <c r="J43" s="58" t="str">
        <f t="shared" ca="1" si="5"/>
        <v/>
      </c>
      <c r="K43" s="61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</row>
    <row r="44" spans="2:36" ht="18" customHeight="1">
      <c r="B44" s="58" t="str">
        <f t="shared" si="3"/>
        <v/>
      </c>
      <c r="C44" s="59"/>
      <c r="D44" s="67"/>
      <c r="E44" s="59"/>
      <c r="F44" s="60"/>
      <c r="G44" s="60"/>
      <c r="H44" s="60"/>
      <c r="I44" s="53" t="str">
        <f t="shared" si="4"/>
        <v/>
      </c>
      <c r="J44" s="58" t="str">
        <f t="shared" ca="1" si="5"/>
        <v/>
      </c>
      <c r="K44" s="61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</row>
    <row r="45" spans="2:36" ht="18" customHeight="1">
      <c r="B45" s="58" t="str">
        <f t="shared" si="3"/>
        <v/>
      </c>
      <c r="C45" s="59"/>
      <c r="D45" s="67"/>
      <c r="E45" s="59"/>
      <c r="F45" s="60"/>
      <c r="G45" s="60"/>
      <c r="H45" s="60"/>
      <c r="I45" s="53" t="str">
        <f t="shared" si="4"/>
        <v/>
      </c>
      <c r="J45" s="58" t="str">
        <f t="shared" ca="1" si="5"/>
        <v/>
      </c>
      <c r="K45" s="61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</row>
    <row r="46" spans="2:36" ht="18" customHeight="1">
      <c r="B46" s="58" t="str">
        <f t="shared" si="3"/>
        <v/>
      </c>
      <c r="C46" s="59"/>
      <c r="D46" s="67"/>
      <c r="E46" s="59"/>
      <c r="F46" s="60"/>
      <c r="G46" s="60"/>
      <c r="H46" s="60"/>
      <c r="I46" s="53" t="str">
        <f t="shared" si="4"/>
        <v/>
      </c>
      <c r="J46" s="58" t="str">
        <f t="shared" ca="1" si="5"/>
        <v/>
      </c>
      <c r="K46" s="61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</row>
    <row r="47" spans="2:36" ht="18" customHeight="1">
      <c r="B47" s="58" t="str">
        <f t="shared" si="3"/>
        <v/>
      </c>
      <c r="C47" s="59"/>
      <c r="D47" s="67"/>
      <c r="E47" s="59"/>
      <c r="F47" s="60"/>
      <c r="G47" s="60"/>
      <c r="H47" s="60"/>
      <c r="I47" s="53" t="str">
        <f t="shared" si="4"/>
        <v/>
      </c>
      <c r="J47" s="58" t="str">
        <f t="shared" ca="1" si="5"/>
        <v/>
      </c>
      <c r="K47" s="61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</row>
    <row r="48" spans="2:36" ht="18" customHeight="1">
      <c r="B48" s="58" t="str">
        <f t="shared" si="3"/>
        <v/>
      </c>
      <c r="C48" s="59"/>
      <c r="D48" s="67"/>
      <c r="E48" s="59"/>
      <c r="F48" s="60"/>
      <c r="G48" s="60"/>
      <c r="H48" s="60"/>
      <c r="I48" s="53" t="str">
        <f t="shared" si="4"/>
        <v/>
      </c>
      <c r="J48" s="58" t="str">
        <f t="shared" ca="1" si="5"/>
        <v/>
      </c>
      <c r="K48" s="61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</row>
    <row r="49" spans="2:36" ht="18" customHeight="1">
      <c r="B49" s="58" t="str">
        <f t="shared" si="3"/>
        <v/>
      </c>
      <c r="C49" s="59"/>
      <c r="D49" s="67"/>
      <c r="E49" s="59"/>
      <c r="F49" s="60"/>
      <c r="G49" s="60"/>
      <c r="H49" s="60"/>
      <c r="I49" s="53" t="str">
        <f t="shared" si="4"/>
        <v/>
      </c>
      <c r="J49" s="58" t="str">
        <f t="shared" ca="1" si="5"/>
        <v/>
      </c>
      <c r="K49" s="61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</row>
    <row r="50" spans="2:36" ht="18" customHeight="1">
      <c r="B50" s="58" t="str">
        <f t="shared" si="3"/>
        <v/>
      </c>
      <c r="C50" s="59"/>
      <c r="D50" s="67"/>
      <c r="E50" s="59"/>
      <c r="F50" s="60"/>
      <c r="G50" s="60"/>
      <c r="H50" s="60"/>
      <c r="I50" s="53" t="str">
        <f t="shared" si="4"/>
        <v/>
      </c>
      <c r="J50" s="58" t="str">
        <f t="shared" ca="1" si="5"/>
        <v/>
      </c>
      <c r="K50" s="61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</row>
    <row r="51" spans="2:36" ht="18" customHeight="1">
      <c r="B51" s="58" t="str">
        <f t="shared" si="3"/>
        <v/>
      </c>
      <c r="C51" s="59"/>
      <c r="D51" s="67"/>
      <c r="E51" s="59"/>
      <c r="F51" s="60"/>
      <c r="G51" s="60"/>
      <c r="H51" s="60"/>
      <c r="I51" s="53" t="str">
        <f t="shared" si="4"/>
        <v/>
      </c>
      <c r="J51" s="58" t="str">
        <f t="shared" ca="1" si="5"/>
        <v/>
      </c>
      <c r="K51" s="61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</row>
    <row r="52" spans="2:36" ht="18" customHeight="1">
      <c r="B52" s="58" t="str">
        <f t="shared" si="3"/>
        <v/>
      </c>
      <c r="C52" s="59"/>
      <c r="D52" s="67"/>
      <c r="E52" s="59"/>
      <c r="F52" s="60"/>
      <c r="G52" s="60"/>
      <c r="H52" s="60"/>
      <c r="I52" s="53" t="str">
        <f t="shared" si="4"/>
        <v/>
      </c>
      <c r="J52" s="58" t="str">
        <f t="shared" ca="1" si="5"/>
        <v/>
      </c>
      <c r="K52" s="61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</row>
    <row r="53" spans="2:36" ht="18" customHeight="1">
      <c r="B53" s="58" t="str">
        <f t="shared" si="3"/>
        <v/>
      </c>
      <c r="C53" s="59"/>
      <c r="D53" s="67"/>
      <c r="E53" s="59"/>
      <c r="F53" s="60"/>
      <c r="G53" s="60"/>
      <c r="H53" s="60"/>
      <c r="I53" s="53" t="str">
        <f t="shared" si="4"/>
        <v/>
      </c>
      <c r="J53" s="58" t="str">
        <f t="shared" ca="1" si="5"/>
        <v/>
      </c>
      <c r="K53" s="61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</row>
    <row r="54" spans="2:36" ht="18" customHeight="1">
      <c r="B54" s="58" t="str">
        <f t="shared" si="3"/>
        <v/>
      </c>
      <c r="C54" s="59"/>
      <c r="D54" s="67"/>
      <c r="E54" s="59"/>
      <c r="F54" s="60"/>
      <c r="G54" s="60"/>
      <c r="H54" s="60"/>
      <c r="I54" s="53" t="str">
        <f t="shared" si="4"/>
        <v/>
      </c>
      <c r="J54" s="58" t="str">
        <f t="shared" ca="1" si="5"/>
        <v/>
      </c>
      <c r="K54" s="61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</row>
    <row r="55" spans="2:36" ht="18" customHeight="1">
      <c r="B55" s="58" t="str">
        <f t="shared" si="3"/>
        <v/>
      </c>
      <c r="C55" s="59"/>
      <c r="D55" s="67"/>
      <c r="E55" s="59"/>
      <c r="F55" s="60"/>
      <c r="G55" s="60"/>
      <c r="H55" s="60"/>
      <c r="I55" s="53" t="str">
        <f t="shared" si="4"/>
        <v/>
      </c>
      <c r="J55" s="58" t="str">
        <f t="shared" ca="1" si="5"/>
        <v/>
      </c>
      <c r="K55" s="61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</row>
    <row r="56" spans="2:36" ht="18" customHeight="1">
      <c r="B56" s="58" t="str">
        <f t="shared" si="3"/>
        <v/>
      </c>
      <c r="C56" s="59"/>
      <c r="D56" s="67"/>
      <c r="E56" s="59"/>
      <c r="F56" s="60"/>
      <c r="G56" s="60"/>
      <c r="H56" s="60"/>
      <c r="I56" s="53" t="str">
        <f t="shared" si="4"/>
        <v/>
      </c>
      <c r="J56" s="58" t="str">
        <f t="shared" ca="1" si="5"/>
        <v/>
      </c>
      <c r="K56" s="61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</row>
    <row r="57" spans="2:36" ht="18" customHeight="1">
      <c r="B57" s="58" t="str">
        <f t="shared" si="3"/>
        <v/>
      </c>
      <c r="C57" s="59"/>
      <c r="D57" s="67"/>
      <c r="E57" s="59"/>
      <c r="F57" s="60"/>
      <c r="G57" s="60"/>
      <c r="H57" s="60"/>
      <c r="I57" s="53" t="str">
        <f t="shared" si="4"/>
        <v/>
      </c>
      <c r="J57" s="58" t="str">
        <f t="shared" ca="1" si="5"/>
        <v/>
      </c>
      <c r="K57" s="61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</row>
    <row r="58" spans="2:36" ht="18" customHeight="1">
      <c r="B58" s="58" t="str">
        <f t="shared" si="3"/>
        <v/>
      </c>
      <c r="C58" s="59"/>
      <c r="D58" s="67"/>
      <c r="E58" s="59"/>
      <c r="F58" s="60"/>
      <c r="G58" s="60"/>
      <c r="H58" s="60"/>
      <c r="I58" s="53" t="str">
        <f t="shared" si="4"/>
        <v/>
      </c>
      <c r="J58" s="58" t="str">
        <f t="shared" ca="1" si="5"/>
        <v/>
      </c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</row>
  </sheetData>
  <mergeCells count="12">
    <mergeCell ref="B4:C5"/>
    <mergeCell ref="E4:E5"/>
    <mergeCell ref="J4:K5"/>
    <mergeCell ref="H6:H8"/>
    <mergeCell ref="I6:I8"/>
    <mergeCell ref="J6:J8"/>
    <mergeCell ref="B6:B8"/>
    <mergeCell ref="C6:C8"/>
    <mergeCell ref="E6:E8"/>
    <mergeCell ref="F6:F8"/>
    <mergeCell ref="G6:G8"/>
    <mergeCell ref="D6:D8"/>
  </mergeCells>
  <conditionalFormatting sqref="G9 G12:G58">
    <cfRule type="expression" dxfId="101" priority="17">
      <formula>AND(F9&lt;&gt;"",G9&lt;&gt;"",G9&lt;F9)</formula>
    </cfRule>
  </conditionalFormatting>
  <conditionalFormatting sqref="J9:J58">
    <cfRule type="containsText" dxfId="100" priority="14" operator="containsText" text="라이브 Live">
      <formula>NOT(ISERROR(SEARCH("라이브 Live",J9)))</formula>
    </cfRule>
    <cfRule type="containsText" dxfId="99" priority="15" operator="containsText" text="지연 Overdue">
      <formula>NOT(ISERROR(SEARCH("지연 Overdue",J9)))</formula>
    </cfRule>
    <cfRule type="containsText" dxfId="98" priority="16" operator="containsText" text="개발중 In Dev">
      <formula>NOT(ISERROR(SEARCH("개발중 In Dev",J9)))</formula>
    </cfRule>
  </conditionalFormatting>
  <conditionalFormatting sqref="K7:AJ8">
    <cfRule type="expression" dxfId="97" priority="27">
      <formula>AND(TODAY()&gt;=K$8,TODAY()&lt;=K$8+6)</formula>
    </cfRule>
  </conditionalFormatting>
  <conditionalFormatting sqref="K9:AJ58">
    <cfRule type="expression" dxfId="96" priority="19" stopIfTrue="1">
      <formula>AND($H9&lt;&gt;"",$H9&gt;=K$8,$H9&lt;=K$8+6)</formula>
    </cfRule>
    <cfRule type="expression" dxfId="95" priority="21" stopIfTrue="1">
      <formula>AND($J9="지연 Overdue",$G9&lt;&gt;"",K$8+6&gt;$G9,K$8&lt;=TODAY())</formula>
    </cfRule>
    <cfRule type="expression" dxfId="94" priority="23" stopIfTrue="1">
      <formula>AND($F9&lt;&gt;"",OR($J9="예정 Planned",$J9="라이브 Live"),$F9&lt;=K$8+6,IF($G9="",TODAY(),$G9)&gt;=K$8)</formula>
    </cfRule>
    <cfRule type="expression" dxfId="93" priority="25" stopIfTrue="1">
      <formula>AND($F9&lt;&gt;"",$F9&lt;=K$8+6,IF($G9="",TODAY(),$G9)&gt;=K$8)</formula>
    </cfRule>
    <cfRule type="expression" dxfId="92" priority="26">
      <formula>AND(TODAY()&gt;=K$8,TODAY()&lt;=K$8+6)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F9:H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AJ5" activePane="bottomRight" state="frozen"/>
      <selection pane="bottomRight" activeCell="AK3" sqref="AK3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87" t="s">
        <v>99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100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102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103</v>
      </c>
      <c r="AE3" s="94"/>
      <c r="AF3" s="94"/>
      <c r="AG3" s="94"/>
      <c r="AH3" s="94"/>
      <c r="AI3" s="94"/>
      <c r="AJ3" s="94"/>
      <c r="AK3" s="85" t="s">
        <v>104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105</v>
      </c>
      <c r="D4" s="4" t="s">
        <v>19</v>
      </c>
      <c r="E4" s="4" t="s">
        <v>49</v>
      </c>
      <c r="F4" s="4" t="s">
        <v>106</v>
      </c>
      <c r="G4" s="4" t="s">
        <v>107</v>
      </c>
      <c r="H4" s="4" t="s">
        <v>108</v>
      </c>
      <c r="I4" s="4" t="s">
        <v>109</v>
      </c>
      <c r="J4" s="4" t="s">
        <v>110</v>
      </c>
      <c r="K4" s="4" t="s">
        <v>111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4" t="s">
        <v>134</v>
      </c>
      <c r="AI4" s="4" t="s">
        <v>135</v>
      </c>
      <c r="AJ4" s="4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  <c r="AV4" s="21" t="s">
        <v>148</v>
      </c>
      <c r="AW4" s="21" t="s">
        <v>149</v>
      </c>
      <c r="AX4" s="21" t="s">
        <v>150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151</v>
      </c>
      <c r="G5" s="24" t="s">
        <v>152</v>
      </c>
      <c r="H5" s="13" t="s">
        <v>153</v>
      </c>
      <c r="I5" s="25" t="s">
        <v>154</v>
      </c>
      <c r="J5" s="25" t="s">
        <v>155</v>
      </c>
      <c r="K5" s="22">
        <f>COUNTIF('스위칭 연동 Switching'!$I$5:$I$400,"*Shiji*")</f>
        <v>5</v>
      </c>
      <c r="L5" s="13" t="s">
        <v>156</v>
      </c>
      <c r="M5" s="13" t="s">
        <v>157</v>
      </c>
      <c r="N5" s="22" t="s">
        <v>158</v>
      </c>
      <c r="O5" s="13" t="s">
        <v>159</v>
      </c>
      <c r="P5" s="13" t="s">
        <v>41</v>
      </c>
      <c r="Q5" s="13" t="s">
        <v>160</v>
      </c>
      <c r="R5" s="22" t="s">
        <v>161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38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820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24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162</v>
      </c>
      <c r="AG5" s="29" t="s">
        <v>163</v>
      </c>
      <c r="AH5" s="25" t="s">
        <v>164</v>
      </c>
      <c r="AI5" s="13" t="s">
        <v>165</v>
      </c>
      <c r="AJ5" s="16" t="s">
        <v>166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167</v>
      </c>
      <c r="G6" s="24" t="s">
        <v>168</v>
      </c>
      <c r="H6" s="13" t="s">
        <v>153</v>
      </c>
      <c r="I6" s="25" t="s">
        <v>169</v>
      </c>
      <c r="J6" s="25" t="s">
        <v>170</v>
      </c>
      <c r="K6" s="22">
        <f>COUNTIF('스위칭 연동 Switching'!$I$5:$I$400,"*TGX*")</f>
        <v>13</v>
      </c>
      <c r="L6" s="13" t="s">
        <v>156</v>
      </c>
      <c r="M6" s="13" t="s">
        <v>157</v>
      </c>
      <c r="N6" s="22" t="s">
        <v>158</v>
      </c>
      <c r="O6" s="13" t="s">
        <v>159</v>
      </c>
      <c r="P6" s="13" t="s">
        <v>41</v>
      </c>
      <c r="Q6" s="13" t="s">
        <v>160</v>
      </c>
      <c r="R6" s="22" t="s">
        <v>161</v>
      </c>
      <c r="S6" s="26">
        <f t="shared" si="2"/>
        <v>0.6</v>
      </c>
      <c r="T6" s="27">
        <f t="shared" si="3"/>
        <v>46287</v>
      </c>
      <c r="U6" s="22">
        <f t="shared" ca="1" si="4"/>
        <v>37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37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24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171</v>
      </c>
      <c r="AG6" s="29" t="s">
        <v>172</v>
      </c>
      <c r="AH6" s="25"/>
      <c r="AI6" s="13" t="s">
        <v>173</v>
      </c>
      <c r="AJ6" s="16" t="s">
        <v>166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174</v>
      </c>
      <c r="G7" s="24" t="s">
        <v>175</v>
      </c>
      <c r="H7" s="13" t="s">
        <v>153</v>
      </c>
      <c r="I7" s="25" t="s">
        <v>170</v>
      </c>
      <c r="J7" s="25" t="s">
        <v>170</v>
      </c>
      <c r="K7" s="22">
        <f>COUNTIF('스위칭 연동 Switching'!$I$5:$I$400,"*ZentrumHub*")</f>
        <v>1</v>
      </c>
      <c r="L7" s="13" t="s">
        <v>156</v>
      </c>
      <c r="M7" s="13"/>
      <c r="N7" s="22"/>
      <c r="O7" s="13" t="s">
        <v>176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1</v>
      </c>
      <c r="Z7" s="27">
        <f>IF(N($Y7)=0,"",_xlfn.MAXIFS('Chase Log'!$E$4:$E$2000,'Chase Log'!$B$4:$B$2000,$G7))</f>
        <v>46322</v>
      </c>
      <c r="AA7" s="22">
        <f t="shared" ca="1" si="7"/>
        <v>2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46329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177</v>
      </c>
      <c r="AG7" s="29" t="s">
        <v>178</v>
      </c>
      <c r="AH7" s="25"/>
      <c r="AI7" s="13" t="s">
        <v>179</v>
      </c>
      <c r="AJ7" s="16" t="s">
        <v>180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181</v>
      </c>
      <c r="E8" s="13" t="s">
        <v>27</v>
      </c>
      <c r="F8" s="13" t="s">
        <v>182</v>
      </c>
      <c r="G8" s="24" t="s">
        <v>183</v>
      </c>
      <c r="H8" s="13" t="s">
        <v>153</v>
      </c>
      <c r="I8" s="25" t="s">
        <v>170</v>
      </c>
      <c r="J8" s="25" t="s">
        <v>170</v>
      </c>
      <c r="K8" s="22">
        <f>COUNTIF('스위칭 연동 Switching'!$I$5:$I$400,"*11infortec*")</f>
        <v>0</v>
      </c>
      <c r="L8" s="13" t="s">
        <v>156</v>
      </c>
      <c r="M8" s="13" t="s">
        <v>157</v>
      </c>
      <c r="N8" s="22" t="s">
        <v>184</v>
      </c>
      <c r="O8" s="13" t="s">
        <v>185</v>
      </c>
      <c r="P8" s="13" t="s">
        <v>41</v>
      </c>
      <c r="Q8" s="13" t="s">
        <v>186</v>
      </c>
      <c r="R8" s="22" t="s">
        <v>161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166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187</v>
      </c>
      <c r="E9" s="13" t="s">
        <v>29</v>
      </c>
      <c r="F9" s="13" t="s">
        <v>151</v>
      </c>
      <c r="G9" s="24" t="s">
        <v>188</v>
      </c>
      <c r="H9" s="13" t="s">
        <v>153</v>
      </c>
      <c r="I9" s="25" t="s">
        <v>170</v>
      </c>
      <c r="J9" s="25" t="s">
        <v>170</v>
      </c>
      <c r="K9" s="22">
        <f>COUNTIF('스위칭 연동 Switching'!$I$5:$I$400,"*Derbysoft*")</f>
        <v>0</v>
      </c>
      <c r="L9" s="13" t="s">
        <v>156</v>
      </c>
      <c r="M9" s="13" t="s">
        <v>157</v>
      </c>
      <c r="N9" s="22" t="s">
        <v>184</v>
      </c>
      <c r="O9" s="13" t="s">
        <v>185</v>
      </c>
      <c r="P9" s="13" t="s">
        <v>41</v>
      </c>
      <c r="Q9" s="13" t="s">
        <v>186</v>
      </c>
      <c r="R9" s="22" t="s">
        <v>161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166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187</v>
      </c>
      <c r="E10" s="13" t="s">
        <v>30</v>
      </c>
      <c r="F10" s="13" t="s">
        <v>189</v>
      </c>
      <c r="G10" s="24" t="s">
        <v>190</v>
      </c>
      <c r="H10" s="13" t="s">
        <v>153</v>
      </c>
      <c r="I10" s="25" t="s">
        <v>170</v>
      </c>
      <c r="J10" s="25" t="s">
        <v>170</v>
      </c>
      <c r="K10" s="22">
        <f>COUNTIF('스위칭 연동 Switching'!$I$5:$I$400,"*TAN*")</f>
        <v>1</v>
      </c>
      <c r="L10" s="13" t="s">
        <v>156</v>
      </c>
      <c r="M10" s="13" t="s">
        <v>157</v>
      </c>
      <c r="N10" s="22" t="s">
        <v>184</v>
      </c>
      <c r="O10" s="13" t="s">
        <v>185</v>
      </c>
      <c r="P10" s="13" t="s">
        <v>41</v>
      </c>
      <c r="Q10" s="13" t="s">
        <v>186</v>
      </c>
      <c r="R10" s="22" t="s">
        <v>161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166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187</v>
      </c>
      <c r="E11" s="13" t="s">
        <v>34</v>
      </c>
      <c r="F11" s="13" t="s">
        <v>167</v>
      </c>
      <c r="G11" s="24" t="s">
        <v>191</v>
      </c>
      <c r="H11" s="13" t="s">
        <v>153</v>
      </c>
      <c r="I11" s="25" t="s">
        <v>170</v>
      </c>
      <c r="J11" s="25" t="s">
        <v>170</v>
      </c>
      <c r="K11" s="22">
        <f>COUNTIF('스위칭 연동 Switching'!$I$5:$I$400,"*Juniper*")</f>
        <v>1</v>
      </c>
      <c r="L11" s="13" t="s">
        <v>156</v>
      </c>
      <c r="M11" s="13" t="s">
        <v>157</v>
      </c>
      <c r="N11" s="22" t="s">
        <v>192</v>
      </c>
      <c r="O11" s="13" t="s">
        <v>193</v>
      </c>
      <c r="P11" s="13" t="s">
        <v>41</v>
      </c>
      <c r="Q11" s="13" t="s">
        <v>194</v>
      </c>
      <c r="R11" s="22" t="s">
        <v>161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195</v>
      </c>
      <c r="AG11" s="29" t="s">
        <v>196</v>
      </c>
      <c r="AH11" s="25"/>
      <c r="AI11" s="13" t="s">
        <v>197</v>
      </c>
      <c r="AJ11" s="16" t="s">
        <v>166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187</v>
      </c>
      <c r="E12" s="13" t="s">
        <v>34</v>
      </c>
      <c r="F12" s="13" t="s">
        <v>198</v>
      </c>
      <c r="G12" s="24" t="s">
        <v>199</v>
      </c>
      <c r="H12" s="13" t="s">
        <v>153</v>
      </c>
      <c r="I12" s="25" t="s">
        <v>170</v>
      </c>
      <c r="J12" s="25" t="s">
        <v>170</v>
      </c>
      <c r="K12" s="22">
        <f>COUNTIF('스위칭 연동 Switching'!$I$5:$I$400,"*Synxis*")</f>
        <v>0</v>
      </c>
      <c r="L12" s="13" t="s">
        <v>156</v>
      </c>
      <c r="M12" s="13" t="s">
        <v>157</v>
      </c>
      <c r="N12" s="22" t="s">
        <v>184</v>
      </c>
      <c r="O12" s="13" t="s">
        <v>185</v>
      </c>
      <c r="P12" s="13" t="s">
        <v>41</v>
      </c>
      <c r="Q12" s="13" t="s">
        <v>186</v>
      </c>
      <c r="R12" s="22" t="s">
        <v>161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166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H5" activePane="bottomRight" state="frozen"/>
      <selection pane="bottomRight" activeCell="O20" sqref="O2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87" t="s">
        <v>200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100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102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103</v>
      </c>
      <c r="AB3" s="94"/>
      <c r="AC3" s="94"/>
      <c r="AD3" s="94"/>
      <c r="AE3" s="94"/>
      <c r="AF3" s="94"/>
      <c r="AG3" s="94"/>
      <c r="AH3" s="85" t="s">
        <v>104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105</v>
      </c>
      <c r="D4" s="4" t="s">
        <v>19</v>
      </c>
      <c r="E4" s="4" t="s">
        <v>49</v>
      </c>
      <c r="F4" s="4" t="s">
        <v>106</v>
      </c>
      <c r="G4" s="4" t="s">
        <v>107</v>
      </c>
      <c r="H4" s="4" t="s">
        <v>108</v>
      </c>
      <c r="I4" s="4" t="s">
        <v>112</v>
      </c>
      <c r="J4" s="4" t="s">
        <v>113</v>
      </c>
      <c r="K4" s="4" t="s">
        <v>114</v>
      </c>
      <c r="L4" s="4" t="s">
        <v>115</v>
      </c>
      <c r="M4" s="4" t="s">
        <v>116</v>
      </c>
      <c r="N4" s="4" t="s">
        <v>117</v>
      </c>
      <c r="O4" s="4" t="s">
        <v>118</v>
      </c>
      <c r="P4" s="4" t="s">
        <v>119</v>
      </c>
      <c r="Q4" s="4" t="s">
        <v>120</v>
      </c>
      <c r="R4" s="4" t="s">
        <v>121</v>
      </c>
      <c r="S4" s="4" t="s">
        <v>122</v>
      </c>
      <c r="T4" s="4" t="s">
        <v>123</v>
      </c>
      <c r="U4" s="4" t="s">
        <v>124</v>
      </c>
      <c r="V4" s="4" t="s">
        <v>125</v>
      </c>
      <c r="W4" s="4" t="s">
        <v>126</v>
      </c>
      <c r="X4" s="4" t="s">
        <v>127</v>
      </c>
      <c r="Y4" s="4" t="s">
        <v>128</v>
      </c>
      <c r="Z4" s="4" t="s">
        <v>129</v>
      </c>
      <c r="AA4" s="4" t="s">
        <v>130</v>
      </c>
      <c r="AB4" s="4" t="s">
        <v>131</v>
      </c>
      <c r="AC4" s="4" t="s">
        <v>132</v>
      </c>
      <c r="AD4" s="4" t="s">
        <v>133</v>
      </c>
      <c r="AE4" s="4" t="s">
        <v>134</v>
      </c>
      <c r="AF4" s="4" t="s">
        <v>135</v>
      </c>
      <c r="AG4" s="4" t="s">
        <v>136</v>
      </c>
      <c r="AH4" s="21" t="s">
        <v>137</v>
      </c>
      <c r="AI4" s="21" t="s">
        <v>138</v>
      </c>
      <c r="AJ4" s="21" t="s">
        <v>139</v>
      </c>
      <c r="AK4" s="21" t="s">
        <v>140</v>
      </c>
      <c r="AL4" s="21" t="s">
        <v>141</v>
      </c>
      <c r="AM4" s="21" t="s">
        <v>142</v>
      </c>
      <c r="AN4" s="21" t="s">
        <v>143</v>
      </c>
      <c r="AO4" s="21" t="s">
        <v>144</v>
      </c>
      <c r="AP4" s="21" t="s">
        <v>145</v>
      </c>
      <c r="AQ4" s="21" t="s">
        <v>146</v>
      </c>
      <c r="AR4" s="21" t="s">
        <v>147</v>
      </c>
      <c r="AS4" s="21" t="s">
        <v>148</v>
      </c>
      <c r="AT4" s="21" t="s">
        <v>149</v>
      </c>
      <c r="AU4" s="21" t="s">
        <v>150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201</v>
      </c>
      <c r="G5" s="24" t="s">
        <v>55</v>
      </c>
      <c r="H5" s="13" t="s">
        <v>202</v>
      </c>
      <c r="I5" s="13" t="s">
        <v>203</v>
      </c>
      <c r="J5" s="13" t="s">
        <v>204</v>
      </c>
      <c r="K5" s="22" t="s">
        <v>158</v>
      </c>
      <c r="L5" s="13" t="s">
        <v>205</v>
      </c>
      <c r="M5" s="13" t="s">
        <v>39</v>
      </c>
      <c r="N5" s="13" t="s">
        <v>194</v>
      </c>
      <c r="O5" s="22" t="s">
        <v>206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412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412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24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207</v>
      </c>
      <c r="AD5" s="29" t="s">
        <v>208</v>
      </c>
      <c r="AE5" s="25"/>
      <c r="AF5" s="13" t="s">
        <v>179</v>
      </c>
      <c r="AG5" s="16" t="s">
        <v>166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209</v>
      </c>
      <c r="G6" s="24" t="s">
        <v>210</v>
      </c>
      <c r="H6" s="13" t="s">
        <v>211</v>
      </c>
      <c r="I6" s="13" t="s">
        <v>212</v>
      </c>
      <c r="J6" s="13" t="s">
        <v>213</v>
      </c>
      <c r="K6" s="22" t="s">
        <v>192</v>
      </c>
      <c r="L6" s="13" t="s">
        <v>159</v>
      </c>
      <c r="M6" s="13" t="s">
        <v>41</v>
      </c>
      <c r="N6" s="13" t="s">
        <v>160</v>
      </c>
      <c r="O6" s="22" t="s">
        <v>206</v>
      </c>
      <c r="P6" s="26">
        <f t="shared" si="2"/>
        <v>0.2</v>
      </c>
      <c r="Q6" s="27">
        <f t="shared" si="3"/>
        <v>46267</v>
      </c>
      <c r="R6" s="22">
        <f t="shared" ca="1" si="4"/>
        <v>57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57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24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214</v>
      </c>
      <c r="AD6" s="29" t="s">
        <v>215</v>
      </c>
      <c r="AE6" s="25"/>
      <c r="AF6" s="13" t="s">
        <v>216</v>
      </c>
      <c r="AG6" s="16" t="s">
        <v>217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174</v>
      </c>
      <c r="G7" s="24" t="s">
        <v>218</v>
      </c>
      <c r="H7" s="13" t="s">
        <v>202</v>
      </c>
      <c r="I7" s="13" t="s">
        <v>219</v>
      </c>
      <c r="J7" s="13" t="s">
        <v>213</v>
      </c>
      <c r="K7" s="22" t="s">
        <v>192</v>
      </c>
      <c r="L7" s="13" t="s">
        <v>205</v>
      </c>
      <c r="M7" s="13" t="s">
        <v>40</v>
      </c>
      <c r="N7" s="13" t="s">
        <v>160</v>
      </c>
      <c r="O7" s="22" t="s">
        <v>206</v>
      </c>
      <c r="P7" s="26">
        <f t="shared" si="2"/>
        <v>0.2</v>
      </c>
      <c r="Q7" s="27">
        <f t="shared" si="3"/>
        <v>46267</v>
      </c>
      <c r="R7" s="22">
        <f t="shared" ca="1" si="4"/>
        <v>57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57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24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220</v>
      </c>
      <c r="AD7" s="29" t="s">
        <v>221</v>
      </c>
      <c r="AE7" s="25"/>
      <c r="AF7" s="13" t="s">
        <v>222</v>
      </c>
      <c r="AG7" s="16" t="s">
        <v>166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223</v>
      </c>
      <c r="G8" s="24" t="s">
        <v>224</v>
      </c>
      <c r="H8" s="13" t="s">
        <v>170</v>
      </c>
      <c r="I8" s="13" t="s">
        <v>168</v>
      </c>
      <c r="J8" s="13" t="s">
        <v>213</v>
      </c>
      <c r="K8" s="22" t="s">
        <v>192</v>
      </c>
      <c r="L8" s="13" t="s">
        <v>176</v>
      </c>
      <c r="M8" s="13" t="s">
        <v>43</v>
      </c>
      <c r="N8" s="13" t="s">
        <v>160</v>
      </c>
      <c r="O8" s="22" t="s">
        <v>206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225</v>
      </c>
      <c r="AD8" s="29" t="s">
        <v>226</v>
      </c>
      <c r="AE8" s="25"/>
      <c r="AF8" s="13" t="s">
        <v>227</v>
      </c>
      <c r="AG8" s="16" t="s">
        <v>166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189</v>
      </c>
      <c r="G9" s="24" t="s">
        <v>228</v>
      </c>
      <c r="H9" s="13" t="s">
        <v>202</v>
      </c>
      <c r="I9" s="13" t="s">
        <v>229</v>
      </c>
      <c r="J9" s="13" t="s">
        <v>213</v>
      </c>
      <c r="K9" s="22" t="s">
        <v>192</v>
      </c>
      <c r="L9" s="13" t="s">
        <v>176</v>
      </c>
      <c r="M9" s="13" t="s">
        <v>40</v>
      </c>
      <c r="N9" s="13" t="s">
        <v>160</v>
      </c>
      <c r="O9" s="22" t="s">
        <v>206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1</v>
      </c>
      <c r="W9" s="27">
        <f>IF(N($V9)=0,"",_xlfn.MAXIFS('Chase Log'!$E$4:$E$2000,'Chase Log'!$B$4:$B$2000,$G9))</f>
        <v>46304</v>
      </c>
      <c r="X9" s="22">
        <f t="shared" ca="1" si="7"/>
        <v>20</v>
      </c>
      <c r="Y9" s="27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>46311</v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Overdue</v>
      </c>
      <c r="AA9" s="28"/>
      <c r="AB9" s="25"/>
      <c r="AC9" s="25" t="s">
        <v>230</v>
      </c>
      <c r="AD9" s="29" t="s">
        <v>231</v>
      </c>
      <c r="AE9" s="25"/>
      <c r="AF9" s="13" t="s">
        <v>232</v>
      </c>
      <c r="AG9" s="16" t="s">
        <v>166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174</v>
      </c>
      <c r="G10" s="24" t="s">
        <v>233</v>
      </c>
      <c r="H10" s="13" t="s">
        <v>211</v>
      </c>
      <c r="I10" s="13" t="s">
        <v>168</v>
      </c>
      <c r="J10" s="13" t="s">
        <v>213</v>
      </c>
      <c r="K10" s="22" t="s">
        <v>158</v>
      </c>
      <c r="L10" s="13" t="s">
        <v>205</v>
      </c>
      <c r="M10" s="13" t="s">
        <v>41</v>
      </c>
      <c r="N10" s="13" t="s">
        <v>160</v>
      </c>
      <c r="O10" s="22" t="s">
        <v>206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234</v>
      </c>
      <c r="AD10" s="29" t="s">
        <v>235</v>
      </c>
      <c r="AE10" s="25"/>
      <c r="AF10" s="13" t="s">
        <v>236</v>
      </c>
      <c r="AG10" s="16" t="s">
        <v>237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238</v>
      </c>
      <c r="G11" s="24" t="s">
        <v>239</v>
      </c>
      <c r="H11" s="13" t="s">
        <v>170</v>
      </c>
      <c r="I11" s="13" t="s">
        <v>168</v>
      </c>
      <c r="J11" s="13" t="s">
        <v>157</v>
      </c>
      <c r="K11" s="22" t="s">
        <v>184</v>
      </c>
      <c r="L11" s="13" t="s">
        <v>185</v>
      </c>
      <c r="M11" s="13" t="s">
        <v>40</v>
      </c>
      <c r="N11" s="13" t="s">
        <v>160</v>
      </c>
      <c r="O11" s="22" t="s">
        <v>206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166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167</v>
      </c>
      <c r="G12" s="24" t="s">
        <v>240</v>
      </c>
      <c r="H12" s="13" t="s">
        <v>211</v>
      </c>
      <c r="I12" s="13" t="s">
        <v>168</v>
      </c>
      <c r="J12" s="13" t="s">
        <v>204</v>
      </c>
      <c r="K12" s="22" t="s">
        <v>158</v>
      </c>
      <c r="L12" s="13" t="s">
        <v>205</v>
      </c>
      <c r="M12" s="13" t="s">
        <v>41</v>
      </c>
      <c r="N12" s="13" t="s">
        <v>186</v>
      </c>
      <c r="O12" s="22" t="s">
        <v>206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241</v>
      </c>
      <c r="AD12" s="29" t="s">
        <v>242</v>
      </c>
      <c r="AE12" s="25"/>
      <c r="AF12" s="13" t="s">
        <v>243</v>
      </c>
      <c r="AG12" s="16" t="s">
        <v>166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167</v>
      </c>
      <c r="G13" s="24" t="s">
        <v>244</v>
      </c>
      <c r="H13" s="13" t="s">
        <v>211</v>
      </c>
      <c r="I13" s="13" t="s">
        <v>245</v>
      </c>
      <c r="J13" s="13" t="s">
        <v>213</v>
      </c>
      <c r="K13" s="22" t="s">
        <v>158</v>
      </c>
      <c r="L13" s="13" t="s">
        <v>205</v>
      </c>
      <c r="M13" s="13" t="s">
        <v>41</v>
      </c>
      <c r="N13" s="13" t="s">
        <v>160</v>
      </c>
      <c r="O13" s="22" t="s">
        <v>206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246</v>
      </c>
      <c r="AD13" s="29" t="s">
        <v>247</v>
      </c>
      <c r="AE13" s="25"/>
      <c r="AF13" s="13" t="s">
        <v>248</v>
      </c>
      <c r="AG13" s="16" t="s">
        <v>237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167</v>
      </c>
      <c r="G14" s="24" t="s">
        <v>249</v>
      </c>
      <c r="H14" s="13" t="s">
        <v>211</v>
      </c>
      <c r="I14" s="13" t="s">
        <v>152</v>
      </c>
      <c r="J14" s="13" t="s">
        <v>250</v>
      </c>
      <c r="K14" s="22" t="s">
        <v>192</v>
      </c>
      <c r="L14" s="13" t="s">
        <v>205</v>
      </c>
      <c r="M14" s="13" t="s">
        <v>41</v>
      </c>
      <c r="N14" s="13" t="s">
        <v>160</v>
      </c>
      <c r="O14" s="22" t="s">
        <v>206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1</v>
      </c>
      <c r="W14" s="27">
        <f>IF(N($V14)=0,"",_xlfn.MAXIFS('Chase Log'!$E$4:$E$2000,'Chase Log'!$B$4:$B$2000,$G14))</f>
        <v>46303</v>
      </c>
      <c r="X14" s="22">
        <f t="shared" ca="1" si="7"/>
        <v>21</v>
      </c>
      <c r="Y14" s="27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>46310</v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Overdue</v>
      </c>
      <c r="AA14" s="28"/>
      <c r="AB14" s="25"/>
      <c r="AC14" s="25" t="s">
        <v>251</v>
      </c>
      <c r="AD14" s="29" t="s">
        <v>252</v>
      </c>
      <c r="AE14" s="25"/>
      <c r="AF14" s="13" t="s">
        <v>253</v>
      </c>
      <c r="AG14" s="16" t="s">
        <v>166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167</v>
      </c>
      <c r="G15" s="24" t="s">
        <v>254</v>
      </c>
      <c r="H15" s="13" t="s">
        <v>211</v>
      </c>
      <c r="I15" s="13" t="s">
        <v>168</v>
      </c>
      <c r="J15" s="13" t="s">
        <v>255</v>
      </c>
      <c r="K15" s="22" t="s">
        <v>192</v>
      </c>
      <c r="L15" s="13" t="s">
        <v>205</v>
      </c>
      <c r="M15" s="13" t="s">
        <v>41</v>
      </c>
      <c r="N15" s="13" t="s">
        <v>194</v>
      </c>
      <c r="O15" s="22" t="s">
        <v>206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256</v>
      </c>
      <c r="AD15" s="29" t="s">
        <v>257</v>
      </c>
      <c r="AE15" s="25"/>
      <c r="AF15" s="13" t="s">
        <v>258</v>
      </c>
      <c r="AG15" s="16" t="s">
        <v>166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209</v>
      </c>
      <c r="G16" s="24" t="s">
        <v>259</v>
      </c>
      <c r="H16" s="13" t="s">
        <v>211</v>
      </c>
      <c r="I16" s="13" t="s">
        <v>260</v>
      </c>
      <c r="J16" s="13"/>
      <c r="K16" s="22"/>
      <c r="L16" s="13" t="s">
        <v>176</v>
      </c>
      <c r="M16" s="13" t="s">
        <v>41</v>
      </c>
      <c r="N16" s="13"/>
      <c r="O16" s="22" t="s">
        <v>206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261</v>
      </c>
      <c r="AD16" s="29" t="s">
        <v>262</v>
      </c>
      <c r="AE16" s="25"/>
      <c r="AF16" s="13" t="s">
        <v>243</v>
      </c>
      <c r="AG16" s="16" t="s">
        <v>180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174</v>
      </c>
      <c r="G17" s="24" t="s">
        <v>263</v>
      </c>
      <c r="H17" s="13" t="s">
        <v>211</v>
      </c>
      <c r="I17" s="13" t="s">
        <v>264</v>
      </c>
      <c r="J17" s="13"/>
      <c r="K17" s="22"/>
      <c r="L17" s="13" t="s">
        <v>265</v>
      </c>
      <c r="M17" s="13" t="s">
        <v>41</v>
      </c>
      <c r="N17" s="13"/>
      <c r="O17" s="22" t="s">
        <v>206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266</v>
      </c>
      <c r="AD17" s="29" t="s">
        <v>267</v>
      </c>
      <c r="AE17" s="25"/>
      <c r="AF17" s="13"/>
      <c r="AG17" s="16" t="s">
        <v>180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174</v>
      </c>
      <c r="G18" s="24" t="s">
        <v>268</v>
      </c>
      <c r="H18" s="13" t="s">
        <v>202</v>
      </c>
      <c r="I18" s="13" t="s">
        <v>269</v>
      </c>
      <c r="J18" s="13"/>
      <c r="K18" s="22"/>
      <c r="L18" s="13" t="s">
        <v>176</v>
      </c>
      <c r="M18" s="13" t="s">
        <v>40</v>
      </c>
      <c r="N18" s="13"/>
      <c r="O18" s="22" t="s">
        <v>206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270</v>
      </c>
      <c r="AD18" s="29" t="s">
        <v>271</v>
      </c>
      <c r="AE18" s="25"/>
      <c r="AF18" s="13" t="s">
        <v>179</v>
      </c>
      <c r="AG18" s="16" t="s">
        <v>180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238</v>
      </c>
      <c r="G19" s="24" t="s">
        <v>272</v>
      </c>
      <c r="H19" s="13" t="s">
        <v>211</v>
      </c>
      <c r="I19" s="13" t="s">
        <v>273</v>
      </c>
      <c r="J19" s="13"/>
      <c r="K19" s="22"/>
      <c r="L19" s="13" t="s">
        <v>176</v>
      </c>
      <c r="M19" s="13" t="s">
        <v>41</v>
      </c>
      <c r="N19" s="13"/>
      <c r="O19" s="22" t="s">
        <v>206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274</v>
      </c>
      <c r="AD19" s="29" t="s">
        <v>275</v>
      </c>
      <c r="AE19" s="25"/>
      <c r="AF19" s="13" t="s">
        <v>258</v>
      </c>
      <c r="AG19" s="16" t="s">
        <v>180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167</v>
      </c>
      <c r="G20" s="24" t="s">
        <v>276</v>
      </c>
      <c r="H20" s="13" t="s">
        <v>211</v>
      </c>
      <c r="I20" s="13" t="s">
        <v>191</v>
      </c>
      <c r="J20" s="13"/>
      <c r="K20" s="22"/>
      <c r="L20" s="13" t="s">
        <v>176</v>
      </c>
      <c r="M20" s="13" t="s">
        <v>41</v>
      </c>
      <c r="N20" s="13"/>
      <c r="O20" s="22" t="s">
        <v>206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277</v>
      </c>
      <c r="AD20" s="29" t="s">
        <v>278</v>
      </c>
      <c r="AE20" s="25"/>
      <c r="AF20" s="13" t="s">
        <v>279</v>
      </c>
      <c r="AG20" s="16" t="s">
        <v>180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87" t="s">
        <v>280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100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102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103</v>
      </c>
      <c r="AB3" s="94"/>
      <c r="AC3" s="94"/>
      <c r="AD3" s="94"/>
      <c r="AE3" s="94"/>
      <c r="AF3" s="94"/>
      <c r="AG3" s="94"/>
      <c r="AH3" s="85" t="s">
        <v>104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105</v>
      </c>
      <c r="D4" s="4" t="s">
        <v>19</v>
      </c>
      <c r="E4" s="4" t="s">
        <v>49</v>
      </c>
      <c r="F4" s="4" t="s">
        <v>106</v>
      </c>
      <c r="G4" s="4" t="s">
        <v>107</v>
      </c>
      <c r="H4" s="4" t="s">
        <v>108</v>
      </c>
      <c r="I4" s="4" t="s">
        <v>112</v>
      </c>
      <c r="J4" s="4" t="s">
        <v>113</v>
      </c>
      <c r="K4" s="4" t="s">
        <v>114</v>
      </c>
      <c r="L4" s="4" t="s">
        <v>115</v>
      </c>
      <c r="M4" s="4" t="s">
        <v>116</v>
      </c>
      <c r="N4" s="4" t="s">
        <v>117</v>
      </c>
      <c r="O4" s="4" t="s">
        <v>118</v>
      </c>
      <c r="P4" s="4" t="s">
        <v>119</v>
      </c>
      <c r="Q4" s="4" t="s">
        <v>120</v>
      </c>
      <c r="R4" s="4" t="s">
        <v>121</v>
      </c>
      <c r="S4" s="4" t="s">
        <v>122</v>
      </c>
      <c r="T4" s="4" t="s">
        <v>123</v>
      </c>
      <c r="U4" s="4" t="s">
        <v>124</v>
      </c>
      <c r="V4" s="4" t="s">
        <v>125</v>
      </c>
      <c r="W4" s="4" t="s">
        <v>126</v>
      </c>
      <c r="X4" s="4" t="s">
        <v>127</v>
      </c>
      <c r="Y4" s="4" t="s">
        <v>128</v>
      </c>
      <c r="Z4" s="4" t="s">
        <v>129</v>
      </c>
      <c r="AA4" s="4" t="s">
        <v>130</v>
      </c>
      <c r="AB4" s="4" t="s">
        <v>131</v>
      </c>
      <c r="AC4" s="4" t="s">
        <v>132</v>
      </c>
      <c r="AD4" s="4" t="s">
        <v>133</v>
      </c>
      <c r="AE4" s="4" t="s">
        <v>134</v>
      </c>
      <c r="AF4" s="4" t="s">
        <v>135</v>
      </c>
      <c r="AG4" s="4" t="s">
        <v>136</v>
      </c>
      <c r="AH4" s="21" t="s">
        <v>137</v>
      </c>
      <c r="AI4" s="21" t="s">
        <v>138</v>
      </c>
      <c r="AJ4" s="21" t="s">
        <v>139</v>
      </c>
      <c r="AK4" s="21" t="s">
        <v>140</v>
      </c>
      <c r="AL4" s="21" t="s">
        <v>141</v>
      </c>
      <c r="AM4" s="21" t="s">
        <v>142</v>
      </c>
      <c r="AN4" s="21" t="s">
        <v>143</v>
      </c>
      <c r="AO4" s="21" t="s">
        <v>144</v>
      </c>
      <c r="AP4" s="21" t="s">
        <v>145</v>
      </c>
      <c r="AQ4" s="21" t="s">
        <v>146</v>
      </c>
      <c r="AR4" s="21" t="s">
        <v>147</v>
      </c>
      <c r="AS4" s="21" t="s">
        <v>148</v>
      </c>
      <c r="AT4" s="21" t="s">
        <v>149</v>
      </c>
      <c r="AU4" s="21" t="s">
        <v>150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223</v>
      </c>
      <c r="G5" s="24" t="s">
        <v>281</v>
      </c>
      <c r="H5" s="13" t="s">
        <v>282</v>
      </c>
      <c r="I5" s="13" t="s">
        <v>283</v>
      </c>
      <c r="J5" s="13" t="s">
        <v>284</v>
      </c>
      <c r="K5" s="22" t="s">
        <v>184</v>
      </c>
      <c r="L5" s="13" t="s">
        <v>185</v>
      </c>
      <c r="M5" s="13"/>
      <c r="N5" s="13" t="s">
        <v>186</v>
      </c>
      <c r="O5" s="41" t="s">
        <v>285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166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223</v>
      </c>
      <c r="G6" s="24" t="s">
        <v>286</v>
      </c>
      <c r="H6" s="13" t="s">
        <v>282</v>
      </c>
      <c r="I6" s="13" t="s">
        <v>283</v>
      </c>
      <c r="J6" s="13" t="s">
        <v>284</v>
      </c>
      <c r="K6" s="22" t="s">
        <v>184</v>
      </c>
      <c r="L6" s="13" t="s">
        <v>193</v>
      </c>
      <c r="M6" s="13"/>
      <c r="N6" s="13" t="s">
        <v>186</v>
      </c>
      <c r="O6" s="41" t="s">
        <v>285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287</v>
      </c>
      <c r="AD6" s="29" t="s">
        <v>288</v>
      </c>
      <c r="AE6" s="25"/>
      <c r="AF6" s="13" t="s">
        <v>197</v>
      </c>
      <c r="AG6" s="16" t="s">
        <v>166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223</v>
      </c>
      <c r="G7" s="24" t="s">
        <v>289</v>
      </c>
      <c r="H7" s="13" t="s">
        <v>282</v>
      </c>
      <c r="I7" s="13" t="s">
        <v>283</v>
      </c>
      <c r="J7" s="13" t="s">
        <v>284</v>
      </c>
      <c r="K7" s="22" t="s">
        <v>184</v>
      </c>
      <c r="L7" s="13" t="s">
        <v>185</v>
      </c>
      <c r="M7" s="13"/>
      <c r="N7" s="13" t="s">
        <v>186</v>
      </c>
      <c r="O7" s="41" t="s">
        <v>285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166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201</v>
      </c>
      <c r="G8" s="24" t="s">
        <v>290</v>
      </c>
      <c r="H8" s="13" t="s">
        <v>282</v>
      </c>
      <c r="I8" s="13" t="s">
        <v>283</v>
      </c>
      <c r="J8" s="13" t="s">
        <v>255</v>
      </c>
      <c r="K8" s="22" t="s">
        <v>158</v>
      </c>
      <c r="L8" s="13" t="s">
        <v>185</v>
      </c>
      <c r="M8" s="40"/>
      <c r="N8" s="13" t="s">
        <v>186</v>
      </c>
      <c r="O8" s="41" t="s">
        <v>285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166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H5" activePane="bottomRight" state="frozen"/>
      <selection pane="bottomRight" activeCell="G70" sqref="G7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87" t="s">
        <v>291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30  ·  개발·테스트 Dev/Test 10  ·  계약·NDA 4  ·  파이프라인 Pipeline 50  ·  60일+ 정체 Stalled 60d+ 9</v>
      </c>
      <c r="AG2" s="19" t="s">
        <v>100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102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103</v>
      </c>
      <c r="AB3" s="94"/>
      <c r="AC3" s="94"/>
      <c r="AD3" s="94"/>
      <c r="AE3" s="94"/>
      <c r="AF3" s="94"/>
      <c r="AG3" s="94"/>
      <c r="AH3" s="85" t="s">
        <v>104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105</v>
      </c>
      <c r="D4" s="4" t="s">
        <v>19</v>
      </c>
      <c r="E4" s="4" t="s">
        <v>49</v>
      </c>
      <c r="F4" s="4" t="s">
        <v>106</v>
      </c>
      <c r="G4" s="4" t="s">
        <v>107</v>
      </c>
      <c r="H4" s="4" t="s">
        <v>108</v>
      </c>
      <c r="I4" s="4" t="s">
        <v>112</v>
      </c>
      <c r="J4" s="4" t="s">
        <v>113</v>
      </c>
      <c r="K4" s="4" t="s">
        <v>114</v>
      </c>
      <c r="L4" s="4" t="s">
        <v>115</v>
      </c>
      <c r="M4" s="4" t="s">
        <v>116</v>
      </c>
      <c r="N4" s="4" t="s">
        <v>117</v>
      </c>
      <c r="O4" s="4" t="s">
        <v>118</v>
      </c>
      <c r="P4" s="4" t="s">
        <v>119</v>
      </c>
      <c r="Q4" s="4" t="s">
        <v>120</v>
      </c>
      <c r="R4" s="4" t="s">
        <v>121</v>
      </c>
      <c r="S4" s="4" t="s">
        <v>122</v>
      </c>
      <c r="T4" s="4" t="s">
        <v>123</v>
      </c>
      <c r="U4" s="4" t="s">
        <v>124</v>
      </c>
      <c r="V4" s="4" t="s">
        <v>125</v>
      </c>
      <c r="W4" s="4" t="s">
        <v>126</v>
      </c>
      <c r="X4" s="4" t="s">
        <v>127</v>
      </c>
      <c r="Y4" s="4" t="s">
        <v>128</v>
      </c>
      <c r="Z4" s="4" t="s">
        <v>129</v>
      </c>
      <c r="AA4" s="4" t="s">
        <v>130</v>
      </c>
      <c r="AB4" s="4" t="s">
        <v>131</v>
      </c>
      <c r="AC4" s="4" t="s">
        <v>132</v>
      </c>
      <c r="AD4" s="4" t="s">
        <v>133</v>
      </c>
      <c r="AE4" s="4" t="s">
        <v>134</v>
      </c>
      <c r="AF4" s="4" t="s">
        <v>135</v>
      </c>
      <c r="AG4" s="4" t="s">
        <v>136</v>
      </c>
      <c r="AH4" s="21" t="s">
        <v>137</v>
      </c>
      <c r="AI4" s="21" t="s">
        <v>138</v>
      </c>
      <c r="AJ4" s="21" t="s">
        <v>139</v>
      </c>
      <c r="AK4" s="21" t="s">
        <v>140</v>
      </c>
      <c r="AL4" s="21" t="s">
        <v>141</v>
      </c>
      <c r="AM4" s="21" t="s">
        <v>142</v>
      </c>
      <c r="AN4" s="21" t="s">
        <v>143</v>
      </c>
      <c r="AO4" s="21" t="s">
        <v>144</v>
      </c>
      <c r="AP4" s="21" t="s">
        <v>145</v>
      </c>
      <c r="AQ4" s="21" t="s">
        <v>146</v>
      </c>
      <c r="AR4" s="21" t="s">
        <v>147</v>
      </c>
      <c r="AS4" s="21" t="s">
        <v>148</v>
      </c>
      <c r="AT4" s="21" t="s">
        <v>149</v>
      </c>
      <c r="AU4" s="21" t="s">
        <v>150</v>
      </c>
    </row>
    <row r="5" spans="1:47" ht="25.5" customHeight="1">
      <c r="A5" s="22">
        <f t="shared" ref="A5:A36" si="0">IF($G5="","",ROW()-4)</f>
        <v>1</v>
      </c>
      <c r="B5" s="41" t="s">
        <v>292</v>
      </c>
      <c r="C5" s="23"/>
      <c r="D5" s="23"/>
      <c r="E5" s="13" t="s">
        <v>29</v>
      </c>
      <c r="F5" s="13" t="s">
        <v>293</v>
      </c>
      <c r="G5" s="24" t="s">
        <v>294</v>
      </c>
      <c r="H5" s="13" t="s">
        <v>202</v>
      </c>
      <c r="I5" s="13" t="s">
        <v>283</v>
      </c>
      <c r="J5" s="13" t="s">
        <v>204</v>
      </c>
      <c r="K5" s="22" t="s">
        <v>158</v>
      </c>
      <c r="L5" s="13" t="s">
        <v>159</v>
      </c>
      <c r="M5" s="13" t="s">
        <v>39</v>
      </c>
      <c r="N5" s="13" t="s">
        <v>186</v>
      </c>
      <c r="O5" s="22" t="s">
        <v>206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8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24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295</v>
      </c>
      <c r="AD5" s="29" t="s">
        <v>296</v>
      </c>
      <c r="AE5" s="25"/>
      <c r="AF5" s="13" t="s">
        <v>165</v>
      </c>
      <c r="AG5" s="16" t="s">
        <v>166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6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297</v>
      </c>
      <c r="G6" s="24" t="s">
        <v>298</v>
      </c>
      <c r="H6" s="13" t="s">
        <v>202</v>
      </c>
      <c r="I6" s="13" t="s">
        <v>283</v>
      </c>
      <c r="J6" s="13" t="s">
        <v>204</v>
      </c>
      <c r="K6" s="22" t="s">
        <v>158</v>
      </c>
      <c r="L6" s="13" t="s">
        <v>159</v>
      </c>
      <c r="M6" s="13" t="s">
        <v>40</v>
      </c>
      <c r="N6" s="13" t="s">
        <v>194</v>
      </c>
      <c r="O6" s="22" t="s">
        <v>206</v>
      </c>
      <c r="P6" s="26">
        <f t="shared" si="1"/>
        <v>0.8</v>
      </c>
      <c r="Q6" s="27">
        <f t="shared" si="2"/>
        <v>46297</v>
      </c>
      <c r="R6" s="22">
        <f t="shared" ca="1" si="3"/>
        <v>27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146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299</v>
      </c>
      <c r="AD6" s="29" t="s">
        <v>300</v>
      </c>
      <c r="AE6" s="25"/>
      <c r="AF6" s="13" t="s">
        <v>301</v>
      </c>
      <c r="AG6" s="16" t="s">
        <v>166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201</v>
      </c>
      <c r="G7" s="24" t="s">
        <v>302</v>
      </c>
      <c r="H7" s="13" t="s">
        <v>202</v>
      </c>
      <c r="I7" s="13" t="s">
        <v>283</v>
      </c>
      <c r="J7" s="13" t="s">
        <v>204</v>
      </c>
      <c r="K7" s="22" t="s">
        <v>158</v>
      </c>
      <c r="L7" s="13" t="s">
        <v>159</v>
      </c>
      <c r="M7" s="13" t="s">
        <v>39</v>
      </c>
      <c r="N7" s="13" t="s">
        <v>194</v>
      </c>
      <c r="O7" s="22" t="s">
        <v>206</v>
      </c>
      <c r="P7" s="26">
        <f t="shared" si="1"/>
        <v>0.7</v>
      </c>
      <c r="Q7" s="27">
        <f t="shared" si="2"/>
        <v>46296</v>
      </c>
      <c r="R7" s="22">
        <f t="shared" ca="1" si="3"/>
        <v>28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89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303</v>
      </c>
      <c r="AD7" s="29" t="s">
        <v>304</v>
      </c>
      <c r="AE7" s="25"/>
      <c r="AF7" s="13" t="s">
        <v>305</v>
      </c>
      <c r="AG7" s="16" t="s">
        <v>166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151</v>
      </c>
      <c r="G8" s="24" t="s">
        <v>306</v>
      </c>
      <c r="H8" s="13" t="s">
        <v>202</v>
      </c>
      <c r="I8" s="13" t="s">
        <v>283</v>
      </c>
      <c r="J8" s="13" t="s">
        <v>204</v>
      </c>
      <c r="K8" s="22" t="s">
        <v>158</v>
      </c>
      <c r="L8" s="13" t="s">
        <v>159</v>
      </c>
      <c r="M8" s="13" t="s">
        <v>39</v>
      </c>
      <c r="N8" s="13" t="s">
        <v>194</v>
      </c>
      <c r="O8" s="22" t="s">
        <v>206</v>
      </c>
      <c r="P8" s="26">
        <f t="shared" si="1"/>
        <v>0.7</v>
      </c>
      <c r="Q8" s="27">
        <f t="shared" si="2"/>
        <v>46289</v>
      </c>
      <c r="R8" s="22">
        <f t="shared" ca="1" si="3"/>
        <v>35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82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24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307</v>
      </c>
      <c r="AD8" s="29" t="s">
        <v>308</v>
      </c>
      <c r="AE8" s="25"/>
      <c r="AF8" s="13" t="s">
        <v>179</v>
      </c>
      <c r="AG8" s="16" t="s">
        <v>166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7"/>
        <v>Pending Live</v>
      </c>
      <c r="C9" s="23"/>
      <c r="D9" s="23"/>
      <c r="E9" s="13" t="s">
        <v>29</v>
      </c>
      <c r="F9" s="13" t="s">
        <v>151</v>
      </c>
      <c r="G9" s="24" t="s">
        <v>309</v>
      </c>
      <c r="H9" s="13" t="s">
        <v>202</v>
      </c>
      <c r="I9" s="13" t="s">
        <v>283</v>
      </c>
      <c r="J9" s="13" t="s">
        <v>204</v>
      </c>
      <c r="K9" s="22" t="s">
        <v>158</v>
      </c>
      <c r="L9" s="13" t="s">
        <v>159</v>
      </c>
      <c r="M9" s="13" t="s">
        <v>39</v>
      </c>
      <c r="N9" s="13" t="s">
        <v>194</v>
      </c>
      <c r="O9" s="22" t="s">
        <v>206</v>
      </c>
      <c r="P9" s="26">
        <f t="shared" si="1"/>
        <v>0.9</v>
      </c>
      <c r="Q9" s="27">
        <f t="shared" si="2"/>
        <v>46316</v>
      </c>
      <c r="R9" s="22">
        <f t="shared" ca="1" si="3"/>
        <v>8</v>
      </c>
      <c r="S9" s="13" t="str">
        <f t="shared" ca="1" si="4"/>
        <v>In Progress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353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24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Needed</v>
      </c>
      <c r="AA9" s="28">
        <v>46310</v>
      </c>
      <c r="AB9" s="25"/>
      <c r="AC9" s="25" t="s">
        <v>303</v>
      </c>
      <c r="AD9" s="29" t="s">
        <v>304</v>
      </c>
      <c r="AE9" s="25"/>
      <c r="AF9" s="13" t="s">
        <v>179</v>
      </c>
      <c r="AG9" s="16" t="s">
        <v>166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182</v>
      </c>
      <c r="G10" s="24" t="s">
        <v>310</v>
      </c>
      <c r="H10" s="13" t="s">
        <v>202</v>
      </c>
      <c r="I10" s="13" t="s">
        <v>283</v>
      </c>
      <c r="J10" s="13" t="s">
        <v>204</v>
      </c>
      <c r="K10" s="22" t="s">
        <v>192</v>
      </c>
      <c r="L10" s="13" t="s">
        <v>159</v>
      </c>
      <c r="M10" s="13" t="s">
        <v>42</v>
      </c>
      <c r="N10" s="13" t="s">
        <v>194</v>
      </c>
      <c r="O10" s="22" t="s">
        <v>206</v>
      </c>
      <c r="P10" s="26">
        <f t="shared" si="1"/>
        <v>0.5</v>
      </c>
      <c r="Q10" s="27">
        <f t="shared" si="2"/>
        <v>46255</v>
      </c>
      <c r="R10" s="22">
        <f t="shared" ca="1" si="3"/>
        <v>69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107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24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311</v>
      </c>
      <c r="AD10" s="29" t="s">
        <v>312</v>
      </c>
      <c r="AE10" s="25"/>
      <c r="AF10" s="13" t="s">
        <v>179</v>
      </c>
      <c r="AG10" s="16" t="s">
        <v>166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151</v>
      </c>
      <c r="G11" s="24" t="s">
        <v>67</v>
      </c>
      <c r="H11" s="13" t="s">
        <v>202</v>
      </c>
      <c r="I11" s="13" t="s">
        <v>283</v>
      </c>
      <c r="J11" s="13" t="s">
        <v>204</v>
      </c>
      <c r="K11" s="22" t="s">
        <v>192</v>
      </c>
      <c r="L11" s="13" t="s">
        <v>159</v>
      </c>
      <c r="M11" s="13" t="s">
        <v>39</v>
      </c>
      <c r="N11" s="13" t="s">
        <v>194</v>
      </c>
      <c r="O11" s="22" t="s">
        <v>206</v>
      </c>
      <c r="P11" s="26">
        <f t="shared" si="1"/>
        <v>0.5</v>
      </c>
      <c r="Q11" s="27">
        <f t="shared" si="2"/>
        <v>46248</v>
      </c>
      <c r="R11" s="22">
        <f t="shared" ca="1" si="3"/>
        <v>76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80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24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313</v>
      </c>
      <c r="AD11" s="29" t="s">
        <v>314</v>
      </c>
      <c r="AE11" s="25"/>
      <c r="AF11" s="13" t="s">
        <v>179</v>
      </c>
      <c r="AG11" s="16" t="s">
        <v>166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201</v>
      </c>
      <c r="G12" s="24" t="s">
        <v>58</v>
      </c>
      <c r="H12" s="13" t="s">
        <v>202</v>
      </c>
      <c r="I12" s="13" t="s">
        <v>283</v>
      </c>
      <c r="J12" s="13" t="s">
        <v>204</v>
      </c>
      <c r="K12" s="22" t="s">
        <v>158</v>
      </c>
      <c r="L12" s="13" t="s">
        <v>185</v>
      </c>
      <c r="M12" s="13" t="s">
        <v>39</v>
      </c>
      <c r="N12" s="13" t="s">
        <v>194</v>
      </c>
      <c r="O12" s="22" t="s">
        <v>206</v>
      </c>
      <c r="P12" s="26">
        <f t="shared" si="1"/>
        <v>0.5</v>
      </c>
      <c r="Q12" s="27">
        <f t="shared" si="2"/>
        <v>45993</v>
      </c>
      <c r="R12" s="22">
        <f t="shared" ca="1" si="3"/>
        <v>331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378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24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166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151</v>
      </c>
      <c r="G13" s="24" t="s">
        <v>69</v>
      </c>
      <c r="H13" s="13" t="s">
        <v>202</v>
      </c>
      <c r="I13" s="13" t="s">
        <v>283</v>
      </c>
      <c r="J13" s="13" t="s">
        <v>204</v>
      </c>
      <c r="K13" s="22" t="s">
        <v>192</v>
      </c>
      <c r="L13" s="13" t="s">
        <v>185</v>
      </c>
      <c r="M13" s="13" t="s">
        <v>39</v>
      </c>
      <c r="N13" s="13" t="s">
        <v>194</v>
      </c>
      <c r="O13" s="22" t="s">
        <v>206</v>
      </c>
      <c r="P13" s="26">
        <f t="shared" si="1"/>
        <v>0.5</v>
      </c>
      <c r="Q13" s="27">
        <f t="shared" si="2"/>
        <v>46248</v>
      </c>
      <c r="R13" s="22">
        <f t="shared" ca="1" si="3"/>
        <v>76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80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24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166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315</v>
      </c>
      <c r="G14" s="24" t="s">
        <v>70</v>
      </c>
      <c r="H14" s="13" t="s">
        <v>202</v>
      </c>
      <c r="I14" s="13" t="s">
        <v>283</v>
      </c>
      <c r="J14" s="13" t="s">
        <v>204</v>
      </c>
      <c r="K14" s="22" t="s">
        <v>158</v>
      </c>
      <c r="L14" s="13" t="s">
        <v>159</v>
      </c>
      <c r="M14" s="13" t="s">
        <v>40</v>
      </c>
      <c r="N14" s="13" t="s">
        <v>194</v>
      </c>
      <c r="O14" s="22" t="s">
        <v>206</v>
      </c>
      <c r="P14" s="26">
        <f t="shared" si="1"/>
        <v>0.5</v>
      </c>
      <c r="Q14" s="27">
        <f t="shared" si="2"/>
        <v>46253</v>
      </c>
      <c r="R14" s="22">
        <f t="shared" ca="1" si="3"/>
        <v>71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72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24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316</v>
      </c>
      <c r="AD14" s="29" t="s">
        <v>317</v>
      </c>
      <c r="AE14" s="25"/>
      <c r="AF14" s="13" t="s">
        <v>236</v>
      </c>
      <c r="AG14" s="16" t="s">
        <v>166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151</v>
      </c>
      <c r="G15" s="24" t="s">
        <v>318</v>
      </c>
      <c r="H15" s="13" t="s">
        <v>202</v>
      </c>
      <c r="I15" s="13" t="s">
        <v>283</v>
      </c>
      <c r="J15" s="13" t="s">
        <v>204</v>
      </c>
      <c r="K15" s="22" t="s">
        <v>158</v>
      </c>
      <c r="L15" s="13" t="s">
        <v>159</v>
      </c>
      <c r="M15" s="13" t="s">
        <v>39</v>
      </c>
      <c r="N15" s="13" t="s">
        <v>194</v>
      </c>
      <c r="O15" s="22" t="s">
        <v>206</v>
      </c>
      <c r="P15" s="26">
        <f t="shared" si="1"/>
        <v>0.5</v>
      </c>
      <c r="Q15" s="27">
        <f t="shared" si="2"/>
        <v>46305</v>
      </c>
      <c r="R15" s="22">
        <f t="shared" ca="1" si="3"/>
        <v>19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49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319</v>
      </c>
      <c r="AD15" s="29" t="s">
        <v>320</v>
      </c>
      <c r="AE15" s="25"/>
      <c r="AF15" s="13" t="s">
        <v>321</v>
      </c>
      <c r="AG15" s="16" t="s">
        <v>166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297</v>
      </c>
      <c r="G16" s="24" t="s">
        <v>62</v>
      </c>
      <c r="H16" s="13" t="s">
        <v>202</v>
      </c>
      <c r="I16" s="13" t="s">
        <v>283</v>
      </c>
      <c r="J16" s="13" t="s">
        <v>204</v>
      </c>
      <c r="K16" s="22" t="s">
        <v>192</v>
      </c>
      <c r="L16" s="13" t="s">
        <v>322</v>
      </c>
      <c r="M16" s="13" t="s">
        <v>40</v>
      </c>
      <c r="N16" s="13" t="s">
        <v>194</v>
      </c>
      <c r="O16" s="22" t="s">
        <v>206</v>
      </c>
      <c r="P16" s="26">
        <f t="shared" si="1"/>
        <v>0.4</v>
      </c>
      <c r="Q16" s="27">
        <f t="shared" si="2"/>
        <v>46212</v>
      </c>
      <c r="R16" s="22">
        <f t="shared" ca="1" si="3"/>
        <v>112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112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24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323</v>
      </c>
      <c r="AD16" s="29" t="s">
        <v>324</v>
      </c>
      <c r="AE16" s="25"/>
      <c r="AF16" s="13" t="s">
        <v>179</v>
      </c>
      <c r="AG16" s="16" t="s">
        <v>166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151</v>
      </c>
      <c r="G17" s="24" t="s">
        <v>57</v>
      </c>
      <c r="H17" s="13" t="s">
        <v>202</v>
      </c>
      <c r="I17" s="13" t="s">
        <v>283</v>
      </c>
      <c r="J17" s="13" t="s">
        <v>204</v>
      </c>
      <c r="K17" s="22" t="s">
        <v>184</v>
      </c>
      <c r="L17" s="13" t="s">
        <v>185</v>
      </c>
      <c r="M17" s="13" t="s">
        <v>39</v>
      </c>
      <c r="N17" s="13" t="s">
        <v>194</v>
      </c>
      <c r="O17" s="22" t="s">
        <v>206</v>
      </c>
      <c r="P17" s="26">
        <f t="shared" si="1"/>
        <v>0.2</v>
      </c>
      <c r="Q17" s="27">
        <f t="shared" si="2"/>
        <v>45957</v>
      </c>
      <c r="R17" s="22">
        <f t="shared" ca="1" si="3"/>
        <v>367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367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24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166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151</v>
      </c>
      <c r="G18" s="24" t="s">
        <v>61</v>
      </c>
      <c r="H18" s="13" t="s">
        <v>202</v>
      </c>
      <c r="I18" s="13" t="s">
        <v>283</v>
      </c>
      <c r="J18" s="13" t="s">
        <v>204</v>
      </c>
      <c r="K18" s="22" t="s">
        <v>184</v>
      </c>
      <c r="L18" s="13" t="s">
        <v>185</v>
      </c>
      <c r="M18" s="13" t="s">
        <v>39</v>
      </c>
      <c r="N18" s="13" t="s">
        <v>194</v>
      </c>
      <c r="O18" s="22" t="s">
        <v>206</v>
      </c>
      <c r="P18" s="26">
        <f t="shared" si="1"/>
        <v>0.2</v>
      </c>
      <c r="Q18" s="27">
        <f t="shared" si="2"/>
        <v>46027</v>
      </c>
      <c r="R18" s="22">
        <f t="shared" ca="1" si="3"/>
        <v>297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297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24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166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151</v>
      </c>
      <c r="G19" s="24" t="s">
        <v>54</v>
      </c>
      <c r="H19" s="13" t="s">
        <v>202</v>
      </c>
      <c r="I19" s="13" t="s">
        <v>283</v>
      </c>
      <c r="J19" s="13" t="s">
        <v>204</v>
      </c>
      <c r="K19" s="22" t="s">
        <v>184</v>
      </c>
      <c r="L19" s="13" t="s">
        <v>185</v>
      </c>
      <c r="M19" s="13" t="s">
        <v>39</v>
      </c>
      <c r="N19" s="13" t="s">
        <v>194</v>
      </c>
      <c r="O19" s="22" t="s">
        <v>206</v>
      </c>
      <c r="P19" s="26">
        <f t="shared" si="1"/>
        <v>0.2</v>
      </c>
      <c r="Q19" s="27">
        <f t="shared" si="2"/>
        <v>45908</v>
      </c>
      <c r="R19" s="22">
        <f t="shared" ca="1" si="3"/>
        <v>416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416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24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166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151</v>
      </c>
      <c r="G20" s="24" t="s">
        <v>325</v>
      </c>
      <c r="H20" s="13" t="s">
        <v>202</v>
      </c>
      <c r="I20" s="13" t="s">
        <v>283</v>
      </c>
      <c r="J20" s="13" t="s">
        <v>204</v>
      </c>
      <c r="K20" s="22" t="s">
        <v>192</v>
      </c>
      <c r="L20" s="13" t="s">
        <v>176</v>
      </c>
      <c r="M20" s="13" t="s">
        <v>39</v>
      </c>
      <c r="N20" s="13" t="s">
        <v>186</v>
      </c>
      <c r="O20" s="22" t="s">
        <v>206</v>
      </c>
      <c r="P20" s="26">
        <f t="shared" si="1"/>
        <v>0.1</v>
      </c>
      <c r="Q20" s="27">
        <f t="shared" si="2"/>
        <v>46308</v>
      </c>
      <c r="R20" s="22">
        <f t="shared" ca="1" si="3"/>
        <v>16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17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326</v>
      </c>
      <c r="AC20" s="25" t="s">
        <v>327</v>
      </c>
      <c r="AD20" s="29" t="s">
        <v>328</v>
      </c>
      <c r="AE20" s="25"/>
      <c r="AF20" s="13" t="s">
        <v>301</v>
      </c>
      <c r="AG20" s="16" t="s">
        <v>166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174</v>
      </c>
      <c r="G21" s="24" t="s">
        <v>329</v>
      </c>
      <c r="H21" s="13" t="s">
        <v>202</v>
      </c>
      <c r="I21" s="13" t="s">
        <v>283</v>
      </c>
      <c r="J21" s="13" t="s">
        <v>204</v>
      </c>
      <c r="K21" s="22" t="s">
        <v>158</v>
      </c>
      <c r="L21" s="13" t="s">
        <v>205</v>
      </c>
      <c r="M21" s="13" t="s">
        <v>40</v>
      </c>
      <c r="N21" s="13" t="s">
        <v>186</v>
      </c>
      <c r="O21" s="22" t="s">
        <v>206</v>
      </c>
      <c r="P21" s="26">
        <f t="shared" si="1"/>
        <v>0.1</v>
      </c>
      <c r="Q21" s="27">
        <f t="shared" si="2"/>
        <v>46268</v>
      </c>
      <c r="R21" s="22">
        <f t="shared" ca="1" si="3"/>
        <v>56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59</v>
      </c>
      <c r="V21" s="22">
        <f>IF($G21="","",COUNTIF('Chase Log'!$B$4:$B$2000,$G21))</f>
        <v>1</v>
      </c>
      <c r="W21" s="27">
        <f>IF(N($V21)=0,"",_xlfn.MAXIFS('Chase Log'!$E$4:$E$2000,'Chase Log'!$B$4:$B$2000,$G21))</f>
        <v>46318</v>
      </c>
      <c r="X21" s="22">
        <f t="shared" ca="1" si="6"/>
        <v>6</v>
      </c>
      <c r="Y21" s="27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>46325</v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Scheduled</v>
      </c>
      <c r="AA21" s="28">
        <v>46491</v>
      </c>
      <c r="AB21" s="25"/>
      <c r="AC21" s="25" t="s">
        <v>330</v>
      </c>
      <c r="AD21" s="29" t="s">
        <v>331</v>
      </c>
      <c r="AE21" s="25" t="s">
        <v>332</v>
      </c>
      <c r="AF21" s="13" t="s">
        <v>222</v>
      </c>
      <c r="AG21" s="16" t="s">
        <v>166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151</v>
      </c>
      <c r="G22" s="24" t="s">
        <v>333</v>
      </c>
      <c r="H22" s="13" t="s">
        <v>202</v>
      </c>
      <c r="I22" s="13" t="s">
        <v>283</v>
      </c>
      <c r="J22" s="13" t="s">
        <v>204</v>
      </c>
      <c r="K22" s="22" t="s">
        <v>158</v>
      </c>
      <c r="L22" s="13" t="s">
        <v>185</v>
      </c>
      <c r="M22" s="13" t="s">
        <v>39</v>
      </c>
      <c r="N22" s="13" t="s">
        <v>194</v>
      </c>
      <c r="O22" s="22" t="s">
        <v>206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166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151</v>
      </c>
      <c r="G23" s="24" t="s">
        <v>334</v>
      </c>
      <c r="H23" s="13" t="s">
        <v>202</v>
      </c>
      <c r="I23" s="13" t="s">
        <v>283</v>
      </c>
      <c r="J23" s="13" t="s">
        <v>204</v>
      </c>
      <c r="K23" s="22" t="s">
        <v>192</v>
      </c>
      <c r="L23" s="13" t="s">
        <v>185</v>
      </c>
      <c r="M23" s="13" t="s">
        <v>39</v>
      </c>
      <c r="N23" s="13" t="s">
        <v>194</v>
      </c>
      <c r="O23" s="22" t="s">
        <v>206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166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Contact</v>
      </c>
      <c r="C24" s="23"/>
      <c r="D24" s="23"/>
      <c r="E24" s="13" t="s">
        <v>29</v>
      </c>
      <c r="F24" s="13" t="s">
        <v>151</v>
      </c>
      <c r="G24" s="24" t="s">
        <v>335</v>
      </c>
      <c r="H24" s="13" t="s">
        <v>202</v>
      </c>
      <c r="I24" s="13" t="s">
        <v>283</v>
      </c>
      <c r="J24" s="13" t="s">
        <v>204</v>
      </c>
      <c r="K24" s="22" t="s">
        <v>158</v>
      </c>
      <c r="L24" s="13" t="s">
        <v>176</v>
      </c>
      <c r="M24" s="13" t="s">
        <v>39</v>
      </c>
      <c r="N24" s="13" t="s">
        <v>194</v>
      </c>
      <c r="O24" s="22" t="s">
        <v>206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336</v>
      </c>
      <c r="AD24" s="29" t="s">
        <v>337</v>
      </c>
      <c r="AE24" s="25"/>
      <c r="AF24" s="13" t="s">
        <v>197</v>
      </c>
      <c r="AG24" s="16" t="s">
        <v>166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151</v>
      </c>
      <c r="G25" s="24" t="s">
        <v>338</v>
      </c>
      <c r="H25" s="13" t="s">
        <v>202</v>
      </c>
      <c r="I25" s="13" t="s">
        <v>283</v>
      </c>
      <c r="J25" s="13" t="s">
        <v>204</v>
      </c>
      <c r="K25" s="22" t="s">
        <v>158</v>
      </c>
      <c r="L25" s="13" t="s">
        <v>176</v>
      </c>
      <c r="M25" s="13" t="s">
        <v>39</v>
      </c>
      <c r="N25" s="13" t="s">
        <v>194</v>
      </c>
      <c r="O25" s="22" t="s">
        <v>206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339</v>
      </c>
      <c r="AD25" s="29" t="s">
        <v>340</v>
      </c>
      <c r="AE25" s="25"/>
      <c r="AF25" s="13" t="s">
        <v>301</v>
      </c>
      <c r="AG25" s="16" t="s">
        <v>166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151</v>
      </c>
      <c r="G26" s="24" t="s">
        <v>341</v>
      </c>
      <c r="H26" s="13" t="s">
        <v>202</v>
      </c>
      <c r="I26" s="13" t="s">
        <v>283</v>
      </c>
      <c r="J26" s="13" t="s">
        <v>204</v>
      </c>
      <c r="K26" s="22" t="s">
        <v>184</v>
      </c>
      <c r="L26" s="13" t="s">
        <v>185</v>
      </c>
      <c r="M26" s="13" t="s">
        <v>39</v>
      </c>
      <c r="N26" s="13" t="s">
        <v>194</v>
      </c>
      <c r="O26" s="22" t="s">
        <v>206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166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151</v>
      </c>
      <c r="G27" s="24" t="s">
        <v>342</v>
      </c>
      <c r="H27" s="13" t="s">
        <v>202</v>
      </c>
      <c r="I27" s="13" t="s">
        <v>283</v>
      </c>
      <c r="J27" s="13" t="s">
        <v>204</v>
      </c>
      <c r="K27" s="22" t="s">
        <v>192</v>
      </c>
      <c r="L27" s="13" t="s">
        <v>185</v>
      </c>
      <c r="M27" s="13" t="s">
        <v>39</v>
      </c>
      <c r="N27" s="13" t="s">
        <v>194</v>
      </c>
      <c r="O27" s="22" t="s">
        <v>206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166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151</v>
      </c>
      <c r="G28" s="24" t="s">
        <v>343</v>
      </c>
      <c r="H28" s="13" t="s">
        <v>202</v>
      </c>
      <c r="I28" s="13" t="s">
        <v>283</v>
      </c>
      <c r="J28" s="13" t="s">
        <v>204</v>
      </c>
      <c r="K28" s="22" t="s">
        <v>192</v>
      </c>
      <c r="L28" s="13" t="s">
        <v>185</v>
      </c>
      <c r="M28" s="13" t="s">
        <v>39</v>
      </c>
      <c r="N28" s="13" t="s">
        <v>194</v>
      </c>
      <c r="O28" s="22" t="s">
        <v>206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166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151</v>
      </c>
      <c r="G29" s="24" t="s">
        <v>344</v>
      </c>
      <c r="H29" s="13" t="s">
        <v>202</v>
      </c>
      <c r="I29" s="13" t="s">
        <v>283</v>
      </c>
      <c r="J29" s="13" t="s">
        <v>204</v>
      </c>
      <c r="K29" s="22" t="s">
        <v>158</v>
      </c>
      <c r="L29" s="13" t="s">
        <v>185</v>
      </c>
      <c r="M29" s="13" t="s">
        <v>39</v>
      </c>
      <c r="N29" s="13" t="s">
        <v>194</v>
      </c>
      <c r="O29" s="22" t="s">
        <v>206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166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151</v>
      </c>
      <c r="G30" s="24" t="s">
        <v>345</v>
      </c>
      <c r="H30" s="13" t="s">
        <v>202</v>
      </c>
      <c r="I30" s="13" t="s">
        <v>283</v>
      </c>
      <c r="J30" s="13" t="s">
        <v>204</v>
      </c>
      <c r="K30" s="22" t="s">
        <v>192</v>
      </c>
      <c r="L30" s="13" t="s">
        <v>185</v>
      </c>
      <c r="M30" s="13" t="s">
        <v>39</v>
      </c>
      <c r="N30" s="13" t="s">
        <v>194</v>
      </c>
      <c r="O30" s="22" t="s">
        <v>206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166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 t="shared" si="7"/>
        <v>Contact</v>
      </c>
      <c r="C31" s="23"/>
      <c r="D31" s="23"/>
      <c r="E31" s="13" t="s">
        <v>29</v>
      </c>
      <c r="F31" s="13" t="s">
        <v>151</v>
      </c>
      <c r="G31" s="24" t="s">
        <v>346</v>
      </c>
      <c r="H31" s="13" t="s">
        <v>202</v>
      </c>
      <c r="I31" s="13" t="s">
        <v>283</v>
      </c>
      <c r="J31" s="13" t="s">
        <v>204</v>
      </c>
      <c r="K31" s="22" t="s">
        <v>192</v>
      </c>
      <c r="L31" s="13" t="s">
        <v>185</v>
      </c>
      <c r="M31" s="13" t="s">
        <v>39</v>
      </c>
      <c r="N31" s="13" t="s">
        <v>194</v>
      </c>
      <c r="O31" s="22" t="s">
        <v>206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166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297</v>
      </c>
      <c r="G32" s="24" t="s">
        <v>347</v>
      </c>
      <c r="H32" s="13" t="s">
        <v>202</v>
      </c>
      <c r="I32" s="13" t="s">
        <v>283</v>
      </c>
      <c r="J32" s="13" t="s">
        <v>204</v>
      </c>
      <c r="K32" s="22" t="s">
        <v>192</v>
      </c>
      <c r="L32" s="13" t="s">
        <v>322</v>
      </c>
      <c r="M32" s="13" t="s">
        <v>40</v>
      </c>
      <c r="N32" s="13" t="s">
        <v>194</v>
      </c>
      <c r="O32" s="22" t="s">
        <v>206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323</v>
      </c>
      <c r="AD32" s="29" t="s">
        <v>324</v>
      </c>
      <c r="AE32" s="25"/>
      <c r="AF32" s="13" t="s">
        <v>179</v>
      </c>
      <c r="AG32" s="16" t="s">
        <v>166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297</v>
      </c>
      <c r="G33" s="24" t="s">
        <v>348</v>
      </c>
      <c r="H33" s="13" t="s">
        <v>202</v>
      </c>
      <c r="I33" s="13" t="s">
        <v>283</v>
      </c>
      <c r="J33" s="13" t="s">
        <v>204</v>
      </c>
      <c r="K33" s="22" t="s">
        <v>158</v>
      </c>
      <c r="L33" s="13" t="s">
        <v>205</v>
      </c>
      <c r="M33" s="13" t="s">
        <v>40</v>
      </c>
      <c r="N33" s="13" t="s">
        <v>194</v>
      </c>
      <c r="O33" s="22" t="s">
        <v>206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326</v>
      </c>
      <c r="AC33" s="25" t="s">
        <v>349</v>
      </c>
      <c r="AD33" s="29" t="s">
        <v>350</v>
      </c>
      <c r="AE33" s="25"/>
      <c r="AF33" s="13" t="s">
        <v>179</v>
      </c>
      <c r="AG33" s="16" t="s">
        <v>166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238</v>
      </c>
      <c r="G34" s="24" t="s">
        <v>351</v>
      </c>
      <c r="H34" s="13" t="s">
        <v>202</v>
      </c>
      <c r="I34" s="13" t="s">
        <v>283</v>
      </c>
      <c r="J34" s="13" t="s">
        <v>204</v>
      </c>
      <c r="K34" s="22" t="s">
        <v>192</v>
      </c>
      <c r="L34" s="13" t="s">
        <v>205</v>
      </c>
      <c r="M34" s="13" t="s">
        <v>40</v>
      </c>
      <c r="N34" s="13" t="s">
        <v>194</v>
      </c>
      <c r="O34" s="22" t="s">
        <v>206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352</v>
      </c>
      <c r="AD34" s="29" t="s">
        <v>353</v>
      </c>
      <c r="AE34" s="25"/>
      <c r="AF34" s="13" t="s">
        <v>354</v>
      </c>
      <c r="AG34" s="16" t="s">
        <v>166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238</v>
      </c>
      <c r="G35" s="24" t="s">
        <v>355</v>
      </c>
      <c r="H35" s="13" t="s">
        <v>202</v>
      </c>
      <c r="I35" s="13" t="s">
        <v>283</v>
      </c>
      <c r="J35" s="13" t="s">
        <v>204</v>
      </c>
      <c r="K35" s="22" t="s">
        <v>158</v>
      </c>
      <c r="L35" s="13" t="s">
        <v>322</v>
      </c>
      <c r="M35" s="13" t="s">
        <v>40</v>
      </c>
      <c r="N35" s="13" t="s">
        <v>186</v>
      </c>
      <c r="O35" s="22" t="s">
        <v>206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356</v>
      </c>
      <c r="AD35" s="29" t="s">
        <v>357</v>
      </c>
      <c r="AE35" s="25"/>
      <c r="AF35" s="13" t="s">
        <v>358</v>
      </c>
      <c r="AG35" s="16" t="s">
        <v>166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182</v>
      </c>
      <c r="G36" s="24" t="s">
        <v>359</v>
      </c>
      <c r="H36" s="13" t="s">
        <v>202</v>
      </c>
      <c r="I36" s="13" t="s">
        <v>360</v>
      </c>
      <c r="J36" s="13"/>
      <c r="K36" s="22"/>
      <c r="L36" s="13" t="s">
        <v>205</v>
      </c>
      <c r="M36" s="13" t="s">
        <v>42</v>
      </c>
      <c r="N36" s="13"/>
      <c r="O36" s="22" t="s">
        <v>206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361</v>
      </c>
      <c r="AD36" s="29" t="s">
        <v>362</v>
      </c>
      <c r="AE36" s="25"/>
      <c r="AF36" s="13" t="s">
        <v>248</v>
      </c>
      <c r="AG36" s="16" t="s">
        <v>180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182</v>
      </c>
      <c r="G37" s="24" t="s">
        <v>363</v>
      </c>
      <c r="H37" s="13" t="s">
        <v>202</v>
      </c>
      <c r="I37" s="13" t="s">
        <v>360</v>
      </c>
      <c r="J37" s="13"/>
      <c r="K37" s="22"/>
      <c r="L37" s="13" t="s">
        <v>176</v>
      </c>
      <c r="M37" s="13" t="s">
        <v>42</v>
      </c>
      <c r="N37" s="13"/>
      <c r="O37" s="22" t="s">
        <v>206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1</v>
      </c>
      <c r="W37" s="27">
        <f>IF(N($V37)=0,"",_xlfn.MAXIFS('Chase Log'!$E$4:$E$2000,'Chase Log'!$B$4:$B$2000,$G37))</f>
        <v>46295</v>
      </c>
      <c r="X37" s="22">
        <f t="shared" ref="X37:X67" ca="1" si="15">IF($W37="","",TODAY()-$W37)</f>
        <v>29</v>
      </c>
      <c r="Y37" s="27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>46302</v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>Chase Overdue</v>
      </c>
      <c r="AA37" s="28"/>
      <c r="AB37" s="25"/>
      <c r="AC37" s="25" t="s">
        <v>364</v>
      </c>
      <c r="AD37" s="29" t="s">
        <v>365</v>
      </c>
      <c r="AE37" s="25"/>
      <c r="AF37" s="13" t="s">
        <v>236</v>
      </c>
      <c r="AG37" s="16" t="s">
        <v>180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182</v>
      </c>
      <c r="G38" s="24" t="s">
        <v>366</v>
      </c>
      <c r="H38" s="13" t="s">
        <v>202</v>
      </c>
      <c r="I38" s="13" t="s">
        <v>360</v>
      </c>
      <c r="J38" s="13"/>
      <c r="K38" s="22"/>
      <c r="L38" s="13" t="s">
        <v>176</v>
      </c>
      <c r="M38" s="13" t="s">
        <v>42</v>
      </c>
      <c r="N38" s="13"/>
      <c r="O38" s="22" t="s">
        <v>206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367</v>
      </c>
      <c r="AD38" s="29" t="s">
        <v>368</v>
      </c>
      <c r="AE38" s="25"/>
      <c r="AF38" s="13" t="s">
        <v>369</v>
      </c>
      <c r="AG38" s="16" t="s">
        <v>180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182</v>
      </c>
      <c r="G39" s="24" t="s">
        <v>370</v>
      </c>
      <c r="H39" s="13" t="s">
        <v>202</v>
      </c>
      <c r="I39" s="13" t="s">
        <v>360</v>
      </c>
      <c r="J39" s="13"/>
      <c r="K39" s="22"/>
      <c r="L39" s="13" t="s">
        <v>159</v>
      </c>
      <c r="M39" s="13" t="s">
        <v>42</v>
      </c>
      <c r="N39" s="13"/>
      <c r="O39" s="22" t="s">
        <v>206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371</v>
      </c>
      <c r="AD39" s="29" t="s">
        <v>372</v>
      </c>
      <c r="AE39" s="25"/>
      <c r="AF39" s="13" t="s">
        <v>301</v>
      </c>
      <c r="AG39" s="16" t="s">
        <v>180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182</v>
      </c>
      <c r="G40" s="24" t="s">
        <v>373</v>
      </c>
      <c r="H40" s="13" t="s">
        <v>202</v>
      </c>
      <c r="I40" s="13" t="s">
        <v>360</v>
      </c>
      <c r="J40" s="13"/>
      <c r="K40" s="22"/>
      <c r="L40" s="13" t="s">
        <v>176</v>
      </c>
      <c r="M40" s="13" t="s">
        <v>42</v>
      </c>
      <c r="N40" s="13"/>
      <c r="O40" s="22" t="s">
        <v>206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374</v>
      </c>
      <c r="AD40" s="29" t="s">
        <v>375</v>
      </c>
      <c r="AE40" s="25"/>
      <c r="AF40" s="13" t="s">
        <v>301</v>
      </c>
      <c r="AG40" s="16" t="s">
        <v>180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181</v>
      </c>
      <c r="E41" s="13" t="s">
        <v>27</v>
      </c>
      <c r="F41" s="13" t="s">
        <v>182</v>
      </c>
      <c r="G41" s="24" t="s">
        <v>376</v>
      </c>
      <c r="H41" s="13" t="s">
        <v>202</v>
      </c>
      <c r="I41" s="13" t="s">
        <v>360</v>
      </c>
      <c r="J41" s="13"/>
      <c r="K41" s="22"/>
      <c r="L41" s="13" t="s">
        <v>322</v>
      </c>
      <c r="M41" s="13" t="s">
        <v>42</v>
      </c>
      <c r="N41" s="13"/>
      <c r="O41" s="22" t="s">
        <v>206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377</v>
      </c>
      <c r="AD41" s="29" t="s">
        <v>378</v>
      </c>
      <c r="AE41" s="25"/>
      <c r="AF41" s="13" t="s">
        <v>379</v>
      </c>
      <c r="AG41" s="16" t="s">
        <v>180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182</v>
      </c>
      <c r="G42" s="24" t="s">
        <v>380</v>
      </c>
      <c r="H42" s="13" t="s">
        <v>202</v>
      </c>
      <c r="I42" s="13" t="s">
        <v>360</v>
      </c>
      <c r="J42" s="13"/>
      <c r="K42" s="22"/>
      <c r="L42" s="13" t="s">
        <v>176</v>
      </c>
      <c r="M42" s="13" t="s">
        <v>42</v>
      </c>
      <c r="N42" s="13"/>
      <c r="O42" s="22" t="s">
        <v>206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1</v>
      </c>
      <c r="W42" s="27">
        <f>IF(N($V42)=0,"",_xlfn.MAXIFS('Chase Log'!$E$4:$E$2000,'Chase Log'!$B$4:$B$2000,$G42))</f>
        <v>46320</v>
      </c>
      <c r="X42" s="22">
        <f t="shared" ca="1" si="15"/>
        <v>4</v>
      </c>
      <c r="Y42" s="27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>46327</v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>Scheduled</v>
      </c>
      <c r="AA42" s="28"/>
      <c r="AB42" s="25"/>
      <c r="AC42" s="25" t="s">
        <v>381</v>
      </c>
      <c r="AD42" s="29" t="s">
        <v>382</v>
      </c>
      <c r="AE42" s="25"/>
      <c r="AF42" s="13" t="s">
        <v>232</v>
      </c>
      <c r="AG42" s="16" t="s">
        <v>180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182</v>
      </c>
      <c r="G43" s="24" t="s">
        <v>383</v>
      </c>
      <c r="H43" s="13" t="s">
        <v>202</v>
      </c>
      <c r="I43" s="13" t="s">
        <v>360</v>
      </c>
      <c r="J43" s="13"/>
      <c r="K43" s="22"/>
      <c r="L43" s="13" t="s">
        <v>176</v>
      </c>
      <c r="M43" s="13" t="s">
        <v>42</v>
      </c>
      <c r="N43" s="13"/>
      <c r="O43" s="22" t="s">
        <v>206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384</v>
      </c>
      <c r="AD43" s="29" t="s">
        <v>385</v>
      </c>
      <c r="AE43" s="25"/>
      <c r="AF43" s="13" t="s">
        <v>253</v>
      </c>
      <c r="AG43" s="16" t="s">
        <v>180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223</v>
      </c>
      <c r="G44" s="24" t="s">
        <v>386</v>
      </c>
      <c r="H44" s="13" t="s">
        <v>202</v>
      </c>
      <c r="I44" s="13" t="s">
        <v>360</v>
      </c>
      <c r="J44" s="13"/>
      <c r="K44" s="22"/>
      <c r="L44" s="13" t="s">
        <v>322</v>
      </c>
      <c r="M44" s="13" t="s">
        <v>43</v>
      </c>
      <c r="N44" s="13"/>
      <c r="O44" s="22" t="s">
        <v>206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387</v>
      </c>
      <c r="AD44" s="29" t="s">
        <v>388</v>
      </c>
      <c r="AE44" s="25"/>
      <c r="AF44" s="13" t="s">
        <v>389</v>
      </c>
      <c r="AG44" s="16" t="s">
        <v>180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223</v>
      </c>
      <c r="G45" s="24" t="s">
        <v>390</v>
      </c>
      <c r="H45" s="13" t="s">
        <v>202</v>
      </c>
      <c r="I45" s="13" t="s">
        <v>360</v>
      </c>
      <c r="J45" s="13"/>
      <c r="K45" s="22"/>
      <c r="L45" s="13" t="s">
        <v>322</v>
      </c>
      <c r="M45" s="13" t="s">
        <v>43</v>
      </c>
      <c r="N45" s="13"/>
      <c r="O45" s="22" t="s">
        <v>206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391</v>
      </c>
      <c r="AD45" s="29" t="s">
        <v>392</v>
      </c>
      <c r="AE45" s="25"/>
      <c r="AF45" s="13" t="s">
        <v>393</v>
      </c>
      <c r="AG45" s="16" t="s">
        <v>180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151</v>
      </c>
      <c r="G46" s="24" t="s">
        <v>394</v>
      </c>
      <c r="H46" s="13" t="s">
        <v>202</v>
      </c>
      <c r="I46" s="13" t="s">
        <v>360</v>
      </c>
      <c r="J46" s="13"/>
      <c r="K46" s="22"/>
      <c r="L46" s="13" t="s">
        <v>176</v>
      </c>
      <c r="M46" s="13" t="s">
        <v>39</v>
      </c>
      <c r="N46" s="13"/>
      <c r="O46" s="22" t="s">
        <v>206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395</v>
      </c>
      <c r="AD46" s="29" t="s">
        <v>396</v>
      </c>
      <c r="AE46" s="25"/>
      <c r="AF46" s="13" t="s">
        <v>197</v>
      </c>
      <c r="AG46" s="16" t="s">
        <v>180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151</v>
      </c>
      <c r="G47" s="24" t="s">
        <v>397</v>
      </c>
      <c r="H47" s="13" t="s">
        <v>202</v>
      </c>
      <c r="I47" s="13" t="s">
        <v>360</v>
      </c>
      <c r="J47" s="13"/>
      <c r="K47" s="22"/>
      <c r="L47" s="13" t="s">
        <v>176</v>
      </c>
      <c r="M47" s="13" t="s">
        <v>39</v>
      </c>
      <c r="N47" s="13"/>
      <c r="O47" s="22" t="s">
        <v>206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398</v>
      </c>
      <c r="AD47" s="29" t="s">
        <v>399</v>
      </c>
      <c r="AE47" s="25"/>
      <c r="AF47" s="13" t="s">
        <v>400</v>
      </c>
      <c r="AG47" s="16" t="s">
        <v>180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297</v>
      </c>
      <c r="G48" s="24" t="s">
        <v>401</v>
      </c>
      <c r="H48" s="13" t="s">
        <v>202</v>
      </c>
      <c r="I48" s="13" t="s">
        <v>360</v>
      </c>
      <c r="J48" s="13"/>
      <c r="K48" s="22"/>
      <c r="L48" s="13" t="s">
        <v>322</v>
      </c>
      <c r="M48" s="13" t="s">
        <v>40</v>
      </c>
      <c r="N48" s="13"/>
      <c r="O48" s="22" t="s">
        <v>206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402</v>
      </c>
      <c r="AD48" s="29" t="s">
        <v>403</v>
      </c>
      <c r="AE48" s="25"/>
      <c r="AF48" s="13" t="s">
        <v>179</v>
      </c>
      <c r="AG48" s="16" t="s">
        <v>180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297</v>
      </c>
      <c r="G49" s="24" t="s">
        <v>404</v>
      </c>
      <c r="H49" s="13" t="s">
        <v>202</v>
      </c>
      <c r="I49" s="13" t="s">
        <v>360</v>
      </c>
      <c r="J49" s="13"/>
      <c r="K49" s="22"/>
      <c r="L49" s="13" t="s">
        <v>176</v>
      </c>
      <c r="M49" s="13" t="s">
        <v>40</v>
      </c>
      <c r="N49" s="13"/>
      <c r="O49" s="22" t="s">
        <v>206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405</v>
      </c>
      <c r="AD49" s="29" t="s">
        <v>406</v>
      </c>
      <c r="AE49" s="25"/>
      <c r="AF49" s="13" t="s">
        <v>222</v>
      </c>
      <c r="AG49" s="16" t="s">
        <v>180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407</v>
      </c>
      <c r="G50" s="24" t="s">
        <v>408</v>
      </c>
      <c r="H50" s="13" t="s">
        <v>202</v>
      </c>
      <c r="I50" s="13" t="s">
        <v>360</v>
      </c>
      <c r="J50" s="13"/>
      <c r="K50" s="22"/>
      <c r="L50" s="13" t="s">
        <v>322</v>
      </c>
      <c r="M50" s="13" t="s">
        <v>40</v>
      </c>
      <c r="N50" s="13"/>
      <c r="O50" s="22" t="s">
        <v>206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409</v>
      </c>
      <c r="AD50" s="29" t="s">
        <v>410</v>
      </c>
      <c r="AE50" s="25"/>
      <c r="AF50" s="13" t="s">
        <v>411</v>
      </c>
      <c r="AG50" s="16" t="s">
        <v>180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189</v>
      </c>
      <c r="G51" s="24" t="s">
        <v>412</v>
      </c>
      <c r="H51" s="13" t="s">
        <v>202</v>
      </c>
      <c r="I51" s="13" t="s">
        <v>360</v>
      </c>
      <c r="J51" s="13"/>
      <c r="K51" s="22"/>
      <c r="L51" s="13" t="s">
        <v>265</v>
      </c>
      <c r="M51" s="13" t="s">
        <v>40</v>
      </c>
      <c r="N51" s="13"/>
      <c r="O51" s="22" t="s">
        <v>206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266</v>
      </c>
      <c r="AD51" s="29" t="s">
        <v>267</v>
      </c>
      <c r="AE51" s="25"/>
      <c r="AF51" s="13"/>
      <c r="AG51" s="16" t="s">
        <v>180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297</v>
      </c>
      <c r="G52" s="24" t="s">
        <v>413</v>
      </c>
      <c r="H52" s="13" t="s">
        <v>202</v>
      </c>
      <c r="I52" s="13" t="s">
        <v>360</v>
      </c>
      <c r="J52" s="13"/>
      <c r="K52" s="22"/>
      <c r="L52" s="13" t="s">
        <v>265</v>
      </c>
      <c r="M52" s="13" t="s">
        <v>40</v>
      </c>
      <c r="N52" s="13"/>
      <c r="O52" s="22" t="s">
        <v>206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266</v>
      </c>
      <c r="AD52" s="29" t="s">
        <v>267</v>
      </c>
      <c r="AE52" s="25"/>
      <c r="AF52" s="13"/>
      <c r="AG52" s="16" t="s">
        <v>180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297</v>
      </c>
      <c r="G53" s="24" t="s">
        <v>414</v>
      </c>
      <c r="H53" s="13" t="s">
        <v>202</v>
      </c>
      <c r="I53" s="13" t="s">
        <v>360</v>
      </c>
      <c r="J53" s="13"/>
      <c r="K53" s="22"/>
      <c r="L53" s="13" t="s">
        <v>176</v>
      </c>
      <c r="M53" s="13" t="s">
        <v>40</v>
      </c>
      <c r="N53" s="13"/>
      <c r="O53" s="22" t="s">
        <v>206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415</v>
      </c>
      <c r="AD53" s="29" t="s">
        <v>416</v>
      </c>
      <c r="AE53" s="25"/>
      <c r="AF53" s="13" t="s">
        <v>354</v>
      </c>
      <c r="AG53" s="16" t="s">
        <v>180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297</v>
      </c>
      <c r="G54" s="24" t="s">
        <v>417</v>
      </c>
      <c r="H54" s="13" t="s">
        <v>202</v>
      </c>
      <c r="I54" s="13" t="s">
        <v>360</v>
      </c>
      <c r="J54" s="13"/>
      <c r="K54" s="22"/>
      <c r="L54" s="13" t="s">
        <v>265</v>
      </c>
      <c r="M54" s="13" t="s">
        <v>40</v>
      </c>
      <c r="N54" s="13"/>
      <c r="O54" s="22" t="s">
        <v>206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266</v>
      </c>
      <c r="AD54" s="29" t="s">
        <v>267</v>
      </c>
      <c r="AE54" s="25"/>
      <c r="AF54" s="13"/>
      <c r="AG54" s="16" t="s">
        <v>180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297</v>
      </c>
      <c r="G55" s="24" t="s">
        <v>418</v>
      </c>
      <c r="H55" s="13" t="s">
        <v>202</v>
      </c>
      <c r="I55" s="13" t="s">
        <v>360</v>
      </c>
      <c r="J55" s="13"/>
      <c r="K55" s="22"/>
      <c r="L55" s="13" t="s">
        <v>265</v>
      </c>
      <c r="M55" s="13" t="s">
        <v>40</v>
      </c>
      <c r="N55" s="13"/>
      <c r="O55" s="22" t="s">
        <v>206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266</v>
      </c>
      <c r="AD55" s="29" t="s">
        <v>267</v>
      </c>
      <c r="AE55" s="25"/>
      <c r="AF55" s="13"/>
      <c r="AG55" s="16" t="s">
        <v>180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297</v>
      </c>
      <c r="G56" s="24" t="s">
        <v>419</v>
      </c>
      <c r="H56" s="13" t="s">
        <v>202</v>
      </c>
      <c r="I56" s="13" t="s">
        <v>360</v>
      </c>
      <c r="J56" s="13"/>
      <c r="K56" s="22"/>
      <c r="L56" s="13" t="s">
        <v>265</v>
      </c>
      <c r="M56" s="13" t="s">
        <v>40</v>
      </c>
      <c r="N56" s="13"/>
      <c r="O56" s="22" t="s">
        <v>206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266</v>
      </c>
      <c r="AD56" s="29" t="s">
        <v>267</v>
      </c>
      <c r="AE56" s="25"/>
      <c r="AF56" s="13"/>
      <c r="AG56" s="16" t="s">
        <v>180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297</v>
      </c>
      <c r="G57" s="24" t="s">
        <v>420</v>
      </c>
      <c r="H57" s="13" t="s">
        <v>202</v>
      </c>
      <c r="I57" s="13" t="s">
        <v>360</v>
      </c>
      <c r="J57" s="13"/>
      <c r="K57" s="22"/>
      <c r="L57" s="13" t="s">
        <v>265</v>
      </c>
      <c r="M57" s="13" t="s">
        <v>40</v>
      </c>
      <c r="N57" s="13"/>
      <c r="O57" s="22" t="s">
        <v>206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266</v>
      </c>
      <c r="AD57" s="29" t="s">
        <v>267</v>
      </c>
      <c r="AE57" s="25"/>
      <c r="AF57" s="13"/>
      <c r="AG57" s="16" t="s">
        <v>180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297</v>
      </c>
      <c r="G58" s="24" t="s">
        <v>421</v>
      </c>
      <c r="H58" s="13" t="s">
        <v>202</v>
      </c>
      <c r="I58" s="13" t="s">
        <v>360</v>
      </c>
      <c r="J58" s="13"/>
      <c r="K58" s="22"/>
      <c r="L58" s="13" t="s">
        <v>265</v>
      </c>
      <c r="M58" s="13" t="s">
        <v>40</v>
      </c>
      <c r="N58" s="13"/>
      <c r="O58" s="22" t="s">
        <v>206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266</v>
      </c>
      <c r="AD58" s="29" t="s">
        <v>267</v>
      </c>
      <c r="AE58" s="25"/>
      <c r="AF58" s="13"/>
      <c r="AG58" s="16" t="s">
        <v>180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297</v>
      </c>
      <c r="G59" s="24" t="s">
        <v>422</v>
      </c>
      <c r="H59" s="13" t="s">
        <v>202</v>
      </c>
      <c r="I59" s="13" t="s">
        <v>360</v>
      </c>
      <c r="J59" s="13"/>
      <c r="K59" s="22"/>
      <c r="L59" s="13" t="s">
        <v>265</v>
      </c>
      <c r="M59" s="13" t="s">
        <v>40</v>
      </c>
      <c r="N59" s="13"/>
      <c r="O59" s="22" t="s">
        <v>206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266</v>
      </c>
      <c r="AD59" s="29" t="s">
        <v>267</v>
      </c>
      <c r="AE59" s="25"/>
      <c r="AF59" s="13"/>
      <c r="AG59" s="16" t="s">
        <v>180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297</v>
      </c>
      <c r="G60" s="24" t="s">
        <v>423</v>
      </c>
      <c r="H60" s="13" t="s">
        <v>202</v>
      </c>
      <c r="I60" s="13" t="s">
        <v>360</v>
      </c>
      <c r="J60" s="13"/>
      <c r="K60" s="22"/>
      <c r="L60" s="13" t="s">
        <v>265</v>
      </c>
      <c r="M60" s="13" t="s">
        <v>40</v>
      </c>
      <c r="N60" s="13"/>
      <c r="O60" s="22" t="s">
        <v>206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266</v>
      </c>
      <c r="AD60" s="29" t="s">
        <v>267</v>
      </c>
      <c r="AE60" s="25"/>
      <c r="AF60" s="13"/>
      <c r="AG60" s="16" t="s">
        <v>180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174</v>
      </c>
      <c r="G61" s="24" t="s">
        <v>424</v>
      </c>
      <c r="H61" s="13" t="s">
        <v>202</v>
      </c>
      <c r="I61" s="13" t="s">
        <v>360</v>
      </c>
      <c r="J61" s="13"/>
      <c r="K61" s="22"/>
      <c r="L61" s="13" t="s">
        <v>265</v>
      </c>
      <c r="M61" s="13" t="s">
        <v>40</v>
      </c>
      <c r="N61" s="13"/>
      <c r="O61" s="22" t="s">
        <v>206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266</v>
      </c>
      <c r="AD61" s="29" t="s">
        <v>267</v>
      </c>
      <c r="AE61" s="25"/>
      <c r="AF61" s="13"/>
      <c r="AG61" s="16" t="s">
        <v>180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174</v>
      </c>
      <c r="G62" s="24" t="s">
        <v>425</v>
      </c>
      <c r="H62" s="13" t="s">
        <v>202</v>
      </c>
      <c r="I62" s="13" t="s">
        <v>360</v>
      </c>
      <c r="J62" s="13"/>
      <c r="K62" s="22"/>
      <c r="L62" s="13" t="s">
        <v>176</v>
      </c>
      <c r="M62" s="13" t="s">
        <v>40</v>
      </c>
      <c r="N62" s="13"/>
      <c r="O62" s="22" t="s">
        <v>206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426</v>
      </c>
      <c r="AD62" s="29" t="s">
        <v>427</v>
      </c>
      <c r="AE62" s="25"/>
      <c r="AF62" s="13" t="s">
        <v>179</v>
      </c>
      <c r="AG62" s="16" t="s">
        <v>180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174</v>
      </c>
      <c r="G63" s="24" t="s">
        <v>428</v>
      </c>
      <c r="H63" s="13" t="s">
        <v>202</v>
      </c>
      <c r="I63" s="13" t="s">
        <v>360</v>
      </c>
      <c r="J63" s="13"/>
      <c r="K63" s="22"/>
      <c r="L63" s="13" t="s">
        <v>265</v>
      </c>
      <c r="M63" s="13" t="s">
        <v>40</v>
      </c>
      <c r="N63" s="13"/>
      <c r="O63" s="22" t="s">
        <v>206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266</v>
      </c>
      <c r="AD63" s="29" t="s">
        <v>267</v>
      </c>
      <c r="AE63" s="25"/>
      <c r="AF63" s="13"/>
      <c r="AG63" s="16" t="s">
        <v>180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174</v>
      </c>
      <c r="G64" s="24" t="s">
        <v>429</v>
      </c>
      <c r="H64" s="13" t="s">
        <v>202</v>
      </c>
      <c r="I64" s="13" t="s">
        <v>360</v>
      </c>
      <c r="J64" s="13"/>
      <c r="K64" s="22"/>
      <c r="L64" s="13" t="s">
        <v>322</v>
      </c>
      <c r="M64" s="13" t="s">
        <v>40</v>
      </c>
      <c r="N64" s="13"/>
      <c r="O64" s="22" t="s">
        <v>206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430</v>
      </c>
      <c r="AD64" s="29" t="s">
        <v>431</v>
      </c>
      <c r="AE64" s="25"/>
      <c r="AF64" s="13" t="s">
        <v>179</v>
      </c>
      <c r="AG64" s="16" t="s">
        <v>180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174</v>
      </c>
      <c r="G65" s="24" t="s">
        <v>432</v>
      </c>
      <c r="H65" s="13" t="s">
        <v>202</v>
      </c>
      <c r="I65" s="13" t="s">
        <v>360</v>
      </c>
      <c r="J65" s="13"/>
      <c r="K65" s="22"/>
      <c r="L65" s="13" t="s">
        <v>265</v>
      </c>
      <c r="M65" s="13" t="s">
        <v>40</v>
      </c>
      <c r="N65" s="13"/>
      <c r="O65" s="22" t="s">
        <v>206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266</v>
      </c>
      <c r="AD65" s="29" t="s">
        <v>267</v>
      </c>
      <c r="AE65" s="25"/>
      <c r="AF65" s="13"/>
      <c r="AG65" s="16" t="s">
        <v>180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174</v>
      </c>
      <c r="G66" s="24" t="s">
        <v>433</v>
      </c>
      <c r="H66" s="13" t="s">
        <v>202</v>
      </c>
      <c r="I66" s="13" t="s">
        <v>360</v>
      </c>
      <c r="J66" s="13"/>
      <c r="K66" s="22"/>
      <c r="L66" s="13" t="s">
        <v>265</v>
      </c>
      <c r="M66" s="13" t="s">
        <v>40</v>
      </c>
      <c r="N66" s="13"/>
      <c r="O66" s="22" t="s">
        <v>206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266</v>
      </c>
      <c r="AD66" s="29" t="s">
        <v>267</v>
      </c>
      <c r="AE66" s="25"/>
      <c r="AF66" s="13"/>
      <c r="AG66" s="16" t="s">
        <v>180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174</v>
      </c>
      <c r="G67" s="24" t="s">
        <v>434</v>
      </c>
      <c r="H67" s="13" t="s">
        <v>202</v>
      </c>
      <c r="I67" s="13" t="s">
        <v>360</v>
      </c>
      <c r="J67" s="13"/>
      <c r="K67" s="22"/>
      <c r="L67" s="13" t="s">
        <v>265</v>
      </c>
      <c r="M67" s="13" t="s">
        <v>40</v>
      </c>
      <c r="N67" s="13"/>
      <c r="O67" s="22" t="s">
        <v>206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266</v>
      </c>
      <c r="AD67" s="29" t="s">
        <v>267</v>
      </c>
      <c r="AE67" s="25"/>
      <c r="AF67" s="13"/>
      <c r="AG67" s="16" t="s">
        <v>180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174</v>
      </c>
      <c r="G68" s="24" t="s">
        <v>435</v>
      </c>
      <c r="H68" s="13" t="s">
        <v>202</v>
      </c>
      <c r="I68" s="13" t="s">
        <v>360</v>
      </c>
      <c r="J68" s="13"/>
      <c r="K68" s="22"/>
      <c r="L68" s="13" t="s">
        <v>176</v>
      </c>
      <c r="M68" s="13" t="s">
        <v>40</v>
      </c>
      <c r="N68" s="13"/>
      <c r="O68" s="22" t="s">
        <v>206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436</v>
      </c>
      <c r="AD68" s="29" t="s">
        <v>437</v>
      </c>
      <c r="AE68" s="25"/>
      <c r="AF68" s="13" t="s">
        <v>165</v>
      </c>
      <c r="AG68" s="16" t="s">
        <v>180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438</v>
      </c>
      <c r="G69" s="24" t="s">
        <v>439</v>
      </c>
      <c r="H69" s="13" t="s">
        <v>202</v>
      </c>
      <c r="I69" s="13" t="s">
        <v>360</v>
      </c>
      <c r="J69" s="13"/>
      <c r="K69" s="22"/>
      <c r="L69" s="13" t="s">
        <v>205</v>
      </c>
      <c r="M69" s="13" t="s">
        <v>40</v>
      </c>
      <c r="N69" s="13"/>
      <c r="O69" s="22" t="s">
        <v>206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440</v>
      </c>
      <c r="AD69" s="29" t="s">
        <v>441</v>
      </c>
      <c r="AE69" s="25"/>
      <c r="AF69" s="13" t="s">
        <v>442</v>
      </c>
      <c r="AG69" s="16" t="s">
        <v>180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182</v>
      </c>
      <c r="G70" s="24" t="s">
        <v>443</v>
      </c>
      <c r="H70" s="13" t="s">
        <v>202</v>
      </c>
      <c r="I70" s="13" t="s">
        <v>283</v>
      </c>
      <c r="J70" s="13" t="s">
        <v>204</v>
      </c>
      <c r="K70" s="22" t="s">
        <v>158</v>
      </c>
      <c r="L70" s="13" t="s">
        <v>159</v>
      </c>
      <c r="M70" s="13" t="s">
        <v>42</v>
      </c>
      <c r="N70" s="13" t="s">
        <v>194</v>
      </c>
      <c r="O70" s="22" t="s">
        <v>206</v>
      </c>
      <c r="P70" s="26">
        <f t="shared" si="18"/>
        <v>1</v>
      </c>
      <c r="Q70" s="27">
        <f t="shared" si="19"/>
        <v>46288</v>
      </c>
      <c r="R70" s="22">
        <f t="shared" ca="1" si="20"/>
        <v>36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444</v>
      </c>
      <c r="AD70" s="29" t="s">
        <v>445</v>
      </c>
      <c r="AE70" s="25"/>
      <c r="AF70" s="13" t="s">
        <v>236</v>
      </c>
      <c r="AG70" s="16" t="s">
        <v>166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182</v>
      </c>
      <c r="G71" s="24" t="s">
        <v>446</v>
      </c>
      <c r="H71" s="13" t="s">
        <v>202</v>
      </c>
      <c r="I71" s="13" t="s">
        <v>283</v>
      </c>
      <c r="J71" s="13" t="s">
        <v>204</v>
      </c>
      <c r="K71" s="22"/>
      <c r="L71" s="13" t="s">
        <v>185</v>
      </c>
      <c r="M71" s="13" t="s">
        <v>42</v>
      </c>
      <c r="N71" s="13" t="s">
        <v>194</v>
      </c>
      <c r="O71" s="22" t="s">
        <v>206</v>
      </c>
      <c r="P71" s="26">
        <f t="shared" si="18"/>
        <v>1</v>
      </c>
      <c r="Q71" s="27">
        <f t="shared" si="19"/>
        <v>46029</v>
      </c>
      <c r="R71" s="22">
        <f t="shared" ca="1" si="20"/>
        <v>295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166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182</v>
      </c>
      <c r="G72" s="24" t="s">
        <v>447</v>
      </c>
      <c r="H72" s="13" t="s">
        <v>202</v>
      </c>
      <c r="I72" s="13" t="s">
        <v>283</v>
      </c>
      <c r="J72" s="13" t="s">
        <v>204</v>
      </c>
      <c r="K72" s="22"/>
      <c r="L72" s="13" t="s">
        <v>448</v>
      </c>
      <c r="M72" s="13" t="s">
        <v>42</v>
      </c>
      <c r="N72" s="13" t="s">
        <v>194</v>
      </c>
      <c r="O72" s="22" t="s">
        <v>206</v>
      </c>
      <c r="P72" s="26">
        <f t="shared" si="18"/>
        <v>1</v>
      </c>
      <c r="Q72" s="27">
        <f t="shared" si="19"/>
        <v>45959</v>
      </c>
      <c r="R72" s="22">
        <f t="shared" ca="1" si="20"/>
        <v>365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449</v>
      </c>
      <c r="AD72" s="29" t="s">
        <v>450</v>
      </c>
      <c r="AE72" s="25"/>
      <c r="AF72" s="13" t="s">
        <v>451</v>
      </c>
      <c r="AG72" s="16" t="s">
        <v>166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182</v>
      </c>
      <c r="G73" s="24" t="s">
        <v>452</v>
      </c>
      <c r="H73" s="13" t="s">
        <v>202</v>
      </c>
      <c r="I73" s="13" t="s">
        <v>283</v>
      </c>
      <c r="J73" s="13" t="s">
        <v>204</v>
      </c>
      <c r="K73" s="22"/>
      <c r="L73" s="13" t="s">
        <v>448</v>
      </c>
      <c r="M73" s="13" t="s">
        <v>42</v>
      </c>
      <c r="N73" s="13" t="s">
        <v>194</v>
      </c>
      <c r="O73" s="22" t="s">
        <v>206</v>
      </c>
      <c r="P73" s="26">
        <f t="shared" si="18"/>
        <v>1</v>
      </c>
      <c r="Q73" s="27">
        <f t="shared" si="19"/>
        <v>46149</v>
      </c>
      <c r="R73" s="22">
        <f t="shared" ca="1" si="20"/>
        <v>175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453</v>
      </c>
      <c r="AD73" s="29" t="s">
        <v>454</v>
      </c>
      <c r="AE73" s="25"/>
      <c r="AF73" s="13" t="s">
        <v>400</v>
      </c>
      <c r="AG73" s="16" t="s">
        <v>166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182</v>
      </c>
      <c r="G74" s="24" t="s">
        <v>455</v>
      </c>
      <c r="H74" s="13" t="s">
        <v>202</v>
      </c>
      <c r="I74" s="13" t="s">
        <v>283</v>
      </c>
      <c r="J74" s="13" t="s">
        <v>204</v>
      </c>
      <c r="K74" s="22"/>
      <c r="L74" s="13" t="s">
        <v>448</v>
      </c>
      <c r="M74" s="13" t="s">
        <v>42</v>
      </c>
      <c r="N74" s="13" t="s">
        <v>194</v>
      </c>
      <c r="O74" s="22" t="s">
        <v>206</v>
      </c>
      <c r="P74" s="26">
        <f t="shared" si="18"/>
        <v>1</v>
      </c>
      <c r="Q74" s="27">
        <f t="shared" si="19"/>
        <v>45959</v>
      </c>
      <c r="R74" s="22">
        <f t="shared" ca="1" si="20"/>
        <v>365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1</v>
      </c>
      <c r="W74" s="27">
        <f>IF(N($V74)=0,"",_xlfn.MAXIFS('Chase Log'!$E$4:$E$2000,'Chase Log'!$B$4:$B$2000,$G74))</f>
        <v>46322</v>
      </c>
      <c r="X74" s="22">
        <f t="shared" ca="1" si="23"/>
        <v>2</v>
      </c>
      <c r="Y74" s="27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>46329</v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456</v>
      </c>
      <c r="AD74" s="29" t="s">
        <v>457</v>
      </c>
      <c r="AE74" s="25"/>
      <c r="AF74" s="13" t="s">
        <v>253</v>
      </c>
      <c r="AG74" s="16" t="s">
        <v>166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182</v>
      </c>
      <c r="G75" s="24" t="s">
        <v>458</v>
      </c>
      <c r="H75" s="13" t="s">
        <v>202</v>
      </c>
      <c r="I75" s="13" t="s">
        <v>283</v>
      </c>
      <c r="J75" s="13" t="s">
        <v>204</v>
      </c>
      <c r="K75" s="22"/>
      <c r="L75" s="13" t="s">
        <v>448</v>
      </c>
      <c r="M75" s="13" t="s">
        <v>42</v>
      </c>
      <c r="N75" s="13" t="s">
        <v>194</v>
      </c>
      <c r="O75" s="22" t="s">
        <v>206</v>
      </c>
      <c r="P75" s="26">
        <f t="shared" si="18"/>
        <v>1</v>
      </c>
      <c r="Q75" s="27">
        <f t="shared" si="19"/>
        <v>45959</v>
      </c>
      <c r="R75" s="22">
        <f t="shared" ca="1" si="20"/>
        <v>365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459</v>
      </c>
      <c r="AD75" s="29" t="s">
        <v>460</v>
      </c>
      <c r="AE75" s="25"/>
      <c r="AF75" s="13" t="s">
        <v>461</v>
      </c>
      <c r="AG75" s="16" t="s">
        <v>166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182</v>
      </c>
      <c r="G76" s="24" t="s">
        <v>462</v>
      </c>
      <c r="H76" s="13" t="s">
        <v>202</v>
      </c>
      <c r="I76" s="13" t="s">
        <v>283</v>
      </c>
      <c r="J76" s="13" t="s">
        <v>204</v>
      </c>
      <c r="K76" s="22"/>
      <c r="L76" s="13" t="s">
        <v>448</v>
      </c>
      <c r="M76" s="13" t="s">
        <v>42</v>
      </c>
      <c r="N76" s="13" t="s">
        <v>194</v>
      </c>
      <c r="O76" s="22" t="s">
        <v>206</v>
      </c>
      <c r="P76" s="26">
        <f t="shared" si="18"/>
        <v>1</v>
      </c>
      <c r="Q76" s="27">
        <f t="shared" si="19"/>
        <v>45959</v>
      </c>
      <c r="R76" s="22">
        <f t="shared" ca="1" si="20"/>
        <v>365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463</v>
      </c>
      <c r="AD76" s="29" t="s">
        <v>464</v>
      </c>
      <c r="AE76" s="25"/>
      <c r="AF76" s="13" t="s">
        <v>165</v>
      </c>
      <c r="AG76" s="16" t="s">
        <v>166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223</v>
      </c>
      <c r="G77" s="24" t="s">
        <v>465</v>
      </c>
      <c r="H77" s="13" t="s">
        <v>202</v>
      </c>
      <c r="I77" s="13" t="s">
        <v>283</v>
      </c>
      <c r="J77" s="13" t="s">
        <v>204</v>
      </c>
      <c r="K77" s="22"/>
      <c r="L77" s="13" t="s">
        <v>448</v>
      </c>
      <c r="M77" s="13" t="s">
        <v>43</v>
      </c>
      <c r="N77" s="13" t="s">
        <v>194</v>
      </c>
      <c r="O77" s="22" t="s">
        <v>206</v>
      </c>
      <c r="P77" s="26">
        <f t="shared" si="18"/>
        <v>1</v>
      </c>
      <c r="Q77" s="27">
        <f t="shared" si="19"/>
        <v>45959</v>
      </c>
      <c r="R77" s="22">
        <f t="shared" ca="1" si="20"/>
        <v>365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466</v>
      </c>
      <c r="AD77" s="29" t="s">
        <v>467</v>
      </c>
      <c r="AE77" s="25"/>
      <c r="AF77" s="13" t="s">
        <v>253</v>
      </c>
      <c r="AG77" s="16" t="s">
        <v>166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151</v>
      </c>
      <c r="G78" s="24" t="s">
        <v>468</v>
      </c>
      <c r="H78" s="13" t="s">
        <v>202</v>
      </c>
      <c r="I78" s="13" t="s">
        <v>283</v>
      </c>
      <c r="J78" s="13" t="s">
        <v>204</v>
      </c>
      <c r="K78" s="22"/>
      <c r="L78" s="13" t="s">
        <v>448</v>
      </c>
      <c r="M78" s="13" t="s">
        <v>39</v>
      </c>
      <c r="N78" s="13" t="s">
        <v>186</v>
      </c>
      <c r="O78" s="22" t="s">
        <v>206</v>
      </c>
      <c r="P78" s="26">
        <f t="shared" si="18"/>
        <v>1</v>
      </c>
      <c r="Q78" s="27">
        <f t="shared" si="19"/>
        <v>45959</v>
      </c>
      <c r="R78" s="22">
        <f t="shared" ca="1" si="20"/>
        <v>365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469</v>
      </c>
      <c r="AD78" s="29" t="s">
        <v>470</v>
      </c>
      <c r="AE78" s="25"/>
      <c r="AF78" s="13" t="s">
        <v>179</v>
      </c>
      <c r="AG78" s="16" t="s">
        <v>166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151</v>
      </c>
      <c r="G79" s="24" t="s">
        <v>471</v>
      </c>
      <c r="H79" s="13" t="s">
        <v>202</v>
      </c>
      <c r="I79" s="13" t="s">
        <v>283</v>
      </c>
      <c r="J79" s="13" t="s">
        <v>204</v>
      </c>
      <c r="K79" s="22"/>
      <c r="L79" s="13" t="s">
        <v>448</v>
      </c>
      <c r="M79" s="13" t="s">
        <v>39</v>
      </c>
      <c r="N79" s="13" t="s">
        <v>194</v>
      </c>
      <c r="O79" s="22" t="s">
        <v>206</v>
      </c>
      <c r="P79" s="26">
        <f t="shared" si="18"/>
        <v>1</v>
      </c>
      <c r="Q79" s="27">
        <f t="shared" si="19"/>
        <v>46054</v>
      </c>
      <c r="R79" s="22">
        <f t="shared" ca="1" si="20"/>
        <v>270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472</v>
      </c>
      <c r="AD79" s="29" t="s">
        <v>473</v>
      </c>
      <c r="AE79" s="25"/>
      <c r="AF79" s="13" t="s">
        <v>474</v>
      </c>
      <c r="AG79" s="16" t="s">
        <v>166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151</v>
      </c>
      <c r="G80" s="24" t="s">
        <v>475</v>
      </c>
      <c r="H80" s="13" t="s">
        <v>202</v>
      </c>
      <c r="I80" s="13" t="s">
        <v>283</v>
      </c>
      <c r="J80" s="13" t="s">
        <v>204</v>
      </c>
      <c r="K80" s="22"/>
      <c r="L80" s="13" t="s">
        <v>476</v>
      </c>
      <c r="M80" s="13" t="s">
        <v>39</v>
      </c>
      <c r="N80" s="13" t="s">
        <v>194</v>
      </c>
      <c r="O80" s="22" t="s">
        <v>206</v>
      </c>
      <c r="P80" s="26">
        <f t="shared" si="18"/>
        <v>1</v>
      </c>
      <c r="Q80" s="27">
        <f t="shared" si="19"/>
        <v>45959</v>
      </c>
      <c r="R80" s="22">
        <f t="shared" ca="1" si="20"/>
        <v>365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477</v>
      </c>
      <c r="AD80" s="29" t="s">
        <v>478</v>
      </c>
      <c r="AE80" s="25"/>
      <c r="AF80" s="13" t="s">
        <v>165</v>
      </c>
      <c r="AG80" s="16" t="s">
        <v>166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201</v>
      </c>
      <c r="G81" s="24" t="s">
        <v>479</v>
      </c>
      <c r="H81" s="13" t="s">
        <v>202</v>
      </c>
      <c r="I81" s="13" t="s">
        <v>283</v>
      </c>
      <c r="J81" s="13" t="s">
        <v>204</v>
      </c>
      <c r="K81" s="22"/>
      <c r="L81" s="13" t="s">
        <v>185</v>
      </c>
      <c r="M81" s="13" t="s">
        <v>39</v>
      </c>
      <c r="N81" s="13" t="s">
        <v>194</v>
      </c>
      <c r="O81" s="22" t="s">
        <v>206</v>
      </c>
      <c r="P81" s="26">
        <f t="shared" si="18"/>
        <v>1</v>
      </c>
      <c r="Q81" s="27">
        <f t="shared" si="19"/>
        <v>45990</v>
      </c>
      <c r="R81" s="22">
        <f t="shared" ca="1" si="20"/>
        <v>334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166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151</v>
      </c>
      <c r="G82" s="24" t="s">
        <v>480</v>
      </c>
      <c r="H82" s="13" t="s">
        <v>202</v>
      </c>
      <c r="I82" s="13" t="s">
        <v>283</v>
      </c>
      <c r="J82" s="13" t="s">
        <v>204</v>
      </c>
      <c r="K82" s="22"/>
      <c r="L82" s="13" t="s">
        <v>476</v>
      </c>
      <c r="M82" s="13" t="s">
        <v>39</v>
      </c>
      <c r="N82" s="13" t="s">
        <v>186</v>
      </c>
      <c r="O82" s="22" t="s">
        <v>206</v>
      </c>
      <c r="P82" s="26">
        <f t="shared" si="18"/>
        <v>1</v>
      </c>
      <c r="Q82" s="27">
        <f t="shared" si="19"/>
        <v>46016</v>
      </c>
      <c r="R82" s="22">
        <f t="shared" ca="1" si="20"/>
        <v>308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481</v>
      </c>
      <c r="AD82" s="29" t="s">
        <v>482</v>
      </c>
      <c r="AE82" s="25"/>
      <c r="AF82" s="13" t="s">
        <v>165</v>
      </c>
      <c r="AG82" s="16" t="s">
        <v>166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151</v>
      </c>
      <c r="G83" s="24" t="s">
        <v>483</v>
      </c>
      <c r="H83" s="13" t="s">
        <v>202</v>
      </c>
      <c r="I83" s="13" t="s">
        <v>283</v>
      </c>
      <c r="J83" s="13" t="s">
        <v>204</v>
      </c>
      <c r="K83" s="22"/>
      <c r="L83" s="13" t="s">
        <v>476</v>
      </c>
      <c r="M83" s="13" t="s">
        <v>39</v>
      </c>
      <c r="N83" s="13" t="s">
        <v>194</v>
      </c>
      <c r="O83" s="22" t="s">
        <v>206</v>
      </c>
      <c r="P83" s="26">
        <f t="shared" si="18"/>
        <v>1</v>
      </c>
      <c r="Q83" s="27">
        <f t="shared" si="19"/>
        <v>45959</v>
      </c>
      <c r="R83" s="22">
        <f t="shared" ca="1" si="20"/>
        <v>365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484</v>
      </c>
      <c r="AD83" s="29" t="s">
        <v>485</v>
      </c>
      <c r="AE83" s="25"/>
      <c r="AF83" s="13" t="s">
        <v>165</v>
      </c>
      <c r="AG83" s="16" t="s">
        <v>166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151</v>
      </c>
      <c r="G84" s="24" t="s">
        <v>486</v>
      </c>
      <c r="H84" s="13" t="s">
        <v>202</v>
      </c>
      <c r="I84" s="13" t="s">
        <v>283</v>
      </c>
      <c r="J84" s="13" t="s">
        <v>204</v>
      </c>
      <c r="K84" s="22"/>
      <c r="L84" s="13" t="s">
        <v>448</v>
      </c>
      <c r="M84" s="13" t="s">
        <v>39</v>
      </c>
      <c r="N84" s="13" t="s">
        <v>186</v>
      </c>
      <c r="O84" s="22" t="s">
        <v>206</v>
      </c>
      <c r="P84" s="26">
        <f t="shared" si="18"/>
        <v>1</v>
      </c>
      <c r="Q84" s="27">
        <f t="shared" si="19"/>
        <v>45959</v>
      </c>
      <c r="R84" s="22">
        <f t="shared" ca="1" si="20"/>
        <v>365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487</v>
      </c>
      <c r="AD84" s="29" t="s">
        <v>488</v>
      </c>
      <c r="AE84" s="25"/>
      <c r="AF84" s="13" t="s">
        <v>248</v>
      </c>
      <c r="AG84" s="16" t="s">
        <v>166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151</v>
      </c>
      <c r="G85" s="24" t="s">
        <v>489</v>
      </c>
      <c r="H85" s="13" t="s">
        <v>202</v>
      </c>
      <c r="I85" s="13" t="s">
        <v>283</v>
      </c>
      <c r="J85" s="13" t="s">
        <v>204</v>
      </c>
      <c r="K85" s="22"/>
      <c r="L85" s="13" t="s">
        <v>448</v>
      </c>
      <c r="M85" s="13" t="s">
        <v>39</v>
      </c>
      <c r="N85" s="13" t="s">
        <v>194</v>
      </c>
      <c r="O85" s="22" t="s">
        <v>206</v>
      </c>
      <c r="P85" s="26">
        <f t="shared" si="18"/>
        <v>1</v>
      </c>
      <c r="Q85" s="27">
        <f t="shared" si="19"/>
        <v>45965</v>
      </c>
      <c r="R85" s="22">
        <f t="shared" ca="1" si="20"/>
        <v>359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490</v>
      </c>
      <c r="AD85" s="29" t="s">
        <v>491</v>
      </c>
      <c r="AE85" s="25"/>
      <c r="AF85" s="13" t="s">
        <v>243</v>
      </c>
      <c r="AG85" s="16" t="s">
        <v>166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151</v>
      </c>
      <c r="G86" s="24" t="s">
        <v>492</v>
      </c>
      <c r="H86" s="13" t="s">
        <v>202</v>
      </c>
      <c r="I86" s="13" t="s">
        <v>283</v>
      </c>
      <c r="J86" s="13" t="s">
        <v>204</v>
      </c>
      <c r="K86" s="22"/>
      <c r="L86" s="13" t="s">
        <v>448</v>
      </c>
      <c r="M86" s="13" t="s">
        <v>39</v>
      </c>
      <c r="N86" s="13" t="s">
        <v>194</v>
      </c>
      <c r="O86" s="22" t="s">
        <v>206</v>
      </c>
      <c r="P86" s="26">
        <f t="shared" si="18"/>
        <v>1</v>
      </c>
      <c r="Q86" s="27">
        <f t="shared" si="19"/>
        <v>46029</v>
      </c>
      <c r="R86" s="22">
        <f t="shared" ca="1" si="20"/>
        <v>295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493</v>
      </c>
      <c r="AD86" s="29" t="s">
        <v>494</v>
      </c>
      <c r="AE86" s="25"/>
      <c r="AF86" s="13" t="s">
        <v>301</v>
      </c>
      <c r="AG86" s="16" t="s">
        <v>166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151</v>
      </c>
      <c r="G87" s="24" t="s">
        <v>495</v>
      </c>
      <c r="H87" s="13" t="s">
        <v>202</v>
      </c>
      <c r="I87" s="13" t="s">
        <v>283</v>
      </c>
      <c r="J87" s="13" t="s">
        <v>204</v>
      </c>
      <c r="K87" s="22"/>
      <c r="L87" s="13" t="s">
        <v>448</v>
      </c>
      <c r="M87" s="13" t="s">
        <v>39</v>
      </c>
      <c r="N87" s="13" t="s">
        <v>194</v>
      </c>
      <c r="O87" s="22" t="s">
        <v>206</v>
      </c>
      <c r="P87" s="26">
        <f t="shared" si="18"/>
        <v>1</v>
      </c>
      <c r="Q87" s="27">
        <f t="shared" si="19"/>
        <v>45990</v>
      </c>
      <c r="R87" s="22">
        <f t="shared" ca="1" si="20"/>
        <v>334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496</v>
      </c>
      <c r="AD87" s="29" t="s">
        <v>497</v>
      </c>
      <c r="AE87" s="25"/>
      <c r="AF87" s="13" t="s">
        <v>498</v>
      </c>
      <c r="AG87" s="16" t="s">
        <v>166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151</v>
      </c>
      <c r="G88" s="24" t="s">
        <v>499</v>
      </c>
      <c r="H88" s="13" t="s">
        <v>202</v>
      </c>
      <c r="I88" s="13" t="s">
        <v>283</v>
      </c>
      <c r="J88" s="13" t="s">
        <v>204</v>
      </c>
      <c r="K88" s="22"/>
      <c r="L88" s="13" t="s">
        <v>476</v>
      </c>
      <c r="M88" s="13" t="s">
        <v>39</v>
      </c>
      <c r="N88" s="13" t="s">
        <v>186</v>
      </c>
      <c r="O88" s="22" t="s">
        <v>206</v>
      </c>
      <c r="P88" s="26">
        <f t="shared" si="18"/>
        <v>1</v>
      </c>
      <c r="Q88" s="27">
        <f t="shared" si="19"/>
        <v>45959</v>
      </c>
      <c r="R88" s="22">
        <f t="shared" ca="1" si="20"/>
        <v>365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500</v>
      </c>
      <c r="AD88" s="29" t="s">
        <v>501</v>
      </c>
      <c r="AE88" s="25"/>
      <c r="AF88" s="13" t="s">
        <v>248</v>
      </c>
      <c r="AG88" s="16" t="s">
        <v>166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151</v>
      </c>
      <c r="G89" s="24" t="s">
        <v>502</v>
      </c>
      <c r="H89" s="13" t="s">
        <v>202</v>
      </c>
      <c r="I89" s="13" t="s">
        <v>283</v>
      </c>
      <c r="J89" s="13" t="s">
        <v>204</v>
      </c>
      <c r="K89" s="22"/>
      <c r="L89" s="13" t="s">
        <v>448</v>
      </c>
      <c r="M89" s="13" t="s">
        <v>39</v>
      </c>
      <c r="N89" s="13" t="s">
        <v>194</v>
      </c>
      <c r="O89" s="22" t="s">
        <v>206</v>
      </c>
      <c r="P89" s="26">
        <f t="shared" si="18"/>
        <v>1</v>
      </c>
      <c r="Q89" s="27">
        <f t="shared" si="19"/>
        <v>45959</v>
      </c>
      <c r="R89" s="22">
        <f t="shared" ca="1" si="20"/>
        <v>365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503</v>
      </c>
      <c r="AD89" s="29" t="s">
        <v>504</v>
      </c>
      <c r="AE89" s="25"/>
      <c r="AF89" s="13" t="s">
        <v>197</v>
      </c>
      <c r="AG89" s="16" t="s">
        <v>166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151</v>
      </c>
      <c r="G90" s="24" t="s">
        <v>505</v>
      </c>
      <c r="H90" s="13" t="s">
        <v>202</v>
      </c>
      <c r="I90" s="13" t="s">
        <v>283</v>
      </c>
      <c r="J90" s="13" t="s">
        <v>204</v>
      </c>
      <c r="K90" s="22"/>
      <c r="L90" s="13" t="s">
        <v>448</v>
      </c>
      <c r="M90" s="13" t="s">
        <v>39</v>
      </c>
      <c r="N90" s="13" t="s">
        <v>194</v>
      </c>
      <c r="O90" s="22" t="s">
        <v>206</v>
      </c>
      <c r="P90" s="26">
        <f t="shared" si="18"/>
        <v>1</v>
      </c>
      <c r="Q90" s="27">
        <f t="shared" si="19"/>
        <v>45959</v>
      </c>
      <c r="R90" s="22">
        <f t="shared" ca="1" si="20"/>
        <v>365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506</v>
      </c>
      <c r="AD90" s="29" t="s">
        <v>507</v>
      </c>
      <c r="AE90" s="25"/>
      <c r="AF90" s="13" t="s">
        <v>508</v>
      </c>
      <c r="AG90" s="16" t="s">
        <v>166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151</v>
      </c>
      <c r="G91" s="24" t="s">
        <v>509</v>
      </c>
      <c r="H91" s="13" t="s">
        <v>202</v>
      </c>
      <c r="I91" s="13" t="s">
        <v>283</v>
      </c>
      <c r="J91" s="13" t="s">
        <v>204</v>
      </c>
      <c r="K91" s="22"/>
      <c r="L91" s="13" t="s">
        <v>448</v>
      </c>
      <c r="M91" s="13" t="s">
        <v>39</v>
      </c>
      <c r="N91" s="13" t="s">
        <v>186</v>
      </c>
      <c r="O91" s="22" t="s">
        <v>206</v>
      </c>
      <c r="P91" s="26">
        <f t="shared" si="18"/>
        <v>1</v>
      </c>
      <c r="Q91" s="27">
        <f t="shared" si="19"/>
        <v>45959</v>
      </c>
      <c r="R91" s="22">
        <f t="shared" ca="1" si="20"/>
        <v>365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510</v>
      </c>
      <c r="AD91" s="29" t="s">
        <v>511</v>
      </c>
      <c r="AE91" s="25"/>
      <c r="AF91" s="13" t="s">
        <v>258</v>
      </c>
      <c r="AG91" s="16" t="s">
        <v>166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151</v>
      </c>
      <c r="G92" s="24" t="s">
        <v>512</v>
      </c>
      <c r="H92" s="13" t="s">
        <v>202</v>
      </c>
      <c r="I92" s="13" t="s">
        <v>283</v>
      </c>
      <c r="J92" s="13" t="s">
        <v>204</v>
      </c>
      <c r="K92" s="22"/>
      <c r="L92" s="13" t="s">
        <v>448</v>
      </c>
      <c r="M92" s="13" t="s">
        <v>39</v>
      </c>
      <c r="N92" s="13" t="s">
        <v>194</v>
      </c>
      <c r="O92" s="22" t="s">
        <v>206</v>
      </c>
      <c r="P92" s="26">
        <f t="shared" si="18"/>
        <v>1</v>
      </c>
      <c r="Q92" s="27">
        <f t="shared" si="19"/>
        <v>46029</v>
      </c>
      <c r="R92" s="22">
        <f t="shared" ca="1" si="20"/>
        <v>295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513</v>
      </c>
      <c r="AD92" s="29" t="s">
        <v>514</v>
      </c>
      <c r="AE92" s="25"/>
      <c r="AF92" s="13" t="s">
        <v>515</v>
      </c>
      <c r="AG92" s="16" t="s">
        <v>166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151</v>
      </c>
      <c r="G93" s="24" t="s">
        <v>516</v>
      </c>
      <c r="H93" s="13" t="s">
        <v>202</v>
      </c>
      <c r="I93" s="13" t="s">
        <v>283</v>
      </c>
      <c r="J93" s="13" t="s">
        <v>204</v>
      </c>
      <c r="K93" s="22" t="s">
        <v>192</v>
      </c>
      <c r="L93" s="13" t="s">
        <v>448</v>
      </c>
      <c r="M93" s="13" t="s">
        <v>39</v>
      </c>
      <c r="N93" s="13" t="s">
        <v>194</v>
      </c>
      <c r="O93" s="22" t="s">
        <v>206</v>
      </c>
      <c r="P93" s="26">
        <f t="shared" si="18"/>
        <v>1</v>
      </c>
      <c r="Q93" s="27">
        <f t="shared" si="19"/>
        <v>46276</v>
      </c>
      <c r="R93" s="22">
        <f t="shared" ca="1" si="20"/>
        <v>48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517</v>
      </c>
      <c r="AD93" s="29" t="s">
        <v>518</v>
      </c>
      <c r="AE93" s="25"/>
      <c r="AF93" s="13" t="s">
        <v>519</v>
      </c>
      <c r="AG93" s="16" t="s">
        <v>166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151</v>
      </c>
      <c r="G94" s="24" t="s">
        <v>520</v>
      </c>
      <c r="H94" s="13" t="s">
        <v>202</v>
      </c>
      <c r="I94" s="13" t="s">
        <v>283</v>
      </c>
      <c r="J94" s="13" t="s">
        <v>204</v>
      </c>
      <c r="K94" s="22"/>
      <c r="L94" s="13" t="s">
        <v>448</v>
      </c>
      <c r="M94" s="13" t="s">
        <v>39</v>
      </c>
      <c r="N94" s="13" t="s">
        <v>194</v>
      </c>
      <c r="O94" s="22" t="s">
        <v>206</v>
      </c>
      <c r="P94" s="26">
        <f t="shared" si="18"/>
        <v>1</v>
      </c>
      <c r="Q94" s="27">
        <f t="shared" si="19"/>
        <v>45959</v>
      </c>
      <c r="R94" s="22">
        <f t="shared" ca="1" si="20"/>
        <v>365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493</v>
      </c>
      <c r="AD94" s="29" t="s">
        <v>494</v>
      </c>
      <c r="AE94" s="25"/>
      <c r="AF94" s="13" t="s">
        <v>301</v>
      </c>
      <c r="AG94" s="16" t="s">
        <v>166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151</v>
      </c>
      <c r="G95" s="24" t="s">
        <v>521</v>
      </c>
      <c r="H95" s="13" t="s">
        <v>202</v>
      </c>
      <c r="I95" s="13" t="s">
        <v>283</v>
      </c>
      <c r="J95" s="13" t="s">
        <v>204</v>
      </c>
      <c r="K95" s="22"/>
      <c r="L95" s="13" t="s">
        <v>448</v>
      </c>
      <c r="M95" s="13" t="s">
        <v>39</v>
      </c>
      <c r="N95" s="13" t="s">
        <v>194</v>
      </c>
      <c r="O95" s="22" t="s">
        <v>206</v>
      </c>
      <c r="P95" s="26">
        <f t="shared" si="18"/>
        <v>1</v>
      </c>
      <c r="Q95" s="27">
        <f t="shared" si="19"/>
        <v>45965</v>
      </c>
      <c r="R95" s="22">
        <f t="shared" ca="1" si="20"/>
        <v>359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522</v>
      </c>
      <c r="AD95" s="29" t="s">
        <v>523</v>
      </c>
      <c r="AE95" s="25"/>
      <c r="AF95" s="13" t="s">
        <v>524</v>
      </c>
      <c r="AG95" s="16" t="s">
        <v>166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189</v>
      </c>
      <c r="G96" s="24" t="s">
        <v>525</v>
      </c>
      <c r="H96" s="13" t="s">
        <v>202</v>
      </c>
      <c r="I96" s="13" t="s">
        <v>283</v>
      </c>
      <c r="J96" s="13" t="s">
        <v>204</v>
      </c>
      <c r="K96" s="22"/>
      <c r="L96" s="13" t="s">
        <v>476</v>
      </c>
      <c r="M96" s="13" t="s">
        <v>45</v>
      </c>
      <c r="N96" s="13" t="s">
        <v>186</v>
      </c>
      <c r="O96" s="22" t="s">
        <v>206</v>
      </c>
      <c r="P96" s="26">
        <f t="shared" si="18"/>
        <v>1</v>
      </c>
      <c r="Q96" s="27">
        <f t="shared" si="19"/>
        <v>43845</v>
      </c>
      <c r="R96" s="22">
        <f t="shared" ca="1" si="20"/>
        <v>2479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1</v>
      </c>
      <c r="W96" s="27">
        <f>IF(N($V96)=0,"",_xlfn.MAXIFS('Chase Log'!$E$4:$E$2000,'Chase Log'!$B$4:$B$2000,$G96))</f>
        <v>46312</v>
      </c>
      <c r="X96" s="22">
        <f t="shared" ca="1" si="23"/>
        <v>12</v>
      </c>
      <c r="Y96" s="27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>46319</v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526</v>
      </c>
      <c r="AD96" s="29" t="s">
        <v>527</v>
      </c>
      <c r="AE96" s="25"/>
      <c r="AF96" s="13" t="s">
        <v>515</v>
      </c>
      <c r="AG96" s="16" t="s">
        <v>166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297</v>
      </c>
      <c r="G97" s="24" t="s">
        <v>528</v>
      </c>
      <c r="H97" s="13" t="s">
        <v>202</v>
      </c>
      <c r="I97" s="13" t="s">
        <v>283</v>
      </c>
      <c r="J97" s="13" t="s">
        <v>204</v>
      </c>
      <c r="K97" s="22"/>
      <c r="L97" s="13" t="s">
        <v>476</v>
      </c>
      <c r="M97" s="13" t="s">
        <v>39</v>
      </c>
      <c r="N97" s="13" t="s">
        <v>186</v>
      </c>
      <c r="O97" s="22" t="s">
        <v>206</v>
      </c>
      <c r="P97" s="26">
        <f t="shared" si="18"/>
        <v>1</v>
      </c>
      <c r="Q97" s="27">
        <f t="shared" si="19"/>
        <v>45959</v>
      </c>
      <c r="R97" s="22">
        <f t="shared" ca="1" si="20"/>
        <v>365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481</v>
      </c>
      <c r="AD97" s="29" t="s">
        <v>482</v>
      </c>
      <c r="AE97" s="25"/>
      <c r="AF97" s="13" t="s">
        <v>165</v>
      </c>
      <c r="AG97" s="16" t="s">
        <v>166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407</v>
      </c>
      <c r="G98" s="24" t="s">
        <v>529</v>
      </c>
      <c r="H98" s="13" t="s">
        <v>202</v>
      </c>
      <c r="I98" s="13" t="s">
        <v>283</v>
      </c>
      <c r="J98" s="13" t="s">
        <v>204</v>
      </c>
      <c r="K98" s="22"/>
      <c r="L98" s="13" t="s">
        <v>448</v>
      </c>
      <c r="M98" s="13" t="s">
        <v>40</v>
      </c>
      <c r="N98" s="13" t="s">
        <v>186</v>
      </c>
      <c r="O98" s="22" t="s">
        <v>206</v>
      </c>
      <c r="P98" s="26">
        <f t="shared" si="18"/>
        <v>1</v>
      </c>
      <c r="Q98" s="27">
        <f t="shared" si="19"/>
        <v>45959</v>
      </c>
      <c r="R98" s="22">
        <f t="shared" ca="1" si="20"/>
        <v>365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1</v>
      </c>
      <c r="W98" s="27">
        <f>IF(N($V98)=0,"",_xlfn.MAXIFS('Chase Log'!$E$4:$E$2000,'Chase Log'!$B$4:$B$2000,$G98))</f>
        <v>46321</v>
      </c>
      <c r="X98" s="22">
        <f t="shared" ca="1" si="23"/>
        <v>3</v>
      </c>
      <c r="Y98" s="27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>46328</v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530</v>
      </c>
      <c r="AD98" s="29" t="s">
        <v>531</v>
      </c>
      <c r="AE98" s="25"/>
      <c r="AF98" s="13" t="s">
        <v>248</v>
      </c>
      <c r="AG98" s="16" t="s">
        <v>166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24" activePane="bottomRight" state="frozen"/>
      <selection pane="bottomRight" activeCell="AR6" sqref="AR6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87" t="s">
        <v>532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100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102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103</v>
      </c>
      <c r="AE3" s="94"/>
      <c r="AF3" s="94"/>
      <c r="AG3" s="94"/>
      <c r="AH3" s="94"/>
      <c r="AI3" s="94"/>
      <c r="AJ3" s="94"/>
      <c r="AK3" s="85" t="s">
        <v>104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105</v>
      </c>
      <c r="D4" s="4" t="s">
        <v>19</v>
      </c>
      <c r="E4" s="4" t="s">
        <v>49</v>
      </c>
      <c r="F4" s="4" t="s">
        <v>106</v>
      </c>
      <c r="G4" s="4" t="s">
        <v>107</v>
      </c>
      <c r="H4" s="4" t="s">
        <v>108</v>
      </c>
      <c r="I4" s="4" t="s">
        <v>533</v>
      </c>
      <c r="J4" s="4" t="s">
        <v>534</v>
      </c>
      <c r="K4" s="4" t="s">
        <v>535</v>
      </c>
      <c r="L4" s="4" t="s">
        <v>112</v>
      </c>
      <c r="M4" s="4" t="s">
        <v>113</v>
      </c>
      <c r="N4" s="4" t="s">
        <v>114</v>
      </c>
      <c r="O4" s="4" t="s">
        <v>115</v>
      </c>
      <c r="P4" s="4" t="s">
        <v>116</v>
      </c>
      <c r="Q4" s="4" t="s">
        <v>117</v>
      </c>
      <c r="R4" s="4" t="s">
        <v>118</v>
      </c>
      <c r="S4" s="4" t="s">
        <v>119</v>
      </c>
      <c r="T4" s="4" t="s">
        <v>120</v>
      </c>
      <c r="U4" s="4" t="s">
        <v>121</v>
      </c>
      <c r="V4" s="4" t="s">
        <v>122</v>
      </c>
      <c r="W4" s="4" t="s">
        <v>123</v>
      </c>
      <c r="X4" s="4" t="s">
        <v>124</v>
      </c>
      <c r="Y4" s="4" t="s">
        <v>125</v>
      </c>
      <c r="Z4" s="4" t="s">
        <v>126</v>
      </c>
      <c r="AA4" s="4" t="s">
        <v>127</v>
      </c>
      <c r="AB4" s="4" t="s">
        <v>128</v>
      </c>
      <c r="AC4" s="4" t="s">
        <v>129</v>
      </c>
      <c r="AD4" s="4" t="s">
        <v>130</v>
      </c>
      <c r="AE4" s="4" t="s">
        <v>131</v>
      </c>
      <c r="AF4" s="4" t="s">
        <v>132</v>
      </c>
      <c r="AG4" s="4" t="s">
        <v>133</v>
      </c>
      <c r="AH4" s="4" t="s">
        <v>134</v>
      </c>
      <c r="AI4" s="4" t="s">
        <v>135</v>
      </c>
      <c r="AJ4" s="4" t="s">
        <v>136</v>
      </c>
      <c r="AK4" s="21" t="s">
        <v>137</v>
      </c>
      <c r="AL4" s="21" t="s">
        <v>138</v>
      </c>
      <c r="AM4" s="21" t="s">
        <v>139</v>
      </c>
      <c r="AN4" s="21" t="s">
        <v>140</v>
      </c>
      <c r="AO4" s="21" t="s">
        <v>141</v>
      </c>
      <c r="AP4" s="21" t="s">
        <v>142</v>
      </c>
      <c r="AQ4" s="21" t="s">
        <v>143</v>
      </c>
      <c r="AR4" s="21" t="s">
        <v>144</v>
      </c>
      <c r="AS4" s="21" t="s">
        <v>145</v>
      </c>
      <c r="AT4" s="21" t="s">
        <v>146</v>
      </c>
      <c r="AU4" s="21" t="s">
        <v>147</v>
      </c>
      <c r="AV4" s="21" t="s">
        <v>148</v>
      </c>
      <c r="AW4" s="21" t="s">
        <v>149</v>
      </c>
      <c r="AX4" s="21" t="s">
        <v>150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536</v>
      </c>
      <c r="G5" s="24" t="s">
        <v>537</v>
      </c>
      <c r="H5" s="13" t="s">
        <v>202</v>
      </c>
      <c r="I5" s="31" t="s">
        <v>538</v>
      </c>
      <c r="J5" s="31" t="s">
        <v>538</v>
      </c>
      <c r="K5" s="31" t="s">
        <v>538</v>
      </c>
      <c r="L5" s="13" t="s">
        <v>283</v>
      </c>
      <c r="M5" s="13" t="s">
        <v>204</v>
      </c>
      <c r="N5" s="22" t="s">
        <v>192</v>
      </c>
      <c r="O5" s="13" t="s">
        <v>159</v>
      </c>
      <c r="P5" s="13" t="s">
        <v>41</v>
      </c>
      <c r="Q5" s="13" t="s">
        <v>194</v>
      </c>
      <c r="R5" s="22" t="s">
        <v>206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27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358</v>
      </c>
      <c r="Y5" s="22">
        <f>IF($G5="","",COUNTIF('Chase Log'!$B$4:$B$2000,$G5))</f>
        <v>1</v>
      </c>
      <c r="Z5" s="27">
        <f>IF(N($Y5)=0,"",_xlfn.MAXIFS('Chase Log'!$E$4:$E$2000,'Chase Log'!$B$4:$B$2000,$G5))</f>
        <v>46317</v>
      </c>
      <c r="AA5" s="22">
        <f t="shared" ref="AA5:AA24" ca="1" si="7">IF($Z5="","",TODAY()-$Z5)</f>
        <v>7</v>
      </c>
      <c r="AB5" s="27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>46324</v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Scheduled</v>
      </c>
      <c r="AD5" s="28"/>
      <c r="AE5" s="25"/>
      <c r="AF5" s="25" t="s">
        <v>539</v>
      </c>
      <c r="AG5" s="29" t="s">
        <v>540</v>
      </c>
      <c r="AH5" s="25"/>
      <c r="AI5" s="13" t="s">
        <v>301</v>
      </c>
      <c r="AJ5" s="16" t="s">
        <v>166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536</v>
      </c>
      <c r="G6" s="24" t="s">
        <v>537</v>
      </c>
      <c r="H6" s="13" t="s">
        <v>282</v>
      </c>
      <c r="I6" s="31" t="s">
        <v>538</v>
      </c>
      <c r="J6" s="31" t="s">
        <v>538</v>
      </c>
      <c r="K6" s="31" t="s">
        <v>538</v>
      </c>
      <c r="L6" s="13" t="s">
        <v>283</v>
      </c>
      <c r="M6" s="13" t="s">
        <v>255</v>
      </c>
      <c r="N6" s="22" t="s">
        <v>192</v>
      </c>
      <c r="O6" s="13" t="s">
        <v>159</v>
      </c>
      <c r="P6" s="13" t="s">
        <v>41</v>
      </c>
      <c r="Q6" s="13" t="s">
        <v>186</v>
      </c>
      <c r="R6" s="22" t="s">
        <v>206</v>
      </c>
      <c r="S6" s="26">
        <f t="shared" si="2"/>
        <v>0.5</v>
      </c>
      <c r="T6" s="27">
        <f t="shared" si="3"/>
        <v>46328</v>
      </c>
      <c r="U6" s="22">
        <f t="shared" ca="1" si="4"/>
        <v>-4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358</v>
      </c>
      <c r="Y6" s="22">
        <f>IF($G6="","",COUNTIF('Chase Log'!$B$4:$B$2000,$G6))</f>
        <v>1</v>
      </c>
      <c r="Z6" s="27">
        <f>IF(N($Y6)=0,"",_xlfn.MAXIFS('Chase Log'!$E$4:$E$2000,'Chase Log'!$B$4:$B$2000,$G6))</f>
        <v>46317</v>
      </c>
      <c r="AA6" s="22">
        <f t="shared" ca="1" si="7"/>
        <v>7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539</v>
      </c>
      <c r="AG6" s="29" t="s">
        <v>540</v>
      </c>
      <c r="AH6" s="25"/>
      <c r="AI6" s="13" t="s">
        <v>301</v>
      </c>
      <c r="AJ6" s="16" t="s">
        <v>166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315</v>
      </c>
      <c r="G7" s="24" t="s">
        <v>541</v>
      </c>
      <c r="H7" s="13" t="s">
        <v>202</v>
      </c>
      <c r="I7" s="31" t="s">
        <v>542</v>
      </c>
      <c r="J7" s="31" t="s">
        <v>542</v>
      </c>
      <c r="K7" s="31" t="s">
        <v>542</v>
      </c>
      <c r="L7" s="13" t="s">
        <v>283</v>
      </c>
      <c r="M7" s="13" t="s">
        <v>204</v>
      </c>
      <c r="N7" s="22" t="s">
        <v>158</v>
      </c>
      <c r="O7" s="13" t="s">
        <v>205</v>
      </c>
      <c r="P7" s="13" t="s">
        <v>41</v>
      </c>
      <c r="Q7" s="13" t="s">
        <v>186</v>
      </c>
      <c r="R7" s="22" t="s">
        <v>206</v>
      </c>
      <c r="S7" s="26">
        <f t="shared" si="2"/>
        <v>0.4</v>
      </c>
      <c r="T7" s="27">
        <f t="shared" si="3"/>
        <v>46287</v>
      </c>
      <c r="U7" s="22">
        <f t="shared" ca="1" si="4"/>
        <v>37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51</v>
      </c>
      <c r="Y7" s="22">
        <f>IF($G7="","",COUNTIF('Chase Log'!$B$4:$B$2000,$G7))</f>
        <v>2</v>
      </c>
      <c r="Z7" s="27">
        <f>IF(N($Y7)=0,"",_xlfn.MAXIFS('Chase Log'!$E$4:$E$2000,'Chase Log'!$B$4:$B$2000,$G7))</f>
        <v>46321</v>
      </c>
      <c r="AA7" s="22">
        <f t="shared" ca="1" si="7"/>
        <v>3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46328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543</v>
      </c>
      <c r="AG7" s="29" t="s">
        <v>544</v>
      </c>
      <c r="AH7" s="25"/>
      <c r="AI7" s="13" t="s">
        <v>222</v>
      </c>
      <c r="AJ7" s="16" t="s">
        <v>166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297</v>
      </c>
      <c r="G8" s="24" t="s">
        <v>59</v>
      </c>
      <c r="H8" s="13" t="s">
        <v>202</v>
      </c>
      <c r="I8" s="31" t="s">
        <v>542</v>
      </c>
      <c r="J8" s="31" t="s">
        <v>542</v>
      </c>
      <c r="K8" s="31" t="s">
        <v>545</v>
      </c>
      <c r="L8" s="13" t="s">
        <v>283</v>
      </c>
      <c r="M8" s="13" t="s">
        <v>204</v>
      </c>
      <c r="N8" s="22" t="s">
        <v>192</v>
      </c>
      <c r="O8" s="13" t="s">
        <v>322</v>
      </c>
      <c r="P8" s="13" t="s">
        <v>41</v>
      </c>
      <c r="Q8" s="13" t="s">
        <v>194</v>
      </c>
      <c r="R8" s="22" t="s">
        <v>206</v>
      </c>
      <c r="S8" s="26">
        <f t="shared" si="2"/>
        <v>0.3</v>
      </c>
      <c r="T8" s="27">
        <f t="shared" si="3"/>
        <v>46001</v>
      </c>
      <c r="U8" s="22">
        <f t="shared" ca="1" si="4"/>
        <v>323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323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24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546</v>
      </c>
      <c r="AG8" s="29" t="s">
        <v>547</v>
      </c>
      <c r="AH8" s="25"/>
      <c r="AI8" s="13" t="s">
        <v>354</v>
      </c>
      <c r="AJ8" s="16" t="s">
        <v>166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315</v>
      </c>
      <c r="G9" s="24" t="s">
        <v>548</v>
      </c>
      <c r="H9" s="13" t="s">
        <v>282</v>
      </c>
      <c r="I9" s="31" t="s">
        <v>542</v>
      </c>
      <c r="J9" s="31" t="s">
        <v>542</v>
      </c>
      <c r="K9" s="31" t="s">
        <v>542</v>
      </c>
      <c r="L9" s="13" t="s">
        <v>283</v>
      </c>
      <c r="M9" s="13" t="s">
        <v>255</v>
      </c>
      <c r="N9" s="22" t="s">
        <v>192</v>
      </c>
      <c r="O9" s="13" t="s">
        <v>205</v>
      </c>
      <c r="P9" s="13" t="s">
        <v>41</v>
      </c>
      <c r="Q9" s="13" t="s">
        <v>186</v>
      </c>
      <c r="R9" s="22" t="s">
        <v>206</v>
      </c>
      <c r="S9" s="26">
        <f t="shared" si="2"/>
        <v>0.3</v>
      </c>
      <c r="T9" s="27">
        <f t="shared" si="3"/>
        <v>46273</v>
      </c>
      <c r="U9" s="22">
        <f t="shared" ca="1" si="4"/>
        <v>51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51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24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543</v>
      </c>
      <c r="AG9" s="29" t="s">
        <v>544</v>
      </c>
      <c r="AH9" s="25"/>
      <c r="AI9" s="13" t="s">
        <v>222</v>
      </c>
      <c r="AJ9" s="16" t="s">
        <v>166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407</v>
      </c>
      <c r="G10" s="24" t="s">
        <v>65</v>
      </c>
      <c r="H10" s="13" t="s">
        <v>202</v>
      </c>
      <c r="I10" s="31" t="s">
        <v>542</v>
      </c>
      <c r="J10" s="31" t="s">
        <v>542</v>
      </c>
      <c r="K10" s="31" t="s">
        <v>542</v>
      </c>
      <c r="L10" s="13" t="s">
        <v>283</v>
      </c>
      <c r="M10" s="13" t="s">
        <v>204</v>
      </c>
      <c r="N10" s="22" t="s">
        <v>158</v>
      </c>
      <c r="O10" s="13" t="s">
        <v>205</v>
      </c>
      <c r="P10" s="13" t="s">
        <v>40</v>
      </c>
      <c r="Q10" s="13" t="s">
        <v>160</v>
      </c>
      <c r="R10" s="22" t="s">
        <v>206</v>
      </c>
      <c r="S10" s="26">
        <f t="shared" si="2"/>
        <v>0.2</v>
      </c>
      <c r="T10" s="27">
        <f t="shared" si="3"/>
        <v>46246</v>
      </c>
      <c r="U10" s="22">
        <f t="shared" ca="1" si="4"/>
        <v>78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78</v>
      </c>
      <c r="Y10" s="22">
        <f>IF($G10="","",COUNTIF('Chase Log'!$B$4:$B$2000,$G10))</f>
        <v>3</v>
      </c>
      <c r="Z10" s="27">
        <f>IF(N($Y10)=0,"",_xlfn.MAXIFS('Chase Log'!$E$4:$E$2000,'Chase Log'!$B$4:$B$2000,$G10))</f>
        <v>46321</v>
      </c>
      <c r="AA10" s="22">
        <f t="shared" ca="1" si="7"/>
        <v>3</v>
      </c>
      <c r="AB10" s="27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>46328</v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Scheduled</v>
      </c>
      <c r="AD10" s="28"/>
      <c r="AE10" s="25"/>
      <c r="AF10" s="25" t="s">
        <v>549</v>
      </c>
      <c r="AG10" s="29" t="s">
        <v>550</v>
      </c>
      <c r="AH10" s="25"/>
      <c r="AI10" s="13" t="s">
        <v>173</v>
      </c>
      <c r="AJ10" s="16" t="s">
        <v>551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407</v>
      </c>
      <c r="G11" s="24" t="s">
        <v>65</v>
      </c>
      <c r="H11" s="13" t="s">
        <v>282</v>
      </c>
      <c r="I11" s="31" t="s">
        <v>542</v>
      </c>
      <c r="J11" s="31" t="s">
        <v>542</v>
      </c>
      <c r="K11" s="31" t="s">
        <v>542</v>
      </c>
      <c r="L11" s="13" t="s">
        <v>283</v>
      </c>
      <c r="M11" s="13" t="s">
        <v>255</v>
      </c>
      <c r="N11" s="22" t="s">
        <v>184</v>
      </c>
      <c r="O11" s="13" t="s">
        <v>205</v>
      </c>
      <c r="P11" s="13" t="s">
        <v>40</v>
      </c>
      <c r="Q11" s="13" t="s">
        <v>186</v>
      </c>
      <c r="R11" s="22" t="s">
        <v>206</v>
      </c>
      <c r="S11" s="26">
        <f t="shared" si="2"/>
        <v>0.2</v>
      </c>
      <c r="T11" s="27">
        <f t="shared" si="3"/>
        <v>46246</v>
      </c>
      <c r="U11" s="22">
        <f t="shared" ca="1" si="4"/>
        <v>78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78</v>
      </c>
      <c r="Y11" s="22">
        <f>IF($G11="","",COUNTIF('Chase Log'!$B$4:$B$2000,$G11))</f>
        <v>3</v>
      </c>
      <c r="Z11" s="27">
        <f>IF(N($Y11)=0,"",_xlfn.MAXIFS('Chase Log'!$E$4:$E$2000,'Chase Log'!$B$4:$B$2000,$G11))</f>
        <v>46321</v>
      </c>
      <c r="AA11" s="22">
        <f t="shared" ca="1" si="7"/>
        <v>3</v>
      </c>
      <c r="AB11" s="27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>46328</v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Scheduled</v>
      </c>
      <c r="AD11" s="28"/>
      <c r="AE11" s="25"/>
      <c r="AF11" s="25" t="s">
        <v>549</v>
      </c>
      <c r="AG11" s="29" t="s">
        <v>550</v>
      </c>
      <c r="AH11" s="25"/>
      <c r="AI11" s="13" t="s">
        <v>173</v>
      </c>
      <c r="AJ11" s="16" t="s">
        <v>551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189</v>
      </c>
      <c r="G12" s="24" t="s">
        <v>552</v>
      </c>
      <c r="H12" s="13" t="s">
        <v>211</v>
      </c>
      <c r="I12" s="31" t="s">
        <v>542</v>
      </c>
      <c r="J12" s="31" t="s">
        <v>542</v>
      </c>
      <c r="K12" s="31" t="s">
        <v>542</v>
      </c>
      <c r="L12" s="13" t="s">
        <v>553</v>
      </c>
      <c r="M12" s="13" t="s">
        <v>213</v>
      </c>
      <c r="N12" s="22" t="s">
        <v>192</v>
      </c>
      <c r="O12" s="13" t="s">
        <v>205</v>
      </c>
      <c r="P12" s="13" t="s">
        <v>41</v>
      </c>
      <c r="Q12" s="13" t="s">
        <v>160</v>
      </c>
      <c r="R12" s="22" t="s">
        <v>206</v>
      </c>
      <c r="S12" s="26">
        <f t="shared" si="2"/>
        <v>0.2</v>
      </c>
      <c r="T12" s="27">
        <f t="shared" si="3"/>
        <v>46267</v>
      </c>
      <c r="U12" s="22">
        <f t="shared" ca="1" si="4"/>
        <v>57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57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24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554</v>
      </c>
      <c r="AG12" s="29" t="s">
        <v>555</v>
      </c>
      <c r="AH12" s="25"/>
      <c r="AI12" s="13" t="s">
        <v>556</v>
      </c>
      <c r="AJ12" s="16" t="s">
        <v>557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558</v>
      </c>
      <c r="G13" s="24" t="s">
        <v>64</v>
      </c>
      <c r="H13" s="13" t="s">
        <v>282</v>
      </c>
      <c r="I13" s="31" t="s">
        <v>170</v>
      </c>
      <c r="J13" s="31" t="s">
        <v>542</v>
      </c>
      <c r="K13" s="31" t="s">
        <v>542</v>
      </c>
      <c r="L13" s="13" t="s">
        <v>283</v>
      </c>
      <c r="M13" s="13" t="s">
        <v>255</v>
      </c>
      <c r="N13" s="22" t="s">
        <v>192</v>
      </c>
      <c r="O13" s="13" t="s">
        <v>185</v>
      </c>
      <c r="P13" s="13" t="s">
        <v>40</v>
      </c>
      <c r="Q13" s="13" t="s">
        <v>186</v>
      </c>
      <c r="R13" s="22" t="s">
        <v>206</v>
      </c>
      <c r="S13" s="26">
        <f t="shared" si="2"/>
        <v>0.2</v>
      </c>
      <c r="T13" s="27">
        <f t="shared" si="3"/>
        <v>46213</v>
      </c>
      <c r="U13" s="22">
        <f t="shared" ca="1" si="4"/>
        <v>111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111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24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551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198</v>
      </c>
      <c r="G14" s="24" t="s">
        <v>559</v>
      </c>
      <c r="H14" s="13" t="s">
        <v>202</v>
      </c>
      <c r="I14" s="31" t="s">
        <v>542</v>
      </c>
      <c r="J14" s="31" t="s">
        <v>560</v>
      </c>
      <c r="K14" s="31" t="s">
        <v>542</v>
      </c>
      <c r="L14" s="13" t="s">
        <v>561</v>
      </c>
      <c r="M14" s="13" t="s">
        <v>204</v>
      </c>
      <c r="N14" s="22" t="s">
        <v>192</v>
      </c>
      <c r="O14" s="13" t="s">
        <v>205</v>
      </c>
      <c r="P14" s="13" t="s">
        <v>41</v>
      </c>
      <c r="Q14" s="13" t="s">
        <v>194</v>
      </c>
      <c r="R14" s="22" t="s">
        <v>206</v>
      </c>
      <c r="S14" s="26">
        <f t="shared" si="2"/>
        <v>0.2</v>
      </c>
      <c r="T14" s="27">
        <f t="shared" si="3"/>
        <v>46287</v>
      </c>
      <c r="U14" s="22">
        <f t="shared" ca="1" si="4"/>
        <v>37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37</v>
      </c>
      <c r="Y14" s="22">
        <f>IF($G14="","",COUNTIF('Chase Log'!$B$4:$B$2000,$G14))</f>
        <v>2</v>
      </c>
      <c r="Z14" s="27">
        <f>IF(N($Y14)=0,"",_xlfn.MAXIFS('Chase Log'!$E$4:$E$2000,'Chase Log'!$B$4:$B$2000,$G14))</f>
        <v>46317</v>
      </c>
      <c r="AA14" s="22">
        <f t="shared" ca="1" si="7"/>
        <v>7</v>
      </c>
      <c r="AB14" s="27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>46324</v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Scheduled</v>
      </c>
      <c r="AD14" s="28"/>
      <c r="AE14" s="25"/>
      <c r="AF14" s="25" t="s">
        <v>562</v>
      </c>
      <c r="AG14" s="29" t="s">
        <v>563</v>
      </c>
      <c r="AH14" s="25"/>
      <c r="AI14" s="13" t="s">
        <v>222</v>
      </c>
      <c r="AJ14" s="16" t="s">
        <v>166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151</v>
      </c>
      <c r="G15" s="24" t="s">
        <v>564</v>
      </c>
      <c r="H15" s="13" t="s">
        <v>282</v>
      </c>
      <c r="I15" s="31" t="s">
        <v>170</v>
      </c>
      <c r="J15" s="31" t="s">
        <v>565</v>
      </c>
      <c r="K15" s="31" t="s">
        <v>565</v>
      </c>
      <c r="L15" s="13" t="s">
        <v>283</v>
      </c>
      <c r="M15" s="13" t="s">
        <v>255</v>
      </c>
      <c r="N15" s="22" t="s">
        <v>192</v>
      </c>
      <c r="O15" s="13" t="s">
        <v>185</v>
      </c>
      <c r="P15" s="13" t="s">
        <v>39</v>
      </c>
      <c r="Q15" s="13" t="s">
        <v>186</v>
      </c>
      <c r="R15" s="22" t="s">
        <v>206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1</v>
      </c>
      <c r="Z15" s="27">
        <f>IF(N($Y15)=0,"",_xlfn.MAXIFS('Chase Log'!$E$4:$E$2000,'Chase Log'!$B$4:$B$2000,$G15))</f>
        <v>46321</v>
      </c>
      <c r="AA15" s="22">
        <f t="shared" ca="1" si="7"/>
        <v>3</v>
      </c>
      <c r="AB15" s="27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>46328</v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>Scheduled</v>
      </c>
      <c r="AD15" s="28"/>
      <c r="AE15" s="25"/>
      <c r="AF15" s="25"/>
      <c r="AG15" s="29"/>
      <c r="AH15" s="25"/>
      <c r="AI15" s="13"/>
      <c r="AJ15" s="16" t="s">
        <v>551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209</v>
      </c>
      <c r="G16" s="24" t="s">
        <v>566</v>
      </c>
      <c r="H16" s="13" t="s">
        <v>282</v>
      </c>
      <c r="I16" s="31" t="s">
        <v>567</v>
      </c>
      <c r="J16" s="31" t="s">
        <v>568</v>
      </c>
      <c r="K16" s="31" t="s">
        <v>569</v>
      </c>
      <c r="L16" s="13" t="s">
        <v>283</v>
      </c>
      <c r="M16" s="13" t="s">
        <v>255</v>
      </c>
      <c r="N16" s="22" t="s">
        <v>192</v>
      </c>
      <c r="O16" s="13" t="s">
        <v>205</v>
      </c>
      <c r="P16" s="13" t="s">
        <v>40</v>
      </c>
      <c r="Q16" s="13" t="s">
        <v>194</v>
      </c>
      <c r="R16" s="22" t="s">
        <v>206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570</v>
      </c>
      <c r="AG16" s="29" t="s">
        <v>571</v>
      </c>
      <c r="AH16" s="25"/>
      <c r="AI16" s="13" t="s">
        <v>515</v>
      </c>
      <c r="AJ16" s="16" t="s">
        <v>551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174</v>
      </c>
      <c r="G17" s="24" t="s">
        <v>572</v>
      </c>
      <c r="H17" s="13" t="s">
        <v>202</v>
      </c>
      <c r="I17" s="31" t="s">
        <v>568</v>
      </c>
      <c r="J17" s="31" t="s">
        <v>567</v>
      </c>
      <c r="K17" s="31" t="s">
        <v>569</v>
      </c>
      <c r="L17" s="13" t="s">
        <v>283</v>
      </c>
      <c r="M17" s="13" t="s">
        <v>204</v>
      </c>
      <c r="N17" s="22" t="s">
        <v>158</v>
      </c>
      <c r="O17" s="13" t="s">
        <v>185</v>
      </c>
      <c r="P17" s="13" t="s">
        <v>40</v>
      </c>
      <c r="Q17" s="13" t="s">
        <v>186</v>
      </c>
      <c r="R17" s="22" t="s">
        <v>206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551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573</v>
      </c>
      <c r="G18" s="24" t="s">
        <v>574</v>
      </c>
      <c r="H18" s="13" t="s">
        <v>202</v>
      </c>
      <c r="I18" s="31" t="s">
        <v>170</v>
      </c>
      <c r="J18" s="31" t="s">
        <v>170</v>
      </c>
      <c r="K18" s="31" t="s">
        <v>575</v>
      </c>
      <c r="L18" s="13" t="s">
        <v>283</v>
      </c>
      <c r="M18" s="13" t="s">
        <v>204</v>
      </c>
      <c r="N18" s="22" t="s">
        <v>158</v>
      </c>
      <c r="O18" s="13" t="s">
        <v>159</v>
      </c>
      <c r="P18" s="13" t="s">
        <v>40</v>
      </c>
      <c r="Q18" s="13" t="s">
        <v>186</v>
      </c>
      <c r="R18" s="22" t="s">
        <v>206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576</v>
      </c>
      <c r="AG18" s="29" t="s">
        <v>577</v>
      </c>
      <c r="AH18" s="25"/>
      <c r="AI18" s="13" t="s">
        <v>578</v>
      </c>
      <c r="AJ18" s="16" t="s">
        <v>551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573</v>
      </c>
      <c r="G19" s="24" t="s">
        <v>579</v>
      </c>
      <c r="H19" s="13" t="s">
        <v>282</v>
      </c>
      <c r="I19" s="31" t="s">
        <v>170</v>
      </c>
      <c r="J19" s="31" t="s">
        <v>170</v>
      </c>
      <c r="K19" s="31" t="s">
        <v>575</v>
      </c>
      <c r="L19" s="13" t="s">
        <v>283</v>
      </c>
      <c r="M19" s="13" t="s">
        <v>255</v>
      </c>
      <c r="N19" s="22" t="s">
        <v>158</v>
      </c>
      <c r="O19" s="13" t="s">
        <v>159</v>
      </c>
      <c r="P19" s="13" t="s">
        <v>40</v>
      </c>
      <c r="Q19" s="13" t="s">
        <v>186</v>
      </c>
      <c r="R19" s="22" t="s">
        <v>206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576</v>
      </c>
      <c r="AG19" s="29" t="s">
        <v>577</v>
      </c>
      <c r="AH19" s="25"/>
      <c r="AI19" s="13" t="s">
        <v>578</v>
      </c>
      <c r="AJ19" s="16" t="s">
        <v>551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198</v>
      </c>
      <c r="G20" s="24" t="s">
        <v>580</v>
      </c>
      <c r="H20" s="13" t="s">
        <v>211</v>
      </c>
      <c r="I20" s="31" t="s">
        <v>565</v>
      </c>
      <c r="J20" s="31" t="s">
        <v>565</v>
      </c>
      <c r="K20" s="31" t="s">
        <v>565</v>
      </c>
      <c r="L20" s="13" t="s">
        <v>581</v>
      </c>
      <c r="M20" s="13"/>
      <c r="N20" s="22"/>
      <c r="O20" s="13" t="s">
        <v>205</v>
      </c>
      <c r="P20" s="13" t="s">
        <v>41</v>
      </c>
      <c r="Q20" s="13"/>
      <c r="R20" s="22" t="s">
        <v>206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582</v>
      </c>
      <c r="AG20" s="29" t="s">
        <v>583</v>
      </c>
      <c r="AH20" s="25"/>
      <c r="AI20" s="13" t="s">
        <v>354</v>
      </c>
      <c r="AJ20" s="16" t="s">
        <v>180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223</v>
      </c>
      <c r="G21" s="24" t="s">
        <v>584</v>
      </c>
      <c r="H21" s="13" t="s">
        <v>202</v>
      </c>
      <c r="I21" s="31" t="s">
        <v>567</v>
      </c>
      <c r="J21" s="31" t="s">
        <v>567</v>
      </c>
      <c r="K21" s="31" t="s">
        <v>585</v>
      </c>
      <c r="L21" s="13" t="s">
        <v>283</v>
      </c>
      <c r="M21" s="13" t="s">
        <v>204</v>
      </c>
      <c r="N21" s="22"/>
      <c r="O21" s="13" t="s">
        <v>448</v>
      </c>
      <c r="P21" s="13" t="s">
        <v>43</v>
      </c>
      <c r="Q21" s="13" t="s">
        <v>194</v>
      </c>
      <c r="R21" s="22" t="s">
        <v>206</v>
      </c>
      <c r="S21" s="26">
        <f t="shared" si="2"/>
        <v>1</v>
      </c>
      <c r="T21" s="27">
        <f t="shared" si="3"/>
        <v>46029</v>
      </c>
      <c r="U21" s="22">
        <f t="shared" ca="1" si="4"/>
        <v>295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586</v>
      </c>
      <c r="AG21" s="29" t="s">
        <v>587</v>
      </c>
      <c r="AH21" s="25"/>
      <c r="AI21" s="13" t="s">
        <v>556</v>
      </c>
      <c r="AJ21" s="16" t="s">
        <v>551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223</v>
      </c>
      <c r="G22" s="24" t="s">
        <v>584</v>
      </c>
      <c r="H22" s="13" t="s">
        <v>282</v>
      </c>
      <c r="I22" s="31" t="s">
        <v>567</v>
      </c>
      <c r="J22" s="31" t="s">
        <v>567</v>
      </c>
      <c r="K22" s="31" t="s">
        <v>585</v>
      </c>
      <c r="L22" s="13" t="s">
        <v>283</v>
      </c>
      <c r="M22" s="13" t="s">
        <v>255</v>
      </c>
      <c r="N22" s="22"/>
      <c r="O22" s="13" t="s">
        <v>448</v>
      </c>
      <c r="P22" s="13" t="s">
        <v>43</v>
      </c>
      <c r="Q22" s="13" t="s">
        <v>186</v>
      </c>
      <c r="R22" s="22" t="s">
        <v>206</v>
      </c>
      <c r="S22" s="26">
        <f t="shared" si="2"/>
        <v>1</v>
      </c>
      <c r="T22" s="27">
        <f t="shared" si="3"/>
        <v>46029</v>
      </c>
      <c r="U22" s="22">
        <f t="shared" ca="1" si="4"/>
        <v>295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586</v>
      </c>
      <c r="AG22" s="29" t="s">
        <v>587</v>
      </c>
      <c r="AH22" s="25"/>
      <c r="AI22" s="13" t="s">
        <v>556</v>
      </c>
      <c r="AJ22" s="16" t="s">
        <v>551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209</v>
      </c>
      <c r="G23" s="24" t="s">
        <v>588</v>
      </c>
      <c r="H23" s="13" t="s">
        <v>202</v>
      </c>
      <c r="I23" s="31" t="s">
        <v>567</v>
      </c>
      <c r="J23" s="31" t="s">
        <v>568</v>
      </c>
      <c r="K23" s="31" t="s">
        <v>569</v>
      </c>
      <c r="L23" s="13" t="s">
        <v>283</v>
      </c>
      <c r="M23" s="13" t="s">
        <v>204</v>
      </c>
      <c r="N23" s="22"/>
      <c r="O23" s="13" t="s">
        <v>205</v>
      </c>
      <c r="P23" s="13" t="s">
        <v>40</v>
      </c>
      <c r="Q23" s="13" t="s">
        <v>194</v>
      </c>
      <c r="R23" s="22" t="s">
        <v>206</v>
      </c>
      <c r="S23" s="26">
        <f t="shared" si="2"/>
        <v>1</v>
      </c>
      <c r="T23" s="27">
        <f t="shared" si="3"/>
        <v>46029</v>
      </c>
      <c r="U23" s="22">
        <f t="shared" ca="1" si="4"/>
        <v>295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570</v>
      </c>
      <c r="AG23" s="29" t="s">
        <v>571</v>
      </c>
      <c r="AH23" s="25"/>
      <c r="AI23" s="13" t="s">
        <v>515</v>
      </c>
      <c r="AJ23" s="16" t="s">
        <v>551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174</v>
      </c>
      <c r="G24" s="24" t="s">
        <v>572</v>
      </c>
      <c r="H24" s="13" t="s">
        <v>282</v>
      </c>
      <c r="I24" s="31" t="s">
        <v>568</v>
      </c>
      <c r="J24" s="31" t="s">
        <v>567</v>
      </c>
      <c r="K24" s="31" t="s">
        <v>569</v>
      </c>
      <c r="L24" s="13" t="s">
        <v>283</v>
      </c>
      <c r="M24" s="13" t="s">
        <v>255</v>
      </c>
      <c r="N24" s="22" t="s">
        <v>158</v>
      </c>
      <c r="O24" s="13" t="s">
        <v>185</v>
      </c>
      <c r="P24" s="13" t="s">
        <v>40</v>
      </c>
      <c r="Q24" s="13" t="s">
        <v>186</v>
      </c>
      <c r="R24" s="22" t="s">
        <v>206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589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"/>
  <sheetViews>
    <sheetView workbookViewId="0">
      <pane xSplit="2" ySplit="3" topLeftCell="C4" activePane="bottomRight" state="frozen"/>
      <selection pane="bottomRight"/>
      <selection pane="bottomLeft"/>
      <selection pane="topRight"/>
    </sheetView>
  </sheetViews>
  <sheetFormatPr defaultRowHeight="14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6.5">
      <c r="A1" s="32" t="s">
        <v>590</v>
      </c>
    </row>
    <row r="2" spans="1:11">
      <c r="A2" s="2" t="s">
        <v>591</v>
      </c>
    </row>
    <row r="3" spans="1:11" ht="32.1" customHeight="1">
      <c r="A3" s="4" t="s">
        <v>86</v>
      </c>
      <c r="B3" s="4" t="s">
        <v>48</v>
      </c>
      <c r="C3" s="4" t="s">
        <v>592</v>
      </c>
      <c r="D3" s="4" t="s">
        <v>593</v>
      </c>
      <c r="E3" s="4" t="s">
        <v>594</v>
      </c>
      <c r="F3" s="4" t="s">
        <v>595</v>
      </c>
      <c r="G3" s="4" t="s">
        <v>596</v>
      </c>
      <c r="H3" s="4" t="s">
        <v>597</v>
      </c>
      <c r="I3" s="4" t="s">
        <v>598</v>
      </c>
      <c r="J3" s="4" t="s">
        <v>599</v>
      </c>
      <c r="K3" s="4" t="s">
        <v>600</v>
      </c>
    </row>
    <row r="4" spans="1:11" ht="24">
      <c r="A4" s="33">
        <f t="shared" ref="A4:A28" si="0">IF($B4="","",ROW()-3)</f>
        <v>1</v>
      </c>
      <c r="B4" s="31" t="s">
        <v>152</v>
      </c>
      <c r="C4" s="31" t="s">
        <v>157</v>
      </c>
      <c r="D4" s="31" t="s">
        <v>601</v>
      </c>
      <c r="E4" s="28">
        <v>46300</v>
      </c>
      <c r="F4" s="31"/>
      <c r="G4" s="31"/>
      <c r="H4" s="31" t="s">
        <v>602</v>
      </c>
      <c r="I4" s="31" t="s">
        <v>603</v>
      </c>
      <c r="J4" s="28"/>
      <c r="K4" s="31" t="s">
        <v>604</v>
      </c>
    </row>
    <row r="5" spans="1:11" ht="24">
      <c r="A5" s="33">
        <f t="shared" si="0"/>
        <v>2</v>
      </c>
      <c r="B5" s="31" t="s">
        <v>168</v>
      </c>
      <c r="C5" s="31" t="s">
        <v>157</v>
      </c>
      <c r="D5" s="31" t="s">
        <v>605</v>
      </c>
      <c r="E5" s="28">
        <v>46300</v>
      </c>
      <c r="F5" s="31"/>
      <c r="G5" s="31"/>
      <c r="H5" s="31" t="s">
        <v>602</v>
      </c>
      <c r="I5" s="31" t="s">
        <v>603</v>
      </c>
      <c r="J5" s="28"/>
      <c r="K5" s="31" t="s">
        <v>604</v>
      </c>
    </row>
    <row r="6" spans="1:11">
      <c r="A6" s="33">
        <f t="shared" si="0"/>
        <v>3</v>
      </c>
      <c r="B6" s="31" t="s">
        <v>218</v>
      </c>
      <c r="C6" s="31" t="s">
        <v>213</v>
      </c>
      <c r="D6" s="31" t="s">
        <v>606</v>
      </c>
      <c r="E6" s="28">
        <v>46300</v>
      </c>
      <c r="F6" s="31"/>
      <c r="G6" s="31"/>
      <c r="H6" s="31" t="s">
        <v>602</v>
      </c>
      <c r="I6" s="31" t="s">
        <v>603</v>
      </c>
      <c r="J6" s="28"/>
      <c r="K6" s="31" t="s">
        <v>45</v>
      </c>
    </row>
    <row r="7" spans="1:11">
      <c r="A7" s="33">
        <f t="shared" si="0"/>
        <v>4</v>
      </c>
      <c r="B7" s="31" t="s">
        <v>552</v>
      </c>
      <c r="C7" s="31" t="s">
        <v>213</v>
      </c>
      <c r="D7" s="31" t="s">
        <v>606</v>
      </c>
      <c r="E7" s="28">
        <v>46300</v>
      </c>
      <c r="F7" s="31"/>
      <c r="G7" s="31"/>
      <c r="H7" s="31" t="s">
        <v>602</v>
      </c>
      <c r="I7" s="31" t="s">
        <v>603</v>
      </c>
      <c r="J7" s="28"/>
      <c r="K7" s="31" t="s">
        <v>45</v>
      </c>
    </row>
    <row r="8" spans="1:11">
      <c r="A8" s="33">
        <f t="shared" si="0"/>
        <v>5</v>
      </c>
      <c r="B8" s="31" t="s">
        <v>210</v>
      </c>
      <c r="C8" s="31" t="s">
        <v>213</v>
      </c>
      <c r="D8" s="31" t="s">
        <v>606</v>
      </c>
      <c r="E8" s="28">
        <v>46300</v>
      </c>
      <c r="F8" s="31"/>
      <c r="G8" s="31"/>
      <c r="H8" s="31" t="s">
        <v>602</v>
      </c>
      <c r="I8" s="31" t="s">
        <v>603</v>
      </c>
      <c r="J8" s="28"/>
      <c r="K8" s="31" t="s">
        <v>45</v>
      </c>
    </row>
    <row r="9" spans="1:11" ht="24">
      <c r="A9" s="33">
        <f t="shared" si="0"/>
        <v>6</v>
      </c>
      <c r="B9" s="31" t="s">
        <v>294</v>
      </c>
      <c r="C9" s="31" t="s">
        <v>204</v>
      </c>
      <c r="D9" s="31" t="s">
        <v>607</v>
      </c>
      <c r="E9" s="28">
        <v>46300</v>
      </c>
      <c r="F9" s="31"/>
      <c r="G9" s="31"/>
      <c r="H9" s="31" t="s">
        <v>602</v>
      </c>
      <c r="I9" s="31" t="s">
        <v>603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204</v>
      </c>
      <c r="D10" s="31" t="s">
        <v>606</v>
      </c>
      <c r="E10" s="28">
        <v>46300</v>
      </c>
      <c r="F10" s="31"/>
      <c r="G10" s="31"/>
      <c r="H10" s="31" t="s">
        <v>602</v>
      </c>
      <c r="I10" s="31" t="s">
        <v>603</v>
      </c>
      <c r="J10" s="28"/>
      <c r="K10" s="31" t="s">
        <v>45</v>
      </c>
    </row>
    <row r="11" spans="1:11">
      <c r="A11" s="33">
        <f t="shared" si="0"/>
        <v>8</v>
      </c>
      <c r="B11" s="31" t="s">
        <v>541</v>
      </c>
      <c r="C11" s="31" t="s">
        <v>204</v>
      </c>
      <c r="D11" s="31" t="s">
        <v>608</v>
      </c>
      <c r="E11" s="28">
        <v>46300</v>
      </c>
      <c r="F11" s="31"/>
      <c r="G11" s="31"/>
      <c r="H11" s="31" t="s">
        <v>602</v>
      </c>
      <c r="I11" s="31" t="s">
        <v>603</v>
      </c>
      <c r="J11" s="28"/>
      <c r="K11" s="31" t="s">
        <v>45</v>
      </c>
    </row>
    <row r="12" spans="1:11" ht="36">
      <c r="A12" s="33">
        <f t="shared" si="0"/>
        <v>9</v>
      </c>
      <c r="B12" s="31" t="s">
        <v>70</v>
      </c>
      <c r="C12" s="31" t="s">
        <v>204</v>
      </c>
      <c r="D12" s="31" t="s">
        <v>609</v>
      </c>
      <c r="E12" s="28">
        <v>46300</v>
      </c>
      <c r="F12" s="31"/>
      <c r="G12" s="31"/>
      <c r="H12" s="31" t="s">
        <v>602</v>
      </c>
      <c r="I12" s="31" t="s">
        <v>603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204</v>
      </c>
      <c r="D13" s="31" t="s">
        <v>606</v>
      </c>
      <c r="E13" s="28">
        <v>46300</v>
      </c>
      <c r="F13" s="31"/>
      <c r="G13" s="31"/>
      <c r="H13" s="31" t="s">
        <v>602</v>
      </c>
      <c r="I13" s="31" t="s">
        <v>603</v>
      </c>
      <c r="J13" s="28"/>
      <c r="K13" s="31" t="s">
        <v>39</v>
      </c>
    </row>
    <row r="14" spans="1:11" ht="36">
      <c r="A14" s="33">
        <f t="shared" si="0"/>
        <v>11</v>
      </c>
      <c r="B14" s="31" t="s">
        <v>58</v>
      </c>
      <c r="C14" s="31" t="s">
        <v>204</v>
      </c>
      <c r="D14" s="31" t="s">
        <v>609</v>
      </c>
      <c r="E14" s="28">
        <v>46300</v>
      </c>
      <c r="F14" s="31"/>
      <c r="G14" s="31"/>
      <c r="H14" s="31" t="s">
        <v>602</v>
      </c>
      <c r="I14" s="31" t="s">
        <v>603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204</v>
      </c>
      <c r="D15" s="31" t="s">
        <v>606</v>
      </c>
      <c r="E15" s="28">
        <v>46300</v>
      </c>
      <c r="F15" s="31"/>
      <c r="G15" s="31"/>
      <c r="H15" s="31" t="s">
        <v>602</v>
      </c>
      <c r="I15" s="31" t="s">
        <v>603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204</v>
      </c>
      <c r="D16" s="31" t="s">
        <v>606</v>
      </c>
      <c r="E16" s="28">
        <v>46300</v>
      </c>
      <c r="F16" s="31"/>
      <c r="G16" s="31"/>
      <c r="H16" s="31" t="s">
        <v>602</v>
      </c>
      <c r="I16" s="31" t="s">
        <v>603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204</v>
      </c>
      <c r="D17" s="31" t="s">
        <v>610</v>
      </c>
      <c r="E17" s="28">
        <v>46300</v>
      </c>
      <c r="F17" s="31"/>
      <c r="G17" s="31"/>
      <c r="H17" s="31" t="s">
        <v>602</v>
      </c>
      <c r="I17" s="31" t="s">
        <v>603</v>
      </c>
      <c r="J17" s="28"/>
      <c r="K17" s="31" t="s">
        <v>45</v>
      </c>
    </row>
    <row r="18" spans="1:11">
      <c r="A18" s="33">
        <f t="shared" si="0"/>
        <v>15</v>
      </c>
      <c r="B18" s="31" t="s">
        <v>306</v>
      </c>
      <c r="C18" s="31" t="s">
        <v>204</v>
      </c>
      <c r="D18" s="31" t="s">
        <v>601</v>
      </c>
      <c r="E18" s="28">
        <v>46300</v>
      </c>
      <c r="F18" s="31"/>
      <c r="G18" s="31"/>
      <c r="H18" s="31" t="s">
        <v>602</v>
      </c>
      <c r="I18" s="31" t="s">
        <v>603</v>
      </c>
      <c r="J18" s="28"/>
      <c r="K18" s="31" t="s">
        <v>39</v>
      </c>
    </row>
    <row r="19" spans="1:11">
      <c r="A19" s="33">
        <f t="shared" si="0"/>
        <v>16</v>
      </c>
      <c r="B19" s="31" t="s">
        <v>309</v>
      </c>
      <c r="C19" s="31" t="s">
        <v>204</v>
      </c>
      <c r="D19" s="31" t="s">
        <v>601</v>
      </c>
      <c r="E19" s="28">
        <v>46300</v>
      </c>
      <c r="F19" s="31"/>
      <c r="G19" s="31"/>
      <c r="H19" s="31" t="s">
        <v>602</v>
      </c>
      <c r="I19" s="31" t="s">
        <v>603</v>
      </c>
      <c r="J19" s="28"/>
      <c r="K19" s="31" t="s">
        <v>39</v>
      </c>
    </row>
    <row r="20" spans="1:11" ht="36">
      <c r="A20" s="33">
        <f t="shared" si="0"/>
        <v>17</v>
      </c>
      <c r="B20" s="31" t="s">
        <v>67</v>
      </c>
      <c r="C20" s="31" t="s">
        <v>204</v>
      </c>
      <c r="D20" s="31" t="s">
        <v>609</v>
      </c>
      <c r="E20" s="28">
        <v>46300</v>
      </c>
      <c r="F20" s="31"/>
      <c r="G20" s="31"/>
      <c r="H20" s="31" t="s">
        <v>602</v>
      </c>
      <c r="I20" s="31" t="s">
        <v>603</v>
      </c>
      <c r="J20" s="28"/>
      <c r="K20" s="31" t="s">
        <v>39</v>
      </c>
    </row>
    <row r="21" spans="1:11" ht="36">
      <c r="A21" s="33">
        <f t="shared" si="0"/>
        <v>18</v>
      </c>
      <c r="B21" s="31" t="s">
        <v>69</v>
      </c>
      <c r="C21" s="31" t="s">
        <v>204</v>
      </c>
      <c r="D21" s="31" t="s">
        <v>609</v>
      </c>
      <c r="E21" s="28">
        <v>46300</v>
      </c>
      <c r="F21" s="31"/>
      <c r="G21" s="31"/>
      <c r="H21" s="31" t="s">
        <v>602</v>
      </c>
      <c r="I21" s="31" t="s">
        <v>603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204</v>
      </c>
      <c r="D22" s="31" t="s">
        <v>608</v>
      </c>
      <c r="E22" s="28">
        <v>46300</v>
      </c>
      <c r="F22" s="31"/>
      <c r="G22" s="31"/>
      <c r="H22" s="31" t="s">
        <v>602</v>
      </c>
      <c r="I22" s="31" t="s">
        <v>603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204</v>
      </c>
      <c r="D23" s="31" t="s">
        <v>606</v>
      </c>
      <c r="E23" s="28">
        <v>46300</v>
      </c>
      <c r="F23" s="31"/>
      <c r="G23" s="31"/>
      <c r="H23" s="31" t="s">
        <v>602</v>
      </c>
      <c r="I23" s="31" t="s">
        <v>603</v>
      </c>
      <c r="J23" s="28"/>
      <c r="K23" s="31" t="s">
        <v>39</v>
      </c>
    </row>
    <row r="24" spans="1:11" ht="36">
      <c r="A24" s="33">
        <f t="shared" si="0"/>
        <v>21</v>
      </c>
      <c r="B24" s="31" t="s">
        <v>310</v>
      </c>
      <c r="C24" s="31" t="s">
        <v>204</v>
      </c>
      <c r="D24" s="31" t="s">
        <v>609</v>
      </c>
      <c r="E24" s="28">
        <v>46300</v>
      </c>
      <c r="F24" s="31"/>
      <c r="G24" s="31"/>
      <c r="H24" s="31" t="s">
        <v>602</v>
      </c>
      <c r="I24" s="31" t="s">
        <v>603</v>
      </c>
      <c r="J24" s="28"/>
      <c r="K24" s="31" t="s">
        <v>42</v>
      </c>
    </row>
    <row r="25" spans="1:11">
      <c r="A25" s="33">
        <f t="shared" si="0"/>
        <v>22</v>
      </c>
      <c r="B25" s="31" t="s">
        <v>559</v>
      </c>
      <c r="C25" s="31" t="s">
        <v>204</v>
      </c>
      <c r="D25" s="31" t="s">
        <v>606</v>
      </c>
      <c r="E25" s="28">
        <v>46300</v>
      </c>
      <c r="F25" s="31"/>
      <c r="G25" s="31"/>
      <c r="H25" s="31" t="s">
        <v>602</v>
      </c>
      <c r="I25" s="31" t="s">
        <v>603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548</v>
      </c>
      <c r="C26" s="31" t="s">
        <v>255</v>
      </c>
      <c r="D26" s="31" t="s">
        <v>610</v>
      </c>
      <c r="E26" s="28">
        <v>46300</v>
      </c>
      <c r="F26" s="31"/>
      <c r="G26" s="31"/>
      <c r="H26" s="31" t="s">
        <v>602</v>
      </c>
      <c r="I26" s="31" t="s">
        <v>603</v>
      </c>
      <c r="J26" s="28"/>
      <c r="K26" s="31" t="s">
        <v>604</v>
      </c>
    </row>
    <row r="27" spans="1:11" ht="24">
      <c r="A27" s="33">
        <f t="shared" si="0"/>
        <v>24</v>
      </c>
      <c r="B27" s="31" t="s">
        <v>64</v>
      </c>
      <c r="C27" s="31" t="s">
        <v>255</v>
      </c>
      <c r="D27" s="31" t="s">
        <v>606</v>
      </c>
      <c r="E27" s="28">
        <v>46300</v>
      </c>
      <c r="F27" s="31"/>
      <c r="G27" s="31"/>
      <c r="H27" s="31" t="s">
        <v>602</v>
      </c>
      <c r="I27" s="31" t="s">
        <v>603</v>
      </c>
      <c r="J27" s="28"/>
      <c r="K27" s="31" t="s">
        <v>604</v>
      </c>
    </row>
    <row r="28" spans="1:11" ht="24">
      <c r="A28" s="33">
        <f t="shared" si="0"/>
        <v>25</v>
      </c>
      <c r="B28" s="31" t="s">
        <v>65</v>
      </c>
      <c r="C28" s="31" t="s">
        <v>255</v>
      </c>
      <c r="D28" s="31" t="s">
        <v>606</v>
      </c>
      <c r="E28" s="28">
        <v>46300</v>
      </c>
      <c r="F28" s="31"/>
      <c r="G28" s="31"/>
      <c r="H28" s="31" t="s">
        <v>602</v>
      </c>
      <c r="I28" s="31" t="s">
        <v>603</v>
      </c>
      <c r="J28" s="28"/>
      <c r="K28" s="31" t="s">
        <v>604</v>
      </c>
    </row>
    <row r="29" spans="1:11">
      <c r="A29">
        <v>26</v>
      </c>
      <c r="B29" t="s">
        <v>363</v>
      </c>
      <c r="C29" t="s">
        <v>611</v>
      </c>
      <c r="E29" s="68">
        <v>46295</v>
      </c>
      <c r="F29" t="s">
        <v>612</v>
      </c>
      <c r="G29" t="s">
        <v>613</v>
      </c>
      <c r="H29" t="s">
        <v>614</v>
      </c>
      <c r="I29" t="s">
        <v>603</v>
      </c>
      <c r="J29" s="68">
        <v>46302</v>
      </c>
      <c r="K29" t="s">
        <v>42</v>
      </c>
    </row>
    <row r="30" spans="1:11">
      <c r="A30">
        <v>27</v>
      </c>
      <c r="B30" t="s">
        <v>249</v>
      </c>
      <c r="C30" t="s">
        <v>250</v>
      </c>
      <c r="E30" s="68">
        <v>46303</v>
      </c>
      <c r="F30" t="s">
        <v>612</v>
      </c>
      <c r="G30" t="s">
        <v>615</v>
      </c>
      <c r="H30" t="s">
        <v>614</v>
      </c>
      <c r="I30" t="s">
        <v>603</v>
      </c>
      <c r="J30" s="68">
        <v>46310</v>
      </c>
      <c r="K30" t="s">
        <v>41</v>
      </c>
    </row>
    <row r="31" spans="1:11">
      <c r="A31">
        <v>28</v>
      </c>
      <c r="B31" t="s">
        <v>228</v>
      </c>
      <c r="C31" t="s">
        <v>213</v>
      </c>
      <c r="E31" s="68">
        <v>46304</v>
      </c>
      <c r="F31" t="s">
        <v>612</v>
      </c>
      <c r="G31" t="s">
        <v>616</v>
      </c>
      <c r="H31" t="s">
        <v>614</v>
      </c>
      <c r="I31" t="s">
        <v>603</v>
      </c>
      <c r="J31" s="68">
        <v>46311</v>
      </c>
      <c r="K31" t="s">
        <v>40</v>
      </c>
    </row>
    <row r="32" spans="1:11">
      <c r="A32">
        <v>29</v>
      </c>
      <c r="B32" t="s">
        <v>525</v>
      </c>
      <c r="C32" t="s">
        <v>204</v>
      </c>
      <c r="D32" t="s">
        <v>617</v>
      </c>
      <c r="E32" s="68">
        <v>46312</v>
      </c>
      <c r="F32" t="s">
        <v>612</v>
      </c>
      <c r="G32" t="s">
        <v>618</v>
      </c>
      <c r="H32" t="s">
        <v>614</v>
      </c>
      <c r="I32" t="s">
        <v>603</v>
      </c>
      <c r="J32" s="68">
        <v>46319</v>
      </c>
      <c r="K32" t="s">
        <v>45</v>
      </c>
    </row>
    <row r="33" spans="1:11">
      <c r="A33">
        <v>30</v>
      </c>
      <c r="B33" t="s">
        <v>559</v>
      </c>
      <c r="C33" t="s">
        <v>204</v>
      </c>
      <c r="D33" t="s">
        <v>619</v>
      </c>
      <c r="E33" s="68">
        <v>46317</v>
      </c>
      <c r="F33" t="s">
        <v>612</v>
      </c>
      <c r="G33" t="s">
        <v>620</v>
      </c>
      <c r="H33" t="s">
        <v>614</v>
      </c>
      <c r="I33" t="s">
        <v>603</v>
      </c>
      <c r="J33" s="68">
        <v>46324</v>
      </c>
      <c r="K33" t="s">
        <v>41</v>
      </c>
    </row>
    <row r="34" spans="1:11">
      <c r="A34">
        <v>31</v>
      </c>
      <c r="B34" t="s">
        <v>537</v>
      </c>
      <c r="C34" t="s">
        <v>204</v>
      </c>
      <c r="D34" t="s">
        <v>621</v>
      </c>
      <c r="E34" s="68">
        <v>46317</v>
      </c>
      <c r="F34" t="s">
        <v>612</v>
      </c>
      <c r="G34" t="s">
        <v>622</v>
      </c>
      <c r="H34" t="s">
        <v>614</v>
      </c>
      <c r="I34" t="s">
        <v>603</v>
      </c>
      <c r="J34" s="68">
        <v>46324</v>
      </c>
      <c r="K34" t="s">
        <v>41</v>
      </c>
    </row>
    <row r="35" spans="1:11">
      <c r="A35">
        <v>32</v>
      </c>
      <c r="B35" t="s">
        <v>329</v>
      </c>
      <c r="C35" t="s">
        <v>204</v>
      </c>
      <c r="D35" t="s">
        <v>623</v>
      </c>
      <c r="E35" s="68">
        <v>46318</v>
      </c>
      <c r="F35" t="s">
        <v>612</v>
      </c>
      <c r="G35" t="s">
        <v>624</v>
      </c>
      <c r="H35" t="s">
        <v>614</v>
      </c>
      <c r="I35" t="s">
        <v>603</v>
      </c>
      <c r="J35" s="68">
        <v>46325</v>
      </c>
      <c r="K35" t="s">
        <v>40</v>
      </c>
    </row>
    <row r="36" spans="1:11">
      <c r="A36">
        <v>33</v>
      </c>
      <c r="B36" t="s">
        <v>380</v>
      </c>
      <c r="C36" t="s">
        <v>611</v>
      </c>
      <c r="E36" s="68">
        <v>46320</v>
      </c>
      <c r="F36" t="s">
        <v>612</v>
      </c>
      <c r="G36" t="s">
        <v>625</v>
      </c>
      <c r="H36" t="s">
        <v>614</v>
      </c>
      <c r="I36" t="s">
        <v>603</v>
      </c>
      <c r="J36" s="68">
        <v>46327</v>
      </c>
      <c r="K36" t="s">
        <v>42</v>
      </c>
    </row>
    <row r="37" spans="1:11">
      <c r="A37">
        <v>34</v>
      </c>
      <c r="B37" t="s">
        <v>564</v>
      </c>
      <c r="C37" t="s">
        <v>255</v>
      </c>
      <c r="E37" s="68">
        <v>46321</v>
      </c>
      <c r="F37" t="s">
        <v>612</v>
      </c>
      <c r="G37" t="s">
        <v>626</v>
      </c>
      <c r="H37" t="s">
        <v>614</v>
      </c>
      <c r="I37" t="s">
        <v>603</v>
      </c>
      <c r="J37" s="68">
        <v>46328</v>
      </c>
      <c r="K37" t="s">
        <v>39</v>
      </c>
    </row>
    <row r="38" spans="1:11">
      <c r="A38">
        <v>35</v>
      </c>
      <c r="B38" t="s">
        <v>541</v>
      </c>
      <c r="C38" t="s">
        <v>204</v>
      </c>
      <c r="D38" t="s">
        <v>627</v>
      </c>
      <c r="E38" s="68">
        <v>46321</v>
      </c>
      <c r="F38" t="s">
        <v>612</v>
      </c>
      <c r="G38" t="s">
        <v>628</v>
      </c>
      <c r="H38" t="s">
        <v>614</v>
      </c>
      <c r="I38" t="s">
        <v>603</v>
      </c>
      <c r="J38" s="68">
        <v>46328</v>
      </c>
      <c r="K38" t="s">
        <v>41</v>
      </c>
    </row>
    <row r="39" spans="1:11">
      <c r="A39">
        <v>36</v>
      </c>
      <c r="B39" t="s">
        <v>65</v>
      </c>
      <c r="C39" t="s">
        <v>204</v>
      </c>
      <c r="D39" t="s">
        <v>619</v>
      </c>
      <c r="E39" s="68">
        <v>46321</v>
      </c>
      <c r="F39" t="s">
        <v>612</v>
      </c>
      <c r="G39" t="s">
        <v>629</v>
      </c>
      <c r="H39" t="s">
        <v>614</v>
      </c>
      <c r="I39" t="s">
        <v>603</v>
      </c>
      <c r="J39" s="68">
        <v>46328</v>
      </c>
      <c r="K39" t="s">
        <v>40</v>
      </c>
    </row>
    <row r="40" spans="1:11">
      <c r="A40">
        <v>37</v>
      </c>
      <c r="B40" t="s">
        <v>529</v>
      </c>
      <c r="C40" t="s">
        <v>204</v>
      </c>
      <c r="D40" t="s">
        <v>617</v>
      </c>
      <c r="E40" s="68">
        <v>46321</v>
      </c>
      <c r="F40" t="s">
        <v>612</v>
      </c>
      <c r="G40" t="s">
        <v>630</v>
      </c>
      <c r="H40" t="s">
        <v>614</v>
      </c>
      <c r="I40" t="s">
        <v>603</v>
      </c>
      <c r="J40" s="68">
        <v>46328</v>
      </c>
      <c r="K40" t="s">
        <v>40</v>
      </c>
    </row>
    <row r="41" spans="1:11">
      <c r="A41">
        <v>38</v>
      </c>
      <c r="B41" t="s">
        <v>455</v>
      </c>
      <c r="C41" t="s">
        <v>204</v>
      </c>
      <c r="D41" t="s">
        <v>617</v>
      </c>
      <c r="E41" s="68">
        <v>46322</v>
      </c>
      <c r="F41" t="s">
        <v>612</v>
      </c>
      <c r="G41" t="s">
        <v>631</v>
      </c>
      <c r="H41" t="s">
        <v>614</v>
      </c>
      <c r="I41" t="s">
        <v>603</v>
      </c>
      <c r="J41" s="68">
        <v>46329</v>
      </c>
      <c r="K41" t="s">
        <v>42</v>
      </c>
    </row>
    <row r="42" spans="1:11">
      <c r="A42">
        <v>39</v>
      </c>
      <c r="B42" t="s">
        <v>175</v>
      </c>
      <c r="C42" t="s">
        <v>632</v>
      </c>
      <c r="E42" s="68">
        <v>46322</v>
      </c>
      <c r="F42" t="s">
        <v>612</v>
      </c>
      <c r="G42" t="s">
        <v>633</v>
      </c>
      <c r="H42" t="s">
        <v>614</v>
      </c>
      <c r="I42" t="s">
        <v>603</v>
      </c>
      <c r="J42" s="68">
        <v>46329</v>
      </c>
      <c r="K42" t="s">
        <v>41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4.45"/>
  <cols>
    <col min="1" max="1" width="2" customWidth="1"/>
    <col min="2" max="2" width="30" customWidth="1"/>
    <col min="3" max="4" width="75" customWidth="1"/>
  </cols>
  <sheetData>
    <row r="1" spans="1:4" ht="18.95">
      <c r="A1" s="34" t="s">
        <v>634</v>
      </c>
    </row>
    <row r="3" spans="1:4">
      <c r="B3" s="35" t="s">
        <v>635</v>
      </c>
      <c r="C3" s="35" t="s">
        <v>636</v>
      </c>
      <c r="D3" s="35" t="s">
        <v>637</v>
      </c>
    </row>
    <row r="4" spans="1:4" ht="20.100000000000001" customHeight="1">
      <c r="B4" s="36" t="s">
        <v>638</v>
      </c>
      <c r="C4" s="37" t="s">
        <v>639</v>
      </c>
      <c r="D4" s="38">
        <v>7</v>
      </c>
    </row>
    <row r="5" spans="1:4" ht="45.95" customHeight="1">
      <c r="B5" s="36" t="s">
        <v>640</v>
      </c>
      <c r="C5" s="39" t="s">
        <v>641</v>
      </c>
      <c r="D5" s="39" t="s">
        <v>642</v>
      </c>
    </row>
    <row r="6" spans="1:4" ht="45.95" customHeight="1">
      <c r="B6" s="36" t="s">
        <v>12</v>
      </c>
      <c r="C6" s="39" t="s">
        <v>643</v>
      </c>
      <c r="D6" s="39" t="s">
        <v>644</v>
      </c>
    </row>
    <row r="7" spans="1:4" ht="45.95" customHeight="1">
      <c r="B7" s="36" t="s">
        <v>645</v>
      </c>
      <c r="C7" s="39" t="s">
        <v>646</v>
      </c>
      <c r="D7" s="39" t="s">
        <v>647</v>
      </c>
    </row>
    <row r="8" spans="1:4" ht="45.95" customHeight="1">
      <c r="B8" s="36" t="s">
        <v>648</v>
      </c>
      <c r="C8" s="39" t="s">
        <v>649</v>
      </c>
      <c r="D8" s="39" t="s">
        <v>650</v>
      </c>
    </row>
    <row r="9" spans="1:4" ht="45.95" customHeight="1">
      <c r="B9" s="36" t="s">
        <v>651</v>
      </c>
      <c r="C9" s="39" t="s">
        <v>652</v>
      </c>
      <c r="D9" s="39" t="s">
        <v>653</v>
      </c>
    </row>
    <row r="10" spans="1:4" ht="45.95" customHeight="1">
      <c r="B10" s="36" t="s">
        <v>654</v>
      </c>
      <c r="C10" s="39" t="s">
        <v>655</v>
      </c>
      <c r="D10" s="39" t="s">
        <v>656</v>
      </c>
    </row>
    <row r="11" spans="1:4" ht="45.95" customHeight="1">
      <c r="B11" s="36" t="s">
        <v>657</v>
      </c>
      <c r="C11" s="39" t="s">
        <v>658</v>
      </c>
      <c r="D11" s="39" t="s">
        <v>659</v>
      </c>
    </row>
    <row r="12" spans="1:4" ht="45.95" customHeight="1">
      <c r="B12" s="36" t="s">
        <v>660</v>
      </c>
      <c r="C12" s="39" t="s">
        <v>661</v>
      </c>
      <c r="D12" s="39" t="s">
        <v>662</v>
      </c>
    </row>
    <row r="13" spans="1:4" ht="45.95" customHeight="1">
      <c r="B13" s="36" t="s">
        <v>663</v>
      </c>
      <c r="C13" s="39" t="s">
        <v>664</v>
      </c>
      <c r="D13" s="39" t="s">
        <v>665</v>
      </c>
    </row>
    <row r="14" spans="1:4" ht="45.95" customHeight="1">
      <c r="B14" s="36" t="s">
        <v>666</v>
      </c>
      <c r="C14" s="39" t="s">
        <v>667</v>
      </c>
      <c r="D14" s="39" t="s">
        <v>668</v>
      </c>
    </row>
    <row r="15" spans="1:4" ht="45.95" customHeight="1">
      <c r="B15" s="36" t="s">
        <v>669</v>
      </c>
      <c r="C15" s="39" t="s">
        <v>670</v>
      </c>
      <c r="D15" s="39" t="s">
        <v>671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Park Changbae (Aiden)</cp:lastModifiedBy>
  <cp:revision/>
  <dcterms:created xsi:type="dcterms:W3CDTF">2026-10-19T01:32:22Z</dcterms:created>
  <dcterms:modified xsi:type="dcterms:W3CDTF">2026-10-29T07:54:31Z</dcterms:modified>
  <cp:category/>
  <cp:contentStatus/>
</cp:coreProperties>
</file>